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PRESENZE" sheetId="2" r:id="rId6"/>
    <sheet state="visible" name="PRESENZE_DB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11ott2025 gae
colonna collegata alla colonna C del foglio "LISTA" di questo file</t>
      </text>
    </comment>
    <comment authorId="0" ref="B1">
      <text>
        <t xml:space="preserve">11ott2025 gae
tutte e 2 le colonne COGNOME e NOME sono collegate alle colonne COGNOME e NOME (E+F) del foglio LISTA di questo file.</t>
      </text>
    </comment>
    <comment authorId="0" ref="C1">
      <text>
        <t xml:space="preserve">11ott2025 gae
tutte e 2 le colonne COGNOME e NOME sono collegate alle colonne COGNOME e NOME (E+F) del foglio LISTA di questo file.</t>
      </text>
    </comment>
    <comment authorId="0" ref="D1">
      <text>
        <t xml:space="preserve">22mag2024 gae
Queste celle sono agganciate al foglio "elenchi" del file "25_26_Calendario e MASTER elenco corsi".
L'indirizzo va modificato in base al giorno delle schede corso.
────────────────────────────────
COME USARE «PRESENZE» (D:AY)
• Spunta SOLO nelle righe con ID (colonna A). Le spunte su righe senza ID vengono annullate.
• Le spunte seguono l’ID anche se la LISTA (A–C) cambia ordine. Attendi ~1 secondo dopo il riordino.
• Non modificare il foglio “PRESENZE_DB”: è l’archivio automatico.
• Se vedi disallineamenti: Menu → Presenze → “Ricostruisci D:AY da DB”.
• Se aggiungi nuove date in riga 1 (D1:AY1): Menu → Presenze → “Inizializza (DB + checkbox + import)”.
• Se un ID viene rimosso da LISTA, le sue presenze vengono cancellate dal DB nella ricostruzione successiva.</t>
      </text>
    </comment>
  </commentList>
</comments>
</file>

<file path=xl/sharedStrings.xml><?xml version="1.0" encoding="utf-8"?>
<sst xmlns="http://schemas.openxmlformats.org/spreadsheetml/2006/main" count="1074" uniqueCount="480">
  <si>
    <t xml:space="preserve"> </t>
  </si>
  <si>
    <t>CODICE CORSO</t>
  </si>
  <si>
    <t>STUDIO</t>
  </si>
  <si>
    <t>GIORNO</t>
  </si>
  <si>
    <t>ORA INIZIO</t>
  </si>
  <si>
    <t>DATA INIZIO</t>
  </si>
  <si>
    <t>TERMINE CORSO</t>
  </si>
  <si>
    <t>N. LEZIONI</t>
  </si>
  <si>
    <t>FASCIA ETÀ</t>
  </si>
  <si>
    <t>LIVELLO</t>
  </si>
  <si>
    <t>INSEGNANTE 1</t>
  </si>
  <si>
    <t>INSEGNANTE 2</t>
  </si>
  <si>
    <t>DETTAGLIO ISCRIZIONI:</t>
  </si>
  <si>
    <t>OMAGGI:</t>
  </si>
  <si>
    <t>CALENDARIO e MASTER</t>
  </si>
  <si>
    <t>25-26 STAGIONE</t>
  </si>
  <si>
    <t>ANAGRAFICA</t>
  </si>
  <si>
    <t>PAGAMENTI -&gt; I - Sezione 1</t>
  </si>
  <si>
    <t>II - Sezione 2</t>
  </si>
  <si>
    <t>III - Sezione 3</t>
  </si>
  <si>
    <t>IV - Sezione 4</t>
  </si>
  <si>
    <t>TESSERE</t>
  </si>
  <si>
    <t>CONTROLLO 1</t>
  </si>
  <si>
    <t>chi scrive (A)</t>
  </si>
  <si>
    <t>vendita (B)</t>
  </si>
  <si>
    <t>id anagrafica (C)</t>
  </si>
  <si>
    <t>data
inserimento (D)</t>
  </si>
  <si>
    <t>cognome (E)</t>
  </si>
  <si>
    <t>nome (F)</t>
  </si>
  <si>
    <t>età (G)</t>
  </si>
  <si>
    <t>sesso (H)</t>
  </si>
  <si>
    <t>telefono (I)</t>
  </si>
  <si>
    <t>cod fiscale (J)</t>
  </si>
  <si>
    <t>email (K)</t>
  </si>
  <si>
    <t>dettaglio iscrizione (N)</t>
  </si>
  <si>
    <t>descrizione quota (Q)</t>
  </si>
  <si>
    <t>periodo (R)</t>
  </si>
  <si>
    <t>data pag. 
lez. prova (W)</t>
  </si>
  <si>
    <t>acconto
lez.prova (X)</t>
  </si>
  <si>
    <t>data pag. 
saldo ann. (Z)</t>
  </si>
  <si>
    <t>saldo
annuale (AA)</t>
  </si>
  <si>
    <t>descrizione quota (AD)</t>
  </si>
  <si>
    <t>periodo (AE)</t>
  </si>
  <si>
    <t>data pag. 
lez. prova (AJ)</t>
  </si>
  <si>
    <t>acconto
lez.prova (AK)</t>
  </si>
  <si>
    <t>data pag. 
saldo ann. (AM)</t>
  </si>
  <si>
    <t>saldo
annuale (AN)</t>
  </si>
  <si>
    <t>descrizione quota (AQ)</t>
  </si>
  <si>
    <t>periodo (AR)</t>
  </si>
  <si>
    <t>data pag. 
lez.prova (AW)</t>
  </si>
  <si>
    <t>acconto
lez.prova (AX)</t>
  </si>
  <si>
    <t>data pag. 
saldo ann. (AZ)</t>
  </si>
  <si>
    <t>saldo
annuale (BA)</t>
  </si>
  <si>
    <t>descrizione quota (BD)</t>
  </si>
  <si>
    <t>periodo (BE)</t>
  </si>
  <si>
    <t>data pag. 
lez. prova quad. (BJ)</t>
  </si>
  <si>
    <t>acconto
lez.prova
quad. (BK)</t>
  </si>
  <si>
    <t>data pag. 
saldo quad. (BM)</t>
  </si>
  <si>
    <t>saldo
quad. (BN)</t>
  </si>
  <si>
    <t>saldo totale (BO)</t>
  </si>
  <si>
    <t>quota 
tessera (BY)</t>
  </si>
  <si>
    <t>data emissione
pagamento tessera (BZ)</t>
  </si>
  <si>
    <t>data scad 
quota tessera (CB)</t>
  </si>
  <si>
    <t>n.tessera (CC)</t>
  </si>
  <si>
    <t>domanda di tesseramento (CE)</t>
  </si>
  <si>
    <t>data scad cert. medico (CF)</t>
  </si>
  <si>
    <t>importo singolo corso (CS)</t>
  </si>
  <si>
    <t>presenze - prove pagate e lezioni singole (CT)</t>
  </si>
  <si>
    <t>welfare presenze (CU)</t>
  </si>
  <si>
    <t>controllo (CY)</t>
  </si>
  <si>
    <t>obbligo di riempire (CZ)</t>
  </si>
  <si>
    <t>NOTE (DE)</t>
  </si>
  <si>
    <t>INVIARE EMAIL o SMS (DF)</t>
  </si>
  <si>
    <t>legenda: (DL)</t>
  </si>
  <si>
    <t>DONNE</t>
  </si>
  <si>
    <t>Totale</t>
  </si>
  <si>
    <t>Giuditta</t>
  </si>
  <si>
    <t>BONIFICO</t>
  </si>
  <si>
    <t>ID-000693</t>
  </si>
  <si>
    <t>BATTISTI</t>
  </si>
  <si>
    <t>VALERIA</t>
  </si>
  <si>
    <t>Donna</t>
  </si>
  <si>
    <t>3356848965</t>
  </si>
  <si>
    <t>BTTVRM69M44F952J</t>
  </si>
  <si>
    <t>valeria.battisti@tiscali.it</t>
  </si>
  <si>
    <t>iscritto Donna</t>
  </si>
  <si>
    <t>1 OPEN BALLO, 1 QUOTA TESSERA</t>
  </si>
  <si>
    <t>SETTEMBRE - OTTOBRE (2025)</t>
  </si>
  <si>
    <t>2425-000693</t>
  </si>
  <si>
    <t>COMPILATA</t>
  </si>
  <si>
    <t>🆗</t>
  </si>
  <si>
    <t>✅</t>
  </si>
  <si>
    <t>SEDE Giuditta</t>
  </si>
  <si>
    <t>ID-001740</t>
  </si>
  <si>
    <t>CLEMENTE</t>
  </si>
  <si>
    <t>ISABELLA</t>
  </si>
  <si>
    <t>3284148303</t>
  </si>
  <si>
    <t>CLMSLL97L49A783A</t>
  </si>
  <si>
    <t>ISABELLA.CLEMENTE09@GMAIL.COM</t>
  </si>
  <si>
    <t>2 CORSI Adulti, 1 QUOTA TESSERA</t>
  </si>
  <si>
    <t>2526-001740</t>
  </si>
  <si>
    <t>Nura</t>
  </si>
  <si>
    <t>SEDE Nura</t>
  </si>
  <si>
    <t>ID-000357</t>
  </si>
  <si>
    <t>FELICI</t>
  </si>
  <si>
    <t>ARIANNA</t>
  </si>
  <si>
    <t>3318840068</t>
  </si>
  <si>
    <t>FLCRNN04B50F205J</t>
  </si>
  <si>
    <t>ariannafelici1@gmail.com</t>
  </si>
  <si>
    <t>1 CORSO Adulti, 1 QUOTA TESSERA</t>
  </si>
  <si>
    <t>2425-000357</t>
  </si>
  <si>
    <t>Alexandra</t>
  </si>
  <si>
    <t>SEDE Alexandra</t>
  </si>
  <si>
    <t>ID-000029</t>
  </si>
  <si>
    <t>FERNANDO MATARAKIRI</t>
  </si>
  <si>
    <t>MELANY SERENA TRACY</t>
  </si>
  <si>
    <t>3517619123</t>
  </si>
  <si>
    <t>FRNMNY90M55F205E</t>
  </si>
  <si>
    <t>melany_serena@hotmail.it</t>
  </si>
  <si>
    <t>1 QUOTA TESSERA, 1 OPEN BALLO</t>
  </si>
  <si>
    <t>2425-000029</t>
  </si>
  <si>
    <t>Nura, Joel</t>
  </si>
  <si>
    <t>EMAIL, SEDE Joel</t>
  </si>
  <si>
    <t>ID-001115</t>
  </si>
  <si>
    <t>GRISI</t>
  </si>
  <si>
    <t>BEATRICE</t>
  </si>
  <si>
    <t>3408671887</t>
  </si>
  <si>
    <t>GRSBRC92H49L400L</t>
  </si>
  <si>
    <t>bea.grisi92@gmail.com</t>
  </si>
  <si>
    <t>1 LEZIONE Prova, 1 CORSO Adulti, 1 QUOTA TESSERA</t>
  </si>
  <si>
    <t>2526-001115</t>
  </si>
  <si>
    <t>EMAIL, BONIFICO</t>
  </si>
  <si>
    <t>ID-001082</t>
  </si>
  <si>
    <t>URBANO</t>
  </si>
  <si>
    <t>CLAUDIA</t>
  </si>
  <si>
    <t>3478249977</t>
  </si>
  <si>
    <t>RBNCDP70H52F205Q</t>
  </si>
  <si>
    <t>claudiaurbano@alice.it</t>
  </si>
  <si>
    <t>prova pagata D</t>
  </si>
  <si>
    <t>1 CORSO Adulti</t>
  </si>
  <si>
    <t>2425-001082</t>
  </si>
  <si>
    <t>Joel, Nura</t>
  </si>
  <si>
    <t>SEDE Joel, SEDE Nura</t>
  </si>
  <si>
    <t>ID-000354</t>
  </si>
  <si>
    <t>DE MARTINO</t>
  </si>
  <si>
    <t>LUCIA</t>
  </si>
  <si>
    <t>3488710026</t>
  </si>
  <si>
    <t>DMRLCU72A69G230V</t>
  </si>
  <si>
    <t>lucia.de.martino@snam.it</t>
  </si>
  <si>
    <t>2526-000354</t>
  </si>
  <si>
    <t>Nura, Estefany</t>
  </si>
  <si>
    <t>SEDE Nura, SEDE Estefany</t>
  </si>
  <si>
    <t>ID-000378</t>
  </si>
  <si>
    <t>PALADINI</t>
  </si>
  <si>
    <t>MARIA CHIARA</t>
  </si>
  <si>
    <t>3202979792</t>
  </si>
  <si>
    <t>PLDMCH89L68B180I</t>
  </si>
  <si>
    <t>mariachiarapaladini@gmail.com</t>
  </si>
  <si>
    <t>deve pagare D</t>
  </si>
  <si>
    <t>2425-000378</t>
  </si>
  <si>
    <t>Joel</t>
  </si>
  <si>
    <t>SEDE Joel</t>
  </si>
  <si>
    <t>ID-000381</t>
  </si>
  <si>
    <t>RISSO</t>
  </si>
  <si>
    <t>NAILA</t>
  </si>
  <si>
    <t>3466348305</t>
  </si>
  <si>
    <t>RSSNLA97B41Z133S</t>
  </si>
  <si>
    <t>naila.risso@live.it</t>
  </si>
  <si>
    <t>2425-000381</t>
  </si>
  <si>
    <t>sito, Estefany</t>
  </si>
  <si>
    <t>SEDE Estefany</t>
  </si>
  <si>
    <t>ID-001777</t>
  </si>
  <si>
    <t>RASTRELLI</t>
  </si>
  <si>
    <t>GIORGIA</t>
  </si>
  <si>
    <t>3404224454</t>
  </si>
  <si>
    <t>RSTGRG99T41F205B</t>
  </si>
  <si>
    <t>giorgiarastrelli@gmail.com</t>
  </si>
  <si>
    <t>2425-001777</t>
  </si>
  <si>
    <t>SEDE Nura, TELEFONO</t>
  </si>
  <si>
    <t>ID-001518</t>
  </si>
  <si>
    <t>RUVIO</t>
  </si>
  <si>
    <t>EMAUELA</t>
  </si>
  <si>
    <t>3454578085</t>
  </si>
  <si>
    <t>RVUMNL01H44I441L</t>
  </si>
  <si>
    <t>emaruvio01@gmail.com</t>
  </si>
  <si>
    <t>2425-001518</t>
  </si>
  <si>
    <t>ID-001021</t>
  </si>
  <si>
    <t>STICOTTI</t>
  </si>
  <si>
    <t>3487482398</t>
  </si>
  <si>
    <t>STCBRC99A58F205V</t>
  </si>
  <si>
    <t>beatrice.sticotti@gmail.com</t>
  </si>
  <si>
    <t>2324-001021</t>
  </si>
  <si>
    <t>ID-001022</t>
  </si>
  <si>
    <t>CAMILLA</t>
  </si>
  <si>
    <t>3342900479</t>
  </si>
  <si>
    <t>STCCLL01H41F205V</t>
  </si>
  <si>
    <t>camilla.sticotti@gmail.com</t>
  </si>
  <si>
    <t>2425-001022</t>
  </si>
  <si>
    <t>ID-000387</t>
  </si>
  <si>
    <t>STARACE</t>
  </si>
  <si>
    <t>PAOLA</t>
  </si>
  <si>
    <t>3356727378</t>
  </si>
  <si>
    <t>STRPLA95C42F839Q</t>
  </si>
  <si>
    <t>pao.starace@gmail.com</t>
  </si>
  <si>
    <t>3 CORSI Adulti, 1 QUOTA TESSERA</t>
  </si>
  <si>
    <t>2425-000387</t>
  </si>
  <si>
    <t>ID-000759</t>
  </si>
  <si>
    <t>VASTA</t>
  </si>
  <si>
    <t>MARIA GRAZIA</t>
  </si>
  <si>
    <t>3208838711</t>
  </si>
  <si>
    <t>VSTMGR93A45C351M</t>
  </si>
  <si>
    <t>marziavasta@virgilio.it</t>
  </si>
  <si>
    <t>2425-000759</t>
  </si>
  <si>
    <t>NON COMPILATA</t>
  </si>
  <si>
    <t>Estefany</t>
  </si>
  <si>
    <t>BONIFICO, EMAIL</t>
  </si>
  <si>
    <t>ID-001391</t>
  </si>
  <si>
    <t>ZANOTTO</t>
  </si>
  <si>
    <t>BEATRICE AMBRA</t>
  </si>
  <si>
    <t>3470636797</t>
  </si>
  <si>
    <t>ZNTBRC94E55F205G</t>
  </si>
  <si>
    <t>info@beatriceambra.it</t>
  </si>
  <si>
    <t>1 CORSO Adulti Quadrimestre</t>
  </si>
  <si>
    <t>2425-001391</t>
  </si>
  <si>
    <t>Estefany, Giuditta</t>
  </si>
  <si>
    <t>ID-001349</t>
  </si>
  <si>
    <t>BACCHI</t>
  </si>
  <si>
    <t>CHIARA</t>
  </si>
  <si>
    <t>3393139039</t>
  </si>
  <si>
    <t>BCCCHR89E63F257V</t>
  </si>
  <si>
    <t>chiarabacchi6@gmail.com</t>
  </si>
  <si>
    <t>2425-001349</t>
  </si>
  <si>
    <t>TELEFONO, SEDE Alexandra</t>
  </si>
  <si>
    <t>ID-001099</t>
  </si>
  <si>
    <t>PALACIOS HUANCA</t>
  </si>
  <si>
    <t>ESTHER</t>
  </si>
  <si>
    <t>3343267311</t>
  </si>
  <si>
    <t>PLCSHR78M52Z611J</t>
  </si>
  <si>
    <t>tehiph4@hotmail.com</t>
  </si>
  <si>
    <t>2526-001099</t>
  </si>
  <si>
    <t>01/01/0200</t>
  </si>
  <si>
    <t>ID-003411</t>
  </si>
  <si>
    <t>LEVY</t>
  </si>
  <si>
    <t>TOVA MICHELLE</t>
  </si>
  <si>
    <t>3391141288</t>
  </si>
  <si>
    <t>LVYTMC76C63F205W</t>
  </si>
  <si>
    <t>michelle1976@hotmail.it</t>
  </si>
  <si>
    <t>2526-003411</t>
  </si>
  <si>
    <t>ID-000458</t>
  </si>
  <si>
    <t>MAFFIOLI</t>
  </si>
  <si>
    <t>SOFIA</t>
  </si>
  <si>
    <t>3348824609</t>
  </si>
  <si>
    <t>MFFSFO95R65F205B</t>
  </si>
  <si>
    <t>smsofy@gmail.com</t>
  </si>
  <si>
    <t>2425-000458</t>
  </si>
  <si>
    <t>UOMINI</t>
  </si>
  <si>
    <t>ID-003233</t>
  </si>
  <si>
    <t>BELVERDE</t>
  </si>
  <si>
    <t>MASSIMO</t>
  </si>
  <si>
    <t>Uomo</t>
  </si>
  <si>
    <t>3332977607</t>
  </si>
  <si>
    <t>BLVMSM65S20G624U</t>
  </si>
  <si>
    <t>iscritto Uomo</t>
  </si>
  <si>
    <t>2526-003233</t>
  </si>
  <si>
    <t>ERRORE</t>
  </si>
  <si>
    <t>K3299</t>
  </si>
  <si>
    <t>EMAIL</t>
  </si>
  <si>
    <t>ID-001128</t>
  </si>
  <si>
    <t>CIGOGNINI</t>
  </si>
  <si>
    <t>ANDREA</t>
  </si>
  <si>
    <t>3459555629</t>
  </si>
  <si>
    <t>CGGNDR98D03C816N</t>
  </si>
  <si>
    <t>andrecigo3@gmail.com</t>
  </si>
  <si>
    <t>2425-001128</t>
  </si>
  <si>
    <t>EMAIL, SEDE Nura</t>
  </si>
  <si>
    <t>ID-002653</t>
  </si>
  <si>
    <t>CESTOLA</t>
  </si>
  <si>
    <t>LORENZO</t>
  </si>
  <si>
    <t>3338172128</t>
  </si>
  <si>
    <t>CSTLNZ92D26C770L</t>
  </si>
  <si>
    <t>lorenzo.cestola26@gmail.com</t>
  </si>
  <si>
    <t>2526-002653</t>
  </si>
  <si>
    <t>BONIFICO, SEDE Nura</t>
  </si>
  <si>
    <t>ID-000951</t>
  </si>
  <si>
    <t>DI NAPOLI</t>
  </si>
  <si>
    <t>ALESSIO</t>
  </si>
  <si>
    <t>3884669524</t>
  </si>
  <si>
    <t>DNPLSS84R16A940H</t>
  </si>
  <si>
    <t>dinapolialessio@gmail.com</t>
  </si>
  <si>
    <t>3 CORSI Adulti</t>
  </si>
  <si>
    <t>2425-000951</t>
  </si>
  <si>
    <t>Estefany, sito</t>
  </si>
  <si>
    <t>ONLINE</t>
  </si>
  <si>
    <t>ID-002249</t>
  </si>
  <si>
    <t>GAGNO</t>
  </si>
  <si>
    <t>LUCA</t>
  </si>
  <si>
    <t>3771353177</t>
  </si>
  <si>
    <t>GGNLCU96A09L736Q</t>
  </si>
  <si>
    <t>lucagagno@gmail.com</t>
  </si>
  <si>
    <t>2526-002249</t>
  </si>
  <si>
    <t>ID-001076</t>
  </si>
  <si>
    <t>GIOIA</t>
  </si>
  <si>
    <t>RICCARDO</t>
  </si>
  <si>
    <t>3472538771</t>
  </si>
  <si>
    <t>GIORCR69A19F205N</t>
  </si>
  <si>
    <t>r.gioia@me.com</t>
  </si>
  <si>
    <t>2425-001076</t>
  </si>
  <si>
    <t>ID-000114</t>
  </si>
  <si>
    <t>LUCENTI</t>
  </si>
  <si>
    <t>3701006439</t>
  </si>
  <si>
    <t>LCNRCR71T07F205H</t>
  </si>
  <si>
    <t>riccardo@claudiobonoldi.com</t>
  </si>
  <si>
    <t>1 OPEN BALLO</t>
  </si>
  <si>
    <t>2425-000114</t>
  </si>
  <si>
    <t>ID-000520</t>
  </si>
  <si>
    <t>EL SERAFI</t>
  </si>
  <si>
    <t>ADRE ANWAR</t>
  </si>
  <si>
    <t>3462478052</t>
  </si>
  <si>
    <t>LSRDNW94D20F205D</t>
  </si>
  <si>
    <t>lalla.cesari@gmail.com</t>
  </si>
  <si>
    <t>1 CORSO Adulti, 1 CORSO Adulti VENERDI O SABATO, 1 QUOTA TESSERA</t>
  </si>
  <si>
    <t>2425-000520</t>
  </si>
  <si>
    <t>ID-000370</t>
  </si>
  <si>
    <t>MALAVOLTA</t>
  </si>
  <si>
    <t>3755052322</t>
  </si>
  <si>
    <t>MLVLNZ03C21F205Z</t>
  </si>
  <si>
    <t>lorenz.malavolta@gmail.com</t>
  </si>
  <si>
    <t>2425-000370</t>
  </si>
  <si>
    <t>ID-001365</t>
  </si>
  <si>
    <t>MORABITO</t>
  </si>
  <si>
    <t>MICHELE</t>
  </si>
  <si>
    <t>3440484102</t>
  </si>
  <si>
    <t>MRBMHL90T22F205K</t>
  </si>
  <si>
    <t>morabitomichele7@gmail.com</t>
  </si>
  <si>
    <t>2425-001365</t>
  </si>
  <si>
    <t>ID-000373</t>
  </si>
  <si>
    <t>MUSCILLO</t>
  </si>
  <si>
    <t>FLAVIO</t>
  </si>
  <si>
    <t>3466643002</t>
  </si>
  <si>
    <t>MSCFLV69D29F205S</t>
  </si>
  <si>
    <t>flavioeco.fm@libero.it</t>
  </si>
  <si>
    <t>2425-000373</t>
  </si>
  <si>
    <t>ID-000927</t>
  </si>
  <si>
    <t>NIBALI</t>
  </si>
  <si>
    <t>LUIGI GIOVANNNI</t>
  </si>
  <si>
    <t>3490527464</t>
  </si>
  <si>
    <t>NBLLGV80M02A089O</t>
  </si>
  <si>
    <t>luiginibali@tiscali.it</t>
  </si>
  <si>
    <t>2425-000927</t>
  </si>
  <si>
    <t>ID-000876</t>
  </si>
  <si>
    <t>PINTO</t>
  </si>
  <si>
    <t>ANGELO</t>
  </si>
  <si>
    <t>3291815129</t>
  </si>
  <si>
    <t>PNTNGL01C10A662A</t>
  </si>
  <si>
    <t>angelopinto72@gmail.com</t>
  </si>
  <si>
    <t>2425-000876</t>
  </si>
  <si>
    <t>ID-000380</t>
  </si>
  <si>
    <t>PORCHERA</t>
  </si>
  <si>
    <t>GIOVANNI</t>
  </si>
  <si>
    <t>3382826724</t>
  </si>
  <si>
    <t>PRCGNN62M07F205J</t>
  </si>
  <si>
    <t>porchera@me.com</t>
  </si>
  <si>
    <t>1 QUOTA TESSERA, 4 CORSI Adulti</t>
  </si>
  <si>
    <t>2425-000380</t>
  </si>
  <si>
    <t>TELEFONO, SEDE Nura</t>
  </si>
  <si>
    <t>ID-001512</t>
  </si>
  <si>
    <t>PROVASI</t>
  </si>
  <si>
    <t>3465467219</t>
  </si>
  <si>
    <t>PRVNDR01T03F205J</t>
  </si>
  <si>
    <t>provasiandrea@gmail.com</t>
  </si>
  <si>
    <t>2425-001512</t>
  </si>
  <si>
    <t>ID-000536</t>
  </si>
  <si>
    <t>RUBECCHI</t>
  </si>
  <si>
    <t>MATTIA</t>
  </si>
  <si>
    <t>3332740502</t>
  </si>
  <si>
    <t>RBCMTT96L27F205C</t>
  </si>
  <si>
    <t>rubendtia@gmail.com</t>
  </si>
  <si>
    <t>2425-000536</t>
  </si>
  <si>
    <t>ID-001100</t>
  </si>
  <si>
    <t>ROCCO</t>
  </si>
  <si>
    <t>GIUSEPPE</t>
  </si>
  <si>
    <t>3471494044</t>
  </si>
  <si>
    <t>RCCGPP74H24L049V</t>
  </si>
  <si>
    <t>GIUSEPPEROCCO04@YAHOO.IT</t>
  </si>
  <si>
    <t>1 QUOTA TESSERA, 1 CORSO Adulti</t>
  </si>
  <si>
    <t>2526-001100</t>
  </si>
  <si>
    <t>ID-000266</t>
  </si>
  <si>
    <t>ROSALIO</t>
  </si>
  <si>
    <t>3332689933</t>
  </si>
  <si>
    <t>RSLGPP77S14M102N</t>
  </si>
  <si>
    <t>giusepperosalio@gmail.com</t>
  </si>
  <si>
    <t>2425-000266</t>
  </si>
  <si>
    <t>ID-003016</t>
  </si>
  <si>
    <t>SENSOLINI</t>
  </si>
  <si>
    <t>THOMAS</t>
  </si>
  <si>
    <t>3665886480</t>
  </si>
  <si>
    <t>SNSTMS82H21I459T</t>
  </si>
  <si>
    <t>thomas.sensolini@gmail.com</t>
  </si>
  <si>
    <t>2526-003016</t>
  </si>
  <si>
    <t>ID-002620</t>
  </si>
  <si>
    <t>ASSIANI</t>
  </si>
  <si>
    <t>FILIPPO</t>
  </si>
  <si>
    <t>3463837569</t>
  </si>
  <si>
    <t>SSNFPP86C31F205Z</t>
  </si>
  <si>
    <t>filippoassiani@libero.it</t>
  </si>
  <si>
    <t>2526-002620</t>
  </si>
  <si>
    <t>ID-000388</t>
  </si>
  <si>
    <t>TURINA</t>
  </si>
  <si>
    <t>MATTEO</t>
  </si>
  <si>
    <t>3454587168</t>
  </si>
  <si>
    <t>TRNMTT81M04L781X</t>
  </si>
  <si>
    <t>turinamatteo@gmail.com</t>
  </si>
  <si>
    <t>2425-000388</t>
  </si>
  <si>
    <t>sito, Giuditta</t>
  </si>
  <si>
    <t>ID-001718</t>
  </si>
  <si>
    <t>TORRONI</t>
  </si>
  <si>
    <t>3920285659</t>
  </si>
  <si>
    <t>TRRMHL73H29C424F</t>
  </si>
  <si>
    <t>micheletorroni@yahoo.co.uk</t>
  </si>
  <si>
    <t>2526-001718</t>
  </si>
  <si>
    <t>ID-000977</t>
  </si>
  <si>
    <t>ZINGARO</t>
  </si>
  <si>
    <t>STEFANO</t>
  </si>
  <si>
    <t>3496817763</t>
  </si>
  <si>
    <t>ZNGSFN92M04F205M</t>
  </si>
  <si>
    <t>ste.zingaro@gmail.com</t>
  </si>
  <si>
    <t>2425-000977</t>
  </si>
  <si>
    <t>ID-000774</t>
  </si>
  <si>
    <t>MACALUSO</t>
  </si>
  <si>
    <t>VITO</t>
  </si>
  <si>
    <t>3295988796</t>
  </si>
  <si>
    <t>MCLVTI92E27G273N</t>
  </si>
  <si>
    <t>vitomacaluso92@gmail.com</t>
  </si>
  <si>
    <t>2526-000774</t>
  </si>
  <si>
    <t>TOTALE</t>
  </si>
  <si>
    <t>ID</t>
  </si>
  <si>
    <t>lun - 01/09/25</t>
  </si>
  <si>
    <t>lun - 08/09/25
PROVA FITNESS
PROVA DANZA</t>
  </si>
  <si>
    <t>lun - 15/09/25
PROVA BALLO
PROVA AERIAL</t>
  </si>
  <si>
    <t>lun - 22/09/25
PROVA BAMBINI E RAGAZZI</t>
  </si>
  <si>
    <t>lun - 29/09/25</t>
  </si>
  <si>
    <t>lun - 06/10/25</t>
  </si>
  <si>
    <t>lun - 13/10/25</t>
  </si>
  <si>
    <t>lun - 20/10/25</t>
  </si>
  <si>
    <t>lun - 27/10/25</t>
  </si>
  <si>
    <t>lun - 03/11/25</t>
  </si>
  <si>
    <t>lun - 10/11/25</t>
  </si>
  <si>
    <t>lun - 17/11/25</t>
  </si>
  <si>
    <t>lun - 24/11/25</t>
  </si>
  <si>
    <t>lun - 01/12/25</t>
  </si>
  <si>
    <t>lun - 08/12/25
CHIUSO</t>
  </si>
  <si>
    <t>lun - 15/12/25</t>
  </si>
  <si>
    <t>lun - 22/12/25</t>
  </si>
  <si>
    <t>lun - 29/12/25
NO CORSI</t>
  </si>
  <si>
    <t>lun - 05/01/26
NO CORSI</t>
  </si>
  <si>
    <t>lun - 12/01/26</t>
  </si>
  <si>
    <t>lun - 26/01/26</t>
  </si>
  <si>
    <t>lun - 02/02/26</t>
  </si>
  <si>
    <t>lun - 09/02/26</t>
  </si>
  <si>
    <t>lun - 23/02/26</t>
  </si>
  <si>
    <t>lun - 09/03/26</t>
  </si>
  <si>
    <t>lun - 23/03/26</t>
  </si>
  <si>
    <t>lun - 06/04/26
CHIUSO</t>
  </si>
  <si>
    <t>lun - 13/04/26</t>
  </si>
  <si>
    <t>lun - 20/04/26</t>
  </si>
  <si>
    <t>lun - 27/04/26</t>
  </si>
  <si>
    <t>lun - 04/05/26</t>
  </si>
  <si>
    <t>lun - 11/05/26</t>
  </si>
  <si>
    <t>lun - 18/05/26</t>
  </si>
  <si>
    <t>lun - 25/05/26</t>
  </si>
  <si>
    <t>lun - 01/06/26
CHIUSO</t>
  </si>
  <si>
    <t>lun - 08/06/26
NO BAMBINI</t>
  </si>
  <si>
    <t>lun - 15/06/26
NO BAMBINI</t>
  </si>
  <si>
    <t>lun - 22/06/26
NO BAMBINI</t>
  </si>
  <si>
    <t>lun - 29/06/26
NO BAMBINI</t>
  </si>
  <si>
    <t>lun - 19/01/26</t>
  </si>
  <si>
    <t>lun - 16/02/26</t>
  </si>
  <si>
    <t>lun - 02/03/26</t>
  </si>
  <si>
    <t>lun - 16/03/26</t>
  </si>
  <si>
    <t>lun - 30/03/26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</si>
</sst>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€-2]\ #,##0.00"/>
    <numFmt numFmtId="165" formatCode="dd/MM/yyyy"/>
    <numFmt numFmtId="166" formatCode="_-[$€-2]* #,##0.00_-;_-[$€-2]* \-#,##0.00_-;_-[$€-2]* &quot;-&quot;??_-;_-@"/>
    <numFmt numFmtId="167" formatCode="dd/mm/yyyy"/>
    <numFmt numFmtId="168" formatCode="d/m/yyyy"/>
    <numFmt numFmtId="169" formatCode="&quot;Uomini:&quot; # "/>
    <numFmt numFmtId="170" formatCode="&quot;Non Compilate:&quot; # "/>
  </numFmts>
  <fonts count="23">
    <font>
      <sz val="10.0"/>
      <color rgb="FF000000"/>
      <name val="Helvetica Neue"/>
      <scheme val="minor"/>
    </font>
    <font>
      <sz val="8.0"/>
      <color rgb="FF000000"/>
      <name val="Arial"/>
    </font>
    <font>
      <b/>
      <sz val="10.0"/>
      <color theme="1"/>
      <name val="Arial"/>
    </font>
    <font>
      <sz val="8.0"/>
      <color theme="1"/>
      <name val="Arial"/>
    </font>
    <font/>
    <font>
      <b/>
      <sz val="10.0"/>
      <color rgb="FF000000"/>
      <name val="Arial"/>
    </font>
    <font>
      <b/>
      <sz val="10.0"/>
      <color rgb="FFFF0000"/>
      <name val="Arial"/>
    </font>
    <font>
      <b/>
      <sz val="8.0"/>
      <color theme="1"/>
      <name val="Arial"/>
    </font>
    <font>
      <b/>
      <u/>
      <sz val="8.0"/>
      <color rgb="FF0000FF"/>
      <name val="Arial"/>
    </font>
    <font>
      <color theme="1"/>
      <name val="Helvetica Neue"/>
    </font>
    <font>
      <b/>
      <sz val="15.0"/>
      <color rgb="FF000000"/>
      <name val="Arial"/>
    </font>
    <font>
      <b/>
      <sz val="15.0"/>
      <color theme="1"/>
      <name val="Arial"/>
    </font>
    <font>
      <b/>
      <i/>
      <sz val="15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color rgb="FF6D9EEB"/>
      <name val="Helvetica Neue"/>
    </font>
    <font>
      <color rgb="FFFFFFFF"/>
      <name val="Helvetica Neue"/>
    </font>
    <font>
      <color rgb="FFFFFF00"/>
      <name val="Helvetica Neue"/>
    </font>
    <font>
      <sz val="10.0"/>
      <color rgb="FF666666"/>
      <name val="Arial"/>
    </font>
    <font>
      <b/>
      <i/>
      <sz val="15.0"/>
      <color rgb="FF000000"/>
      <name val="Arial"/>
    </font>
    <font>
      <b/>
      <color theme="1"/>
      <name val="Arial"/>
    </font>
    <font>
      <color theme="1"/>
      <name val="Helvetica Neue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FEFEFE"/>
        <bgColor rgb="FFFEFEFE"/>
      </patternFill>
    </fill>
  </fills>
  <borders count="4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000000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ck">
        <color rgb="FF000000"/>
      </left>
    </border>
    <border>
      <left style="thick">
        <color rgb="FFFF0000"/>
      </left>
      <top style="thick">
        <color rgb="FFFF0000"/>
      </top>
    </border>
    <border>
      <left style="thick">
        <color rgb="FFFF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thick">
        <color rgb="FF000000"/>
      </left>
      <right style="thin">
        <color rgb="FFCCCCCC"/>
      </right>
    </border>
    <border>
      <left style="thick">
        <color rgb="FFFF0000"/>
      </left>
      <right style="thick">
        <color rgb="FFFF0000"/>
      </right>
    </border>
    <border>
      <left style="thick">
        <color rgb="FFFF0000"/>
      </left>
      <right style="thin">
        <color rgb="FFCCCCCC"/>
      </right>
    </border>
    <border>
      <right style="thin">
        <color rgb="FFCCCCCC"/>
      </right>
    </border>
    <border>
      <left style="thick">
        <color rgb="FF000000"/>
      </left>
      <top style="thin">
        <color rgb="FFCCCCCC"/>
      </top>
    </border>
    <border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medium">
        <color rgb="FF000000"/>
      </lef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ck">
        <color rgb="FF000000"/>
      </left>
      <right style="thin">
        <color rgb="FFCCCCCC"/>
      </right>
      <bottom style="thin">
        <color rgb="FFCCCCCC"/>
      </bottom>
    </border>
    <border>
      <left style="thin">
        <color rgb="FFD9D9D9"/>
      </left>
      <bottom style="thin">
        <color rgb="FFD9D9D9"/>
      </bottom>
    </border>
    <border>
      <left style="thick">
        <color rgb="FFFF0000"/>
      </left>
      <bottom style="thin">
        <color rgb="FFCCCCCC"/>
      </bottom>
    </border>
    <border>
      <left style="thick">
        <color rgb="FFFF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top style="thin">
        <color rgb="FFCCCCCC"/>
      </top>
      <bottom style="thin">
        <color rgb="FFCCCCCC"/>
      </bottom>
    </border>
    <border>
      <left style="medium">
        <color rgb="FF000000"/>
      </left>
      <bottom style="thin">
        <color rgb="FFCCCCCC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ck">
        <color rgb="FFFF0000"/>
      </left>
      <top style="thin">
        <color rgb="FFCCCCCC"/>
      </top>
      <bottom style="thin">
        <color rgb="FFCCCCCC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top style="thin">
        <color rgb="FFCCCCCC"/>
      </top>
      <bottom style="thin">
        <color rgb="FFD9D9D9"/>
      </bottom>
    </border>
    <border>
      <left style="medium">
        <color rgb="FF000000"/>
      </left>
      <top style="thin">
        <color rgb="FFCCCCCC"/>
      </top>
    </border>
    <border>
      <left style="thick">
        <color rgb="FFFF0000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top style="medium">
        <color rgb="FF000000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ck">
        <color rgb="FFFF0000"/>
      </left>
      <top style="thin">
        <color rgb="FFCCCCCC"/>
      </top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right" readingOrder="0" shrinkToFit="0" vertical="center" wrapText="1"/>
    </xf>
    <xf borderId="2" fillId="3" fontId="2" numFmtId="0" xfId="0" applyAlignment="1" applyBorder="1" applyFill="1" applyFont="1">
      <alignment readingOrder="0" shrinkToFit="0" vertical="center" wrapText="1"/>
    </xf>
    <xf borderId="3" fillId="2" fontId="3" numFmtId="0" xfId="0" applyAlignment="1" applyBorder="1" applyFont="1">
      <alignment horizontal="right" readingOrder="0" shrinkToFit="0" vertical="center" wrapText="1"/>
    </xf>
    <xf borderId="4" fillId="0" fontId="4" numFmtId="0" xfId="0" applyAlignment="1" applyBorder="1" applyFont="1">
      <alignment shrinkToFit="0" vertical="top" wrapText="1"/>
    </xf>
    <xf borderId="2" fillId="3" fontId="5" numFmtId="0" xfId="0" applyAlignment="1" applyBorder="1" applyFont="1">
      <alignment readingOrder="0" shrinkToFit="0" vertical="center" wrapText="1"/>
    </xf>
    <xf borderId="5" fillId="2" fontId="1" numFmtId="164" xfId="0" applyAlignment="1" applyBorder="1" applyFont="1" applyNumberFormat="1">
      <alignment horizontal="right" readingOrder="0" shrinkToFit="0" vertical="center" wrapText="1"/>
    </xf>
    <xf borderId="1" fillId="3" fontId="5" numFmtId="49" xfId="0" applyAlignment="1" applyBorder="1" applyFont="1" applyNumberForma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right" readingOrder="0" shrinkToFit="0" vertical="center" wrapText="1"/>
    </xf>
    <xf borderId="2" fillId="2" fontId="1" numFmtId="164" xfId="0" applyAlignment="1" applyBorder="1" applyFont="1" applyNumberFormat="1">
      <alignment horizontal="right" readingOrder="0" shrinkToFit="0" vertical="center" wrapText="1"/>
    </xf>
    <xf borderId="5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164" xfId="0" applyAlignment="1" applyBorder="1" applyFont="1" applyNumberFormat="1">
      <alignment readingOrder="0" shrinkToFit="0" vertical="center" wrapText="1"/>
    </xf>
    <xf borderId="2" fillId="2" fontId="1" numFmtId="0" xfId="0" applyAlignment="1" applyBorder="1" applyFont="1">
      <alignment horizontal="right" readingOrder="0" shrinkToFit="0" vertical="center" wrapText="1"/>
    </xf>
    <xf borderId="6" fillId="0" fontId="4" numFmtId="0" xfId="0" applyAlignment="1" applyBorder="1" applyFont="1">
      <alignment shrinkToFit="0" vertical="top" wrapText="1"/>
    </xf>
    <xf borderId="2" fillId="2" fontId="3" numFmtId="0" xfId="0" applyAlignment="1" applyBorder="1" applyFont="1">
      <alignment horizontal="right" readingOrder="0" shrinkToFit="0" vertical="center" wrapText="1"/>
    </xf>
    <xf borderId="2" fillId="2" fontId="6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2" fillId="2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ont="1">
      <alignment shrinkToFit="0" vertical="center" wrapText="1"/>
    </xf>
    <xf borderId="7" fillId="2" fontId="9" numFmtId="49" xfId="0" applyAlignment="1" applyBorder="1" applyFont="1" applyNumberFormat="1">
      <alignment shrinkToFit="0" vertical="top" wrapText="1"/>
    </xf>
    <xf borderId="0" fillId="2" fontId="9" numFmtId="49" xfId="0" applyAlignment="1" applyFont="1" applyNumberFormat="1">
      <alignment shrinkToFit="0" vertical="top" wrapText="1"/>
    </xf>
    <xf borderId="0" fillId="5" fontId="10" numFmtId="49" xfId="0" applyAlignment="1" applyFill="1" applyFont="1" applyNumberFormat="1">
      <alignment horizontal="center" readingOrder="0" shrinkToFit="0" vertical="center" wrapText="1"/>
    </xf>
    <xf borderId="7" fillId="6" fontId="11" numFmtId="49" xfId="0" applyAlignment="1" applyBorder="1" applyFill="1" applyFont="1" applyNumberFormat="1">
      <alignment horizontal="center" shrinkToFit="0" vertical="center" wrapText="1"/>
    </xf>
    <xf borderId="7" fillId="7" fontId="10" numFmtId="49" xfId="0" applyAlignment="1" applyBorder="1" applyFill="1" applyFont="1" applyNumberFormat="1">
      <alignment horizontal="center" readingOrder="0" shrinkToFit="0" vertical="center" wrapText="1"/>
    </xf>
    <xf borderId="8" fillId="8" fontId="9" numFmtId="49" xfId="0" applyAlignment="1" applyBorder="1" applyFill="1" applyFont="1" applyNumberFormat="1">
      <alignment shrinkToFit="0" vertical="center" wrapText="1"/>
    </xf>
    <xf borderId="9" fillId="9" fontId="11" numFmtId="49" xfId="0" applyAlignment="1" applyBorder="1" applyFill="1" applyFont="1" applyNumberFormat="1">
      <alignment horizontal="center" shrinkToFit="0" vertical="center" wrapText="1"/>
    </xf>
    <xf borderId="10" fillId="10" fontId="9" numFmtId="49" xfId="0" applyAlignment="1" applyBorder="1" applyFill="1" applyFont="1" applyNumberFormat="1">
      <alignment shrinkToFit="0" vertical="center" wrapText="1"/>
    </xf>
    <xf borderId="7" fillId="4" fontId="9" numFmtId="49" xfId="0" applyAlignment="1" applyBorder="1" applyFont="1" applyNumberFormat="1">
      <alignment shrinkToFit="0" vertical="center" wrapText="1"/>
    </xf>
    <xf borderId="0" fillId="4" fontId="9" numFmtId="49" xfId="0" applyAlignment="1" applyFont="1" applyNumberFormat="1">
      <alignment shrinkToFit="0" vertical="center" wrapText="1"/>
    </xf>
    <xf borderId="7" fillId="11" fontId="11" numFmtId="49" xfId="0" applyAlignment="1" applyBorder="1" applyFill="1" applyFont="1" applyNumberFormat="1">
      <alignment horizontal="center" shrinkToFit="0" vertical="center" wrapText="1"/>
    </xf>
    <xf borderId="11" fillId="2" fontId="9" numFmtId="49" xfId="0" applyAlignment="1" applyBorder="1" applyFont="1" applyNumberFormat="1">
      <alignment shrinkToFit="0" vertical="top" wrapText="1"/>
    </xf>
    <xf borderId="12" fillId="2" fontId="9" numFmtId="49" xfId="0" applyAlignment="1" applyBorder="1" applyFont="1" applyNumberFormat="1">
      <alignment shrinkToFit="0" vertical="top" wrapText="1"/>
    </xf>
    <xf borderId="13" fillId="5" fontId="1" numFmtId="49" xfId="0" applyAlignment="1" applyBorder="1" applyFont="1" applyNumberFormat="1">
      <alignment horizontal="center" readingOrder="0" shrinkToFit="0" vertical="center" wrapText="1"/>
    </xf>
    <xf borderId="14" fillId="5" fontId="1" numFmtId="49" xfId="0" applyAlignment="1" applyBorder="1" applyFont="1" applyNumberFormat="1">
      <alignment horizontal="center" readingOrder="0" shrinkToFit="0" vertical="center" wrapText="1"/>
    </xf>
    <xf borderId="15" fillId="6" fontId="1" numFmtId="49" xfId="0" applyAlignment="1" applyBorder="1" applyFont="1" applyNumberFormat="1">
      <alignment horizontal="center" readingOrder="0" shrinkToFit="0" vertical="center" wrapText="1"/>
    </xf>
    <xf borderId="13" fillId="6" fontId="1" numFmtId="49" xfId="0" applyAlignment="1" applyBorder="1" applyFont="1" applyNumberFormat="1">
      <alignment horizontal="center" readingOrder="0" shrinkToFit="0" vertical="center" wrapText="1"/>
    </xf>
    <xf borderId="0" fillId="6" fontId="1" numFmtId="164" xfId="0" applyAlignment="1" applyFont="1" applyNumberFormat="1">
      <alignment horizontal="center" readingOrder="0" shrinkToFit="0" vertical="center" wrapText="1"/>
    </xf>
    <xf borderId="14" fillId="6" fontId="1" numFmtId="164" xfId="0" applyAlignment="1" applyBorder="1" applyFont="1" applyNumberFormat="1">
      <alignment horizontal="center" readingOrder="0" shrinkToFit="0" vertical="center" wrapText="1"/>
    </xf>
    <xf borderId="15" fillId="7" fontId="1" numFmtId="164" xfId="0" applyAlignment="1" applyBorder="1" applyFont="1" applyNumberFormat="1">
      <alignment horizontal="center" readingOrder="0" shrinkToFit="0" vertical="center" wrapText="1"/>
    </xf>
    <xf borderId="13" fillId="7" fontId="1" numFmtId="164" xfId="0" applyAlignment="1" applyBorder="1" applyFont="1" applyNumberFormat="1">
      <alignment horizontal="center" readingOrder="0" shrinkToFit="0" vertical="center" wrapText="1"/>
    </xf>
    <xf borderId="13" fillId="7" fontId="1" numFmtId="49" xfId="0" applyAlignment="1" applyBorder="1" applyFont="1" applyNumberFormat="1">
      <alignment horizontal="center" readingOrder="0" shrinkToFit="0" vertical="center" wrapText="1"/>
    </xf>
    <xf borderId="13" fillId="7" fontId="1" numFmtId="164" xfId="0" applyAlignment="1" applyBorder="1" applyFont="1" applyNumberFormat="1">
      <alignment horizontal="center" readingOrder="0" shrinkToFit="0" vertical="center" wrapText="1"/>
    </xf>
    <xf borderId="14" fillId="7" fontId="1" numFmtId="164" xfId="0" applyAlignment="1" applyBorder="1" applyFont="1" applyNumberFormat="1">
      <alignment horizontal="center" readingOrder="0" shrinkToFit="0" vertical="center" wrapText="1"/>
    </xf>
    <xf borderId="14" fillId="7" fontId="3" numFmtId="164" xfId="0" applyAlignment="1" applyBorder="1" applyFont="1" applyNumberFormat="1">
      <alignment horizontal="center" readingOrder="0" shrinkToFit="0" vertical="center" wrapText="1"/>
    </xf>
    <xf borderId="13" fillId="7" fontId="3" numFmtId="164" xfId="0" applyAlignment="1" applyBorder="1" applyFont="1" applyNumberFormat="1">
      <alignment horizontal="center" readingOrder="0" shrinkToFit="0" vertical="center" wrapText="1"/>
    </xf>
    <xf borderId="16" fillId="8" fontId="3" numFmtId="164" xfId="0" applyAlignment="1" applyBorder="1" applyFont="1" applyNumberFormat="1">
      <alignment horizontal="center" readingOrder="0" shrinkToFit="0" vertical="center" wrapText="1"/>
    </xf>
    <xf borderId="17" fillId="9" fontId="3" numFmtId="49" xfId="0" applyAlignment="1" applyBorder="1" applyFont="1" applyNumberFormat="1">
      <alignment horizontal="center" readingOrder="0" shrinkToFit="0" vertical="center" wrapText="1"/>
    </xf>
    <xf borderId="18" fillId="9" fontId="3" numFmtId="49" xfId="0" applyAlignment="1" applyBorder="1" applyFont="1" applyNumberFormat="1">
      <alignment horizontal="center" readingOrder="0" shrinkToFit="0" vertical="center" wrapText="1"/>
    </xf>
    <xf borderId="13" fillId="9" fontId="3" numFmtId="49" xfId="0" applyAlignment="1" applyBorder="1" applyFont="1" applyNumberFormat="1">
      <alignment horizontal="center" readingOrder="0" shrinkToFit="0" vertical="center" wrapText="1"/>
    </xf>
    <xf borderId="0" fillId="9" fontId="3" numFmtId="164" xfId="0" applyAlignment="1" applyFont="1" applyNumberFormat="1">
      <alignment horizontal="center" readingOrder="0" shrinkToFit="0" vertical="center" wrapText="1"/>
    </xf>
    <xf borderId="10" fillId="10" fontId="3" numFmtId="49" xfId="0" applyAlignment="1" applyBorder="1" applyFont="1" applyNumberFormat="1">
      <alignment horizontal="center" readingOrder="0" shrinkToFit="0" vertical="center" wrapText="1"/>
    </xf>
    <xf borderId="19" fillId="4" fontId="3" numFmtId="49" xfId="0" applyAlignment="1" applyBorder="1" applyFont="1" applyNumberFormat="1">
      <alignment horizontal="center" readingOrder="0" shrinkToFit="0" vertical="center" wrapText="1"/>
    </xf>
    <xf borderId="20" fillId="3" fontId="3" numFmtId="49" xfId="0" applyAlignment="1" applyBorder="1" applyFont="1" applyNumberFormat="1">
      <alignment horizontal="center" readingOrder="0" shrinkToFit="0" vertical="center" wrapText="1"/>
    </xf>
    <xf borderId="21" fillId="4" fontId="3" numFmtId="49" xfId="0" applyAlignment="1" applyBorder="1" applyFont="1" applyNumberFormat="1">
      <alignment horizontal="center" readingOrder="0" shrinkToFit="0" vertical="center" wrapText="1"/>
    </xf>
    <xf borderId="7" fillId="11" fontId="3" numFmtId="49" xfId="0" applyAlignment="1" applyBorder="1" applyFont="1" applyNumberFormat="1">
      <alignment horizontal="center" readingOrder="0" shrinkToFit="0" vertical="center" wrapText="1"/>
    </xf>
    <xf borderId="0" fillId="11" fontId="3" numFmtId="49" xfId="0" applyAlignment="1" applyFont="1" applyNumberFormat="1">
      <alignment horizontal="center" readingOrder="0" shrinkToFit="0" vertical="center" wrapText="1"/>
    </xf>
    <xf borderId="7" fillId="2" fontId="3" numFmtId="164" xfId="0" applyAlignment="1" applyBorder="1" applyFont="1" applyNumberFormat="1">
      <alignment horizontal="center" readingOrder="0" shrinkToFit="0" vertical="center" wrapText="1"/>
    </xf>
    <xf borderId="22" fillId="2" fontId="1" numFmtId="164" xfId="0" applyAlignment="1" applyBorder="1" applyFont="1" applyNumberFormat="1">
      <alignment horizontal="center" readingOrder="0" shrinkToFit="0" vertical="center" wrapText="1"/>
    </xf>
    <xf borderId="22" fillId="8" fontId="1" numFmtId="164" xfId="0" applyAlignment="1" applyBorder="1" applyFont="1" applyNumberFormat="1">
      <alignment horizontal="center" readingOrder="0" shrinkToFit="0" vertical="center" wrapText="1"/>
    </xf>
    <xf borderId="0" fillId="10" fontId="12" numFmtId="0" xfId="0" applyAlignment="1" applyFont="1">
      <alignment horizontal="center" shrinkToFit="0" vertical="center" wrapText="1"/>
    </xf>
    <xf borderId="19" fillId="10" fontId="12" numFmtId="0" xfId="0" applyAlignment="1" applyBorder="1" applyFont="1">
      <alignment horizontal="center" shrinkToFit="0" vertical="center" wrapText="1"/>
    </xf>
    <xf borderId="0" fillId="10" fontId="12" numFmtId="0" xfId="0" applyAlignment="1" applyFont="1">
      <alignment horizontal="right" readingOrder="0" shrinkToFit="0" vertical="center" wrapText="1"/>
    </xf>
    <xf borderId="20" fillId="10" fontId="12" numFmtId="0" xfId="0" applyAlignment="1" applyBorder="1" applyFont="1">
      <alignment horizontal="center" shrinkToFit="0" vertical="center" wrapText="1"/>
    </xf>
    <xf borderId="0" fillId="10" fontId="13" numFmtId="0" xfId="0" applyAlignment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shrinkToFit="0" vertical="center" wrapText="1"/>
    </xf>
    <xf borderId="5" fillId="2" fontId="14" numFmtId="0" xfId="0" applyAlignment="1" applyBorder="1" applyFont="1">
      <alignment shrinkToFit="0" vertical="center" wrapText="1"/>
    </xf>
    <xf borderId="1" fillId="0" fontId="13" numFmtId="165" xfId="0" applyAlignment="1" applyBorder="1" applyFont="1" applyNumberForma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23" fillId="0" fontId="13" numFmtId="49" xfId="0" applyAlignment="1" applyBorder="1" applyFont="1" applyNumberFormat="1">
      <alignment horizontal="left" shrinkToFit="0" vertical="center" wrapText="1"/>
    </xf>
    <xf borderId="25" fillId="0" fontId="13" numFmtId="0" xfId="0" applyAlignment="1" applyBorder="1" applyFont="1">
      <alignment shrinkToFit="0" vertical="center" wrapText="1"/>
    </xf>
    <xf borderId="26" fillId="0" fontId="14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shrinkToFit="0" vertical="center" wrapText="1"/>
    </xf>
    <xf borderId="23" fillId="0" fontId="13" numFmtId="165" xfId="0" applyAlignment="1" applyBorder="1" applyFont="1" applyNumberFormat="1">
      <alignment shrinkToFit="0" vertical="center" wrapText="1"/>
    </xf>
    <xf borderId="25" fillId="2" fontId="14" numFmtId="166" xfId="0" applyAlignment="1" applyBorder="1" applyFont="1" applyNumberFormat="1">
      <alignment horizontal="center" shrinkToFit="0" vertical="center" wrapText="1"/>
    </xf>
    <xf borderId="25" fillId="2" fontId="13" numFmtId="166" xfId="0" applyAlignment="1" applyBorder="1" applyFont="1" applyNumberFormat="1">
      <alignment shrinkToFit="0" vertical="center" wrapText="1"/>
    </xf>
    <xf borderId="26" fillId="0" fontId="13" numFmtId="0" xfId="0" applyAlignment="1" applyBorder="1" applyFont="1">
      <alignment shrinkToFit="0" vertical="center" wrapText="1"/>
    </xf>
    <xf borderId="23" fillId="0" fontId="14" numFmtId="0" xfId="0" applyAlignment="1" applyBorder="1" applyFont="1">
      <alignment shrinkToFit="0" vertical="center" wrapText="1"/>
    </xf>
    <xf borderId="23" fillId="0" fontId="13" numFmtId="165" xfId="0" applyAlignment="1" applyBorder="1" applyFont="1" applyNumberFormat="1">
      <alignment horizontal="center" shrinkToFit="0" vertical="center" wrapText="1"/>
    </xf>
    <xf borderId="25" fillId="2" fontId="13" numFmtId="166" xfId="0" applyAlignment="1" applyBorder="1" applyFont="1" applyNumberFormat="1">
      <alignment horizontal="center" shrinkToFit="0" vertical="center" wrapText="1"/>
    </xf>
    <xf borderId="25" fillId="0" fontId="2" numFmtId="0" xfId="0" applyAlignment="1" applyBorder="1" applyFont="1">
      <alignment shrinkToFit="0" vertical="center" wrapText="1"/>
    </xf>
    <xf borderId="23" fillId="2" fontId="13" numFmtId="166" xfId="0" applyAlignment="1" applyBorder="1" applyFont="1" applyNumberFormat="1">
      <alignment shrinkToFit="0" vertical="center" wrapText="1"/>
    </xf>
    <xf borderId="25" fillId="2" fontId="5" numFmtId="166" xfId="0" applyAlignment="1" applyBorder="1" applyFont="1" applyNumberFormat="1">
      <alignment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right" shrinkToFit="0" vertical="center" wrapText="1"/>
    </xf>
    <xf borderId="25" fillId="0" fontId="13" numFmtId="165" xfId="0" applyAlignment="1" applyBorder="1" applyFont="1" applyNumberFormat="1">
      <alignment horizontal="left" shrinkToFit="0" vertical="center" wrapText="1"/>
    </xf>
    <xf borderId="27" fillId="2" fontId="14" numFmtId="166" xfId="0" applyAlignment="1" applyBorder="1" applyFont="1" applyNumberFormat="1">
      <alignment shrinkToFit="0" vertical="center" wrapText="1"/>
    </xf>
    <xf borderId="28" fillId="0" fontId="14" numFmtId="166" xfId="0" applyAlignment="1" applyBorder="1" applyFont="1" applyNumberFormat="1">
      <alignment shrinkToFit="0" vertical="center" wrapText="1"/>
    </xf>
    <xf borderId="29" fillId="0" fontId="14" numFmtId="166" xfId="0" applyAlignment="1" applyBorder="1" applyFont="1" applyNumberFormat="1">
      <alignment horizontal="center" shrinkToFit="0" vertical="center" wrapText="1"/>
    </xf>
    <xf borderId="1" fillId="0" fontId="14" numFmtId="165" xfId="0" applyAlignment="1" applyBorder="1" applyFont="1" applyNumberFormat="1">
      <alignment horizontal="left" shrinkToFit="0" vertical="center" wrapText="1"/>
    </xf>
    <xf borderId="1" fillId="0" fontId="13" numFmtId="165" xfId="0" applyAlignment="1" applyBorder="1" applyFont="1" applyNumberFormat="1">
      <alignment horizontal="left" shrinkToFit="0" vertical="center" wrapText="1"/>
    </xf>
    <xf borderId="12" fillId="0" fontId="13" numFmtId="0" xfId="0" applyAlignment="1" applyBorder="1" applyFont="1">
      <alignment horizontal="left" shrinkToFit="0" vertical="center" wrapText="1"/>
    </xf>
    <xf borderId="11" fillId="0" fontId="14" numFmtId="167" xfId="0" applyAlignment="1" applyBorder="1" applyFont="1" applyNumberFormat="1">
      <alignment horizontal="center" shrinkToFit="0" vertical="center" wrapText="1"/>
    </xf>
    <xf borderId="11" fillId="0" fontId="14" numFmtId="166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26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shrinkToFit="0" vertical="top" wrapText="1"/>
    </xf>
    <xf borderId="30" fillId="2" fontId="9" numFmtId="0" xfId="0" applyAlignment="1" applyBorder="1" applyFont="1">
      <alignment shrinkToFit="0" vertical="top" wrapText="1"/>
    </xf>
    <xf borderId="31" fillId="2" fontId="1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49" xfId="0" applyAlignment="1" applyBorder="1" applyFont="1" applyNumberFormat="1">
      <alignment horizontal="left" shrinkToFit="0" vertical="center" wrapText="1"/>
    </xf>
    <xf borderId="2" fillId="2" fontId="13" numFmtId="166" xfId="0" applyAlignment="1" applyBorder="1" applyFont="1" applyNumberForma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1" fillId="0" fontId="13" numFmtId="165" xfId="0" applyAlignment="1" applyBorder="1" applyFont="1" applyNumberFormat="1">
      <alignment horizontal="center" shrinkToFit="0" vertical="center" wrapText="1"/>
    </xf>
    <xf borderId="2" fillId="2" fontId="13" numFmtId="166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2" fontId="13" numFmtId="166" xfId="0" applyAlignment="1" applyBorder="1" applyFont="1" applyNumberFormat="1">
      <alignment shrinkToFit="0" vertical="center" wrapText="1"/>
    </xf>
    <xf borderId="2" fillId="2" fontId="5" numFmtId="166" xfId="0" applyAlignment="1" applyBorder="1" applyFont="1" applyNumberFormat="1">
      <alignment shrinkToFit="0" vertical="center" wrapText="1"/>
    </xf>
    <xf borderId="1" fillId="0" fontId="13" numFmtId="0" xfId="0" applyAlignment="1" applyBorder="1" applyFont="1">
      <alignment horizontal="right" shrinkToFit="0" vertical="center" wrapText="1"/>
    </xf>
    <xf borderId="2" fillId="0" fontId="13" numFmtId="165" xfId="0" applyAlignment="1" applyBorder="1" applyFont="1" applyNumberFormat="1">
      <alignment horizontal="left" shrinkToFit="0" vertical="center" wrapText="1"/>
    </xf>
    <xf borderId="32" fillId="2" fontId="14" numFmtId="166" xfId="0" applyAlignment="1" applyBorder="1" applyFont="1" applyNumberFormat="1">
      <alignment shrinkToFit="0" vertical="center" wrapText="1"/>
    </xf>
    <xf borderId="33" fillId="0" fontId="14" numFmtId="166" xfId="0" applyAlignment="1" applyBorder="1" applyFont="1" applyNumberFormat="1">
      <alignment shrinkToFit="0" vertical="center" wrapText="1"/>
    </xf>
    <xf borderId="3" fillId="0" fontId="14" numFmtId="168" xfId="0" applyAlignment="1" applyBorder="1" applyFont="1" applyNumberFormat="1">
      <alignment horizontal="center" shrinkToFit="0" vertical="center" wrapText="1"/>
    </xf>
    <xf borderId="3" fillId="0" fontId="14" numFmtId="166" xfId="0" applyAlignment="1" applyBorder="1" applyFont="1" applyNumberFormat="1">
      <alignment horizontal="center" shrinkToFit="0" vertical="center" wrapText="1"/>
    </xf>
    <xf borderId="5" fillId="2" fontId="14" numFmtId="0" xfId="0" applyAlignment="1" applyBorder="1" applyFont="1">
      <alignment horizontal="center" shrinkToFit="0" vertical="center" wrapText="1"/>
    </xf>
    <xf borderId="30" fillId="2" fontId="1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5" fillId="2" fontId="14" numFmtId="0" xfId="0" applyAlignment="1" applyBorder="1" applyFont="1">
      <alignment readingOrder="0" shrinkToFit="0" vertical="center" wrapText="1"/>
    </xf>
    <xf borderId="1" fillId="0" fontId="13" numFmtId="165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24" fillId="0" fontId="14" numFmtId="0" xfId="0" applyAlignment="1" applyBorder="1" applyFont="1">
      <alignment horizontal="center" readingOrder="0" shrinkToFit="0" vertical="center" wrapText="1"/>
    </xf>
    <xf borderId="1" fillId="0" fontId="13" numFmtId="49" xfId="0" applyAlignment="1" applyBorder="1" applyFont="1" applyNumberFormat="1">
      <alignment horizontal="left" readingOrder="0" shrinkToFit="0" vertical="center" wrapText="1"/>
    </xf>
    <xf borderId="26" fillId="0" fontId="14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2" fillId="2" fontId="13" numFmtId="166" xfId="0" applyAlignment="1" applyBorder="1" applyFont="1" applyNumberFormat="1">
      <alignment readingOrder="0" shrinkToFit="0" vertical="center" wrapText="1"/>
    </xf>
    <xf borderId="5" fillId="0" fontId="13" numFmtId="0" xfId="0" applyAlignment="1" applyBorder="1" applyFont="1">
      <alignment readingOrder="0" shrinkToFit="0" vertical="center" wrapText="1"/>
    </xf>
    <xf borderId="1" fillId="0" fontId="13" numFmtId="165" xfId="0" applyAlignment="1" applyBorder="1" applyFont="1" applyNumberFormat="1">
      <alignment horizontal="center" readingOrder="0" shrinkToFit="0" vertical="center" wrapText="1"/>
    </xf>
    <xf borderId="2" fillId="2" fontId="13" numFmtId="166" xfId="0" applyAlignment="1" applyBorder="1" applyFont="1" applyNumberFormat="1">
      <alignment horizontal="center" readingOrder="0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2" fillId="0" fontId="13" numFmtId="165" xfId="0" applyAlignment="1" applyBorder="1" applyFont="1" applyNumberFormat="1">
      <alignment horizontal="left" readingOrder="0" shrinkToFit="0" vertical="center" wrapText="1"/>
    </xf>
    <xf borderId="1" fillId="2" fontId="13" numFmtId="166" xfId="0" applyAlignment="1" applyBorder="1" applyFont="1" applyNumberFormat="1">
      <alignment readingOrder="0" shrinkToFit="0" vertical="center" wrapText="1"/>
    </xf>
    <xf borderId="32" fillId="2" fontId="14" numFmtId="166" xfId="0" applyAlignment="1" applyBorder="1" applyFont="1" applyNumberFormat="1">
      <alignment readingOrder="0" shrinkToFit="0" vertical="center" wrapText="1"/>
    </xf>
    <xf borderId="33" fillId="0" fontId="14" numFmtId="166" xfId="0" applyAlignment="1" applyBorder="1" applyFont="1" applyNumberFormat="1">
      <alignment readingOrder="0" shrinkToFit="0" vertical="center" wrapText="1"/>
    </xf>
    <xf borderId="29" fillId="0" fontId="14" numFmtId="166" xfId="0" applyAlignment="1" applyBorder="1" applyFont="1" applyNumberFormat="1">
      <alignment horizontal="center" readingOrder="0" shrinkToFit="0" vertical="center" wrapText="1"/>
    </xf>
    <xf borderId="1" fillId="0" fontId="14" numFmtId="165" xfId="0" applyAlignment="1" applyBorder="1" applyFont="1" applyNumberFormat="1">
      <alignment horizontal="left" readingOrder="0" shrinkToFit="0" vertical="center" wrapText="1"/>
    </xf>
    <xf borderId="1" fillId="0" fontId="13" numFmtId="165" xfId="0" applyAlignment="1" applyBorder="1" applyFont="1" applyNumberFormat="1">
      <alignment horizontal="left" readingOrder="0" shrinkToFit="0" vertical="center" wrapText="1"/>
    </xf>
    <xf borderId="12" fillId="0" fontId="13" numFmtId="0" xfId="0" applyAlignment="1" applyBorder="1" applyFont="1">
      <alignment horizontal="left" readingOrder="0" shrinkToFit="0" vertical="center" wrapText="1"/>
    </xf>
    <xf borderId="3" fillId="0" fontId="14" numFmtId="167" xfId="0" applyAlignment="1" applyBorder="1" applyFont="1" applyNumberFormat="1">
      <alignment horizontal="center" readingOrder="0" shrinkToFit="0" vertical="center" wrapText="1"/>
    </xf>
    <xf borderId="3" fillId="0" fontId="14" numFmtId="166" xfId="0" applyAlignment="1" applyBorder="1" applyFont="1" applyNumberForma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5" fillId="2" fontId="14" numFmtId="0" xfId="0" applyAlignment="1" applyBorder="1" applyFont="1">
      <alignment horizontal="center" readingOrder="0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2" fontId="5" numFmtId="166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horizontal="right" readingOrder="0" shrinkToFit="0" vertical="center" wrapText="1"/>
    </xf>
    <xf borderId="3" fillId="0" fontId="14" numFmtId="168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right" shrinkToFit="0" vertical="center" wrapText="1"/>
    </xf>
    <xf borderId="25" fillId="2" fontId="14" numFmtId="166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right" readingOrder="0" shrinkToFit="0" vertical="center" wrapText="1"/>
    </xf>
    <xf borderId="3" fillId="2" fontId="9" numFmtId="0" xfId="0" applyAlignment="1" applyBorder="1" applyFont="1">
      <alignment shrinkToFit="0" vertical="top" wrapText="1"/>
    </xf>
    <xf borderId="30" fillId="2" fontId="9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4" numFmtId="49" xfId="0" applyAlignment="1" applyBorder="1" applyFont="1" applyNumberFormat="1">
      <alignment horizontal="left" readingOrder="0" shrinkToFit="0" vertical="center" wrapText="1"/>
    </xf>
    <xf borderId="1" fillId="2" fontId="14" numFmtId="166" xfId="0" applyAlignment="1" applyBorder="1" applyFont="1" applyNumberFormat="1">
      <alignment shrinkToFit="0" vertical="center" wrapText="1"/>
    </xf>
    <xf borderId="2" fillId="2" fontId="2" numFmtId="166" xfId="0" applyAlignment="1" applyBorder="1" applyFont="1" applyNumberForma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2" fontId="14" numFmtId="166" xfId="0" applyAlignment="1" applyBorder="1" applyFont="1" applyNumberFormat="1">
      <alignment horizontal="right" readingOrder="0" shrinkToFit="0" vertical="center" wrapText="1"/>
    </xf>
    <xf borderId="2" fillId="0" fontId="5" numFmtId="0" xfId="0" applyAlignment="1" applyBorder="1" applyFont="1">
      <alignment horizontal="right" readingOrder="0" shrinkToFit="0" vertical="center" wrapText="1"/>
    </xf>
    <xf borderId="30" fillId="2" fontId="15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0" fillId="2" fontId="9" numFmtId="0" xfId="0" applyAlignment="1" applyBorder="1" applyFont="1">
      <alignment shrinkToFit="0" vertical="center" wrapText="1"/>
    </xf>
    <xf borderId="30" fillId="2" fontId="16" numFmtId="0" xfId="0" applyAlignment="1" applyBorder="1" applyFont="1">
      <alignment shrinkToFit="0" vertical="center" wrapText="1"/>
    </xf>
    <xf borderId="30" fillId="2" fontId="17" numFmtId="0" xfId="0" applyAlignment="1" applyBorder="1" applyFont="1">
      <alignment shrinkToFit="0" vertical="center" wrapText="1"/>
    </xf>
    <xf borderId="30" fillId="2" fontId="18" numFmtId="0" xfId="0" applyAlignment="1" applyBorder="1" applyFont="1">
      <alignment shrinkToFit="0" vertical="center" wrapText="1"/>
    </xf>
    <xf borderId="30" fillId="2" fontId="1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2" fillId="2" fontId="2" numFmtId="166" xfId="0" applyAlignment="1" applyBorder="1" applyFont="1" applyNumberFormat="1">
      <alignment shrinkToFit="0" vertical="center" wrapText="1"/>
    </xf>
    <xf borderId="1" fillId="0" fontId="14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" fillId="0" fontId="14" numFmtId="0" xfId="0" applyAlignment="1" applyBorder="1" applyFont="1">
      <alignment horizontal="right" shrinkToFit="0" vertical="center" wrapText="1"/>
    </xf>
    <xf borderId="1" fillId="2" fontId="14" numFmtId="166" xfId="0" applyAlignment="1" applyBorder="1" applyFont="1" applyNumberFormat="1">
      <alignment horizontal="right" shrinkToFit="0" vertical="center" wrapText="1"/>
    </xf>
    <xf borderId="34" fillId="2" fontId="14" numFmtId="166" xfId="0" applyAlignment="1" applyBorder="1" applyFont="1" applyNumberFormat="1">
      <alignment readingOrder="0" shrinkToFit="0" vertical="center" wrapText="1"/>
    </xf>
    <xf borderId="23" fillId="0" fontId="13" numFmtId="0" xfId="0" applyAlignment="1" applyBorder="1" applyFont="1">
      <alignment horizontal="center" readingOrder="0" shrinkToFit="0" vertical="center" wrapText="1"/>
    </xf>
    <xf borderId="23" fillId="0" fontId="13" numFmtId="49" xfId="0" applyAlignment="1" applyBorder="1" applyFont="1" applyNumberFormat="1">
      <alignment horizontal="left" readingOrder="0" shrinkToFit="0" vertical="center" wrapText="1"/>
    </xf>
    <xf borderId="25" fillId="0" fontId="13" numFmtId="0" xfId="0" applyAlignment="1" applyBorder="1" applyFont="1">
      <alignment readingOrder="0" shrinkToFit="0" vertical="center" wrapText="1"/>
    </xf>
    <xf borderId="23" fillId="0" fontId="13" numFmtId="0" xfId="0" applyAlignment="1" applyBorder="1" applyFont="1">
      <alignment readingOrder="0" shrinkToFit="0" vertical="center" wrapText="1"/>
    </xf>
    <xf borderId="23" fillId="0" fontId="13" numFmtId="165" xfId="0" applyAlignment="1" applyBorder="1" applyFont="1" applyNumberFormat="1">
      <alignment readingOrder="0" shrinkToFit="0" vertical="center" wrapText="1"/>
    </xf>
    <xf borderId="25" fillId="2" fontId="13" numFmtId="166" xfId="0" applyAlignment="1" applyBorder="1" applyFont="1" applyNumberFormat="1">
      <alignment readingOrder="0" shrinkToFit="0" vertical="center" wrapText="1"/>
    </xf>
    <xf borderId="26" fillId="0" fontId="13" numFmtId="0" xfId="0" applyAlignment="1" applyBorder="1" applyFont="1">
      <alignment readingOrder="0" shrinkToFit="0" vertical="center" wrapText="1"/>
    </xf>
    <xf borderId="23" fillId="0" fontId="13" numFmtId="165" xfId="0" applyAlignment="1" applyBorder="1" applyFont="1" applyNumberFormat="1">
      <alignment horizontal="center" readingOrder="0" shrinkToFit="0" vertical="center" wrapText="1"/>
    </xf>
    <xf borderId="25" fillId="2" fontId="13" numFmtId="166" xfId="0" applyAlignment="1" applyBorder="1" applyFont="1" applyNumberFormat="1">
      <alignment horizontal="center" readingOrder="0" shrinkToFit="0" vertical="center" wrapText="1"/>
    </xf>
    <xf borderId="25" fillId="0" fontId="5" numFmtId="0" xfId="0" applyAlignment="1" applyBorder="1" applyFont="1">
      <alignment horizontal="right" readingOrder="0" shrinkToFit="0" vertical="center" wrapText="1"/>
    </xf>
    <xf borderId="13" fillId="0" fontId="13" numFmtId="0" xfId="0" applyAlignment="1" applyBorder="1" applyFont="1">
      <alignment horizontal="right" readingOrder="0" shrinkToFit="0" vertical="center" wrapText="1"/>
    </xf>
    <xf borderId="25" fillId="0" fontId="13" numFmtId="165" xfId="0" applyAlignment="1" applyBorder="1" applyFont="1" applyNumberFormat="1">
      <alignment horizontal="left" readingOrder="0" shrinkToFit="0" vertical="center" wrapText="1"/>
    </xf>
    <xf borderId="13" fillId="2" fontId="13" numFmtId="166" xfId="0" applyAlignment="1" applyBorder="1" applyFont="1" applyNumberFormat="1">
      <alignment readingOrder="0" shrinkToFit="0" vertical="center" wrapText="1"/>
    </xf>
    <xf borderId="14" fillId="0" fontId="13" numFmtId="165" xfId="0" applyAlignment="1" applyBorder="1" applyFont="1" applyNumberFormat="1">
      <alignment horizontal="left" readingOrder="0" shrinkToFit="0" vertical="center" wrapText="1"/>
    </xf>
    <xf borderId="35" fillId="2" fontId="14" numFmtId="166" xfId="0" applyAlignment="1" applyBorder="1" applyFont="1" applyNumberFormat="1">
      <alignment readingOrder="0" shrinkToFit="0" vertical="center" wrapText="1"/>
    </xf>
    <xf borderId="9" fillId="0" fontId="14" numFmtId="166" xfId="0" applyAlignment="1" applyBorder="1" applyFont="1" applyNumberFormat="1">
      <alignment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166" xfId="0" applyAlignment="1" applyBorder="1" applyFont="1" applyNumberFormat="1">
      <alignment horizontal="center" readingOrder="0" shrinkToFit="0" vertical="center" wrapText="1"/>
    </xf>
    <xf borderId="26" fillId="2" fontId="14" numFmtId="0" xfId="0" applyAlignment="1" applyBorder="1" applyFont="1">
      <alignment horizontal="center" readingOrder="0" shrinkToFit="0" vertical="center" wrapText="1"/>
    </xf>
    <xf borderId="36" fillId="2" fontId="14" numFmtId="0" xfId="0" applyAlignment="1" applyBorder="1" applyFont="1">
      <alignment shrinkToFit="0" vertical="center" wrapText="1"/>
    </xf>
    <xf borderId="12" fillId="12" fontId="12" numFmtId="0" xfId="0" applyAlignment="1" applyBorder="1" applyFill="1" applyFont="1">
      <alignment horizontal="center" shrinkToFit="0" vertical="center" wrapText="1"/>
    </xf>
    <xf borderId="12" fillId="0" fontId="4" numFmtId="0" xfId="0" applyAlignment="1" applyBorder="1" applyFont="1">
      <alignment shrinkToFit="0" vertical="top" wrapText="1"/>
    </xf>
    <xf borderId="11" fillId="12" fontId="12" numFmtId="0" xfId="0" applyAlignment="1" applyBorder="1" applyFont="1">
      <alignment horizontal="center" shrinkToFit="0" vertical="center" wrapText="1"/>
    </xf>
    <xf borderId="12" fillId="12" fontId="12" numFmtId="0" xfId="0" applyAlignment="1" applyBorder="1" applyFont="1">
      <alignment horizontal="right" readingOrder="0" shrinkToFit="0" vertical="center" wrapText="1"/>
    </xf>
    <xf borderId="0" fillId="12" fontId="12" numFmtId="0" xfId="0" applyAlignment="1" applyFont="1">
      <alignment horizontal="center" shrinkToFit="0" vertical="center" wrapText="1"/>
    </xf>
    <xf borderId="0" fillId="12" fontId="13" numFmtId="0" xfId="0" applyAlignment="1" applyFont="1">
      <alignment horizontal="left" readingOrder="0" shrinkToFit="0" vertical="center" wrapText="1"/>
    </xf>
    <xf borderId="23" fillId="0" fontId="13" numFmtId="0" xfId="0" applyAlignment="1" applyBorder="1" applyFont="1">
      <alignment horizontal="right" readingOrder="0" shrinkToFit="0" vertical="center" wrapText="1"/>
    </xf>
    <xf borderId="23" fillId="2" fontId="13" numFmtId="166" xfId="0" applyAlignment="1" applyBorder="1" applyFont="1" applyNumberFormat="1">
      <alignment readingOrder="0" shrinkToFit="0" vertical="center" wrapText="1"/>
    </xf>
    <xf borderId="28" fillId="0" fontId="14" numFmtId="166" xfId="0" applyAlignment="1" applyBorder="1" applyFont="1" applyNumberFormat="1">
      <alignment readingOrder="0" shrinkToFit="0" vertical="center" wrapText="1"/>
    </xf>
    <xf borderId="31" fillId="2" fontId="14" numFmtId="0" xfId="0" applyAlignment="1" applyBorder="1" applyFont="1">
      <alignment shrinkToFit="0" vertical="center" wrapText="1"/>
    </xf>
    <xf borderId="11" fillId="0" fontId="14" numFmtId="167" xfId="0" applyAlignment="1" applyBorder="1" applyFont="1" applyNumberFormat="1">
      <alignment horizontal="center" readingOrder="0" shrinkToFit="0" vertical="center" wrapText="1"/>
    </xf>
    <xf borderId="11" fillId="0" fontId="14" numFmtId="168" xfId="0" applyAlignment="1" applyBorder="1" applyFont="1" applyNumberFormat="1">
      <alignment horizontal="center" readingOrder="0" shrinkToFit="0" vertical="center" wrapText="1"/>
    </xf>
    <xf borderId="3" fillId="2" fontId="9" numFmtId="0" xfId="0" applyAlignment="1" applyBorder="1" applyFont="1">
      <alignment readingOrder="0" shrinkToFit="0" vertical="top" wrapText="1"/>
    </xf>
    <xf borderId="2" fillId="0" fontId="13" numFmtId="165" xfId="0" applyAlignment="1" applyBorder="1" applyFont="1" applyNumberFormat="1">
      <alignment readingOrder="0" shrinkToFit="0" vertical="center" wrapText="1"/>
    </xf>
    <xf borderId="37" fillId="0" fontId="14" numFmtId="166" xfId="0" applyAlignment="1" applyBorder="1" applyFont="1" applyNumberFormat="1">
      <alignment horizontal="center" readingOrder="0" shrinkToFit="0" vertical="center" wrapText="1"/>
    </xf>
    <xf borderId="38" fillId="0" fontId="14" numFmtId="165" xfId="0" applyAlignment="1" applyBorder="1" applyFont="1" applyNumberFormat="1">
      <alignment horizontal="left" readingOrder="0" shrinkToFit="0" vertical="center" wrapText="1"/>
    </xf>
    <xf borderId="38" fillId="0" fontId="13" numFmtId="165" xfId="0" applyAlignment="1" applyBorder="1" applyFont="1" applyNumberFormat="1">
      <alignment horizontal="left" readingOrder="0" shrinkToFit="0" vertical="center" wrapText="1"/>
    </xf>
    <xf borderId="38" fillId="0" fontId="14" numFmtId="0" xfId="0" applyAlignment="1" applyBorder="1" applyFont="1">
      <alignment horizontal="center" readingOrder="0" shrinkToFit="0" vertical="center" wrapText="1"/>
    </xf>
    <xf borderId="19" fillId="2" fontId="9" numFmtId="0" xfId="0" applyAlignment="1" applyBorder="1" applyFont="1">
      <alignment shrinkToFit="0" vertical="top" wrapText="1"/>
    </xf>
    <xf borderId="36" fillId="2" fontId="9" numFmtId="0" xfId="0" applyAlignment="1" applyBorder="1" applyFont="1">
      <alignment shrinkToFit="0" vertical="top" wrapText="1"/>
    </xf>
    <xf borderId="39" fillId="13" fontId="7" numFmtId="0" xfId="0" applyAlignment="1" applyBorder="1" applyFill="1" applyFont="1">
      <alignment horizontal="center" shrinkToFit="0" vertical="center" wrapText="1"/>
    </xf>
    <xf borderId="40" fillId="13" fontId="7" numFmtId="0" xfId="0" applyAlignment="1" applyBorder="1" applyFont="1">
      <alignment horizontal="center" shrinkToFit="0" vertical="center" wrapText="1"/>
    </xf>
    <xf borderId="41" fillId="13" fontId="7" numFmtId="0" xfId="0" applyAlignment="1" applyBorder="1" applyFont="1">
      <alignment horizontal="center" shrinkToFit="0" vertical="center" wrapText="1"/>
    </xf>
    <xf borderId="39" fillId="13" fontId="7" numFmtId="0" xfId="0" applyAlignment="1" applyBorder="1" applyFont="1">
      <alignment horizontal="left" shrinkToFit="0" vertical="center" wrapText="1"/>
    </xf>
    <xf borderId="39" fillId="13" fontId="7" numFmtId="165" xfId="0" applyAlignment="1" applyBorder="1" applyFont="1" applyNumberFormat="1">
      <alignment horizontal="center" shrinkToFit="0" vertical="center" wrapText="1"/>
    </xf>
    <xf borderId="39" fillId="13" fontId="7" numFmtId="166" xfId="0" applyAlignment="1" applyBorder="1" applyFont="1" applyNumberFormat="1">
      <alignment horizontal="left" shrinkToFit="0" vertical="center" wrapText="1"/>
    </xf>
    <xf borderId="39" fillId="8" fontId="7" numFmtId="166" xfId="0" applyAlignment="1" applyBorder="1" applyFont="1" applyNumberFormat="1">
      <alignment horizontal="left" shrinkToFit="0" vertical="center" wrapText="1"/>
    </xf>
    <xf borderId="42" fillId="13" fontId="7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left" shrinkToFit="0" vertical="center" wrapText="1"/>
    </xf>
    <xf borderId="25" fillId="2" fontId="3" numFmtId="0" xfId="0" applyAlignment="1" applyBorder="1" applyFont="1">
      <alignment horizontal="left" shrinkToFit="0" vertical="center" wrapText="1"/>
    </xf>
    <xf borderId="26" fillId="2" fontId="3" numFmtId="0" xfId="0" applyAlignment="1" applyBorder="1" applyFont="1">
      <alignment horizontal="left" shrinkToFit="0" vertical="center" wrapText="1"/>
    </xf>
    <xf borderId="25" fillId="2" fontId="3" numFmtId="0" xfId="0" applyAlignment="1" applyBorder="1" applyFont="1">
      <alignment horizontal="left" readingOrder="0" shrinkToFit="0" vertical="center" wrapText="1"/>
    </xf>
    <xf borderId="43" fillId="2" fontId="3" numFmtId="0" xfId="0" applyAlignment="1" applyBorder="1" applyFont="1">
      <alignment horizontal="left" shrinkToFit="0" vertical="center" wrapText="1"/>
    </xf>
    <xf borderId="44" fillId="2" fontId="3" numFmtId="0" xfId="0" applyAlignment="1" applyBorder="1" applyFont="1">
      <alignment horizontal="left" shrinkToFit="0" vertical="center" wrapText="1"/>
    </xf>
    <xf borderId="26" fillId="2" fontId="3" numFmtId="0" xfId="0" applyAlignment="1" applyBorder="1" applyFont="1">
      <alignment horizontal="left" readingOrder="0" shrinkToFit="0" vertical="center" wrapText="1"/>
    </xf>
    <xf borderId="25" fillId="2" fontId="3" numFmtId="0" xfId="0" applyAlignment="1" applyBorder="1" applyFont="1">
      <alignment horizontal="right" readingOrder="0" shrinkToFit="0" vertical="center" wrapText="1"/>
    </xf>
    <xf borderId="1" fillId="2" fontId="3" numFmtId="166" xfId="0" applyAlignment="1" applyBorder="1" applyFont="1" applyNumberForma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1" fillId="2" fontId="3" numFmtId="0" xfId="0" applyAlignment="1" applyBorder="1" applyFont="1">
      <alignment horizontal="left" shrinkToFit="0" vertical="center" wrapText="1"/>
    </xf>
    <xf borderId="24" fillId="2" fontId="3" numFmtId="0" xfId="0" applyAlignment="1" applyBorder="1" applyFont="1">
      <alignment horizontal="left" shrinkToFit="0" vertical="center" wrapText="1"/>
    </xf>
    <xf borderId="28" fillId="2" fontId="3" numFmtId="0" xfId="0" applyAlignment="1" applyBorder="1" applyFont="1">
      <alignment horizontal="left" shrinkToFit="0" vertical="center" wrapText="1"/>
    </xf>
    <xf borderId="12" fillId="2" fontId="3" numFmtId="0" xfId="0" applyAlignment="1" applyBorder="1" applyFont="1">
      <alignment horizontal="left" shrinkToFit="0" vertical="center" wrapText="1"/>
    </xf>
    <xf borderId="11" fillId="2" fontId="9" numFmtId="0" xfId="0" applyAlignment="1" applyBorder="1" applyFont="1">
      <alignment shrinkToFit="0" vertical="top" wrapText="1"/>
    </xf>
    <xf borderId="31" fillId="2" fontId="3" numFmtId="0" xfId="0" applyAlignment="1" applyBorder="1" applyFont="1">
      <alignment horizontal="left" shrinkToFit="0" vertical="center" wrapText="1"/>
    </xf>
    <xf borderId="38" fillId="2" fontId="3" numFmtId="0" xfId="0" applyAlignment="1" applyBorder="1" applyFont="1">
      <alignment horizontal="left" shrinkToFit="0" vertical="center" wrapText="1"/>
    </xf>
    <xf borderId="21" fillId="2" fontId="3" numFmtId="0" xfId="0" applyAlignment="1" applyBorder="1" applyFont="1">
      <alignment horizontal="left" shrinkToFit="0" vertical="center" wrapText="1"/>
    </xf>
    <xf borderId="45" fillId="2" fontId="3" numFmtId="0" xfId="0" applyAlignment="1" applyBorder="1" applyFont="1">
      <alignment horizontal="left" shrinkToFit="0" vertical="center" wrapText="1"/>
    </xf>
    <xf borderId="13" fillId="2" fontId="3" numFmtId="0" xfId="0" applyAlignment="1" applyBorder="1" applyFont="1">
      <alignment horizontal="left" shrinkToFit="0" vertical="center" wrapText="1"/>
    </xf>
    <xf borderId="21" fillId="2" fontId="3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20" fillId="2" fontId="3" numFmtId="0" xfId="0" applyAlignment="1" applyBorder="1" applyFont="1">
      <alignment horizontal="left" readingOrder="0" shrinkToFit="0" vertical="center" wrapText="1"/>
    </xf>
    <xf borderId="38" fillId="2" fontId="3" numFmtId="166" xfId="0" applyAlignment="1" applyBorder="1" applyFont="1" applyNumberForma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46" fillId="2" fontId="3" numFmtId="0" xfId="0" applyAlignment="1" applyBorder="1" applyFont="1">
      <alignment horizontal="left" shrinkToFit="0" vertical="center" wrapText="1"/>
    </xf>
    <xf borderId="47" fillId="2" fontId="3" numFmtId="0" xfId="0" applyAlignment="1" applyBorder="1" applyFont="1">
      <alignment horizontal="left" shrinkToFit="0" vertical="center" wrapText="1"/>
    </xf>
    <xf borderId="38" fillId="2" fontId="3" numFmtId="0" xfId="0" applyAlignment="1" applyBorder="1" applyFont="1">
      <alignment horizontal="left" readingOrder="0" shrinkToFit="0" vertical="center" wrapText="1"/>
    </xf>
    <xf borderId="20" fillId="2" fontId="3" numFmtId="0" xfId="0" applyAlignment="1" applyBorder="1" applyFont="1">
      <alignment horizontal="left" shrinkToFit="0" vertical="center" wrapText="1"/>
    </xf>
    <xf borderId="36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1" fillId="2" fontId="3" numFmtId="169" xfId="0" applyAlignment="1" applyBorder="1" applyFont="1" applyNumberForma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33" fillId="2" fontId="3" numFmtId="0" xfId="0" applyAlignment="1" applyBorder="1" applyFont="1">
      <alignment horizontal="left" shrinkToFit="0" vertical="center" wrapText="1"/>
    </xf>
    <xf borderId="33" fillId="2" fontId="3" numFmtId="170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30" fillId="2" fontId="3" numFmtId="0" xfId="0" applyAlignment="1" applyBorder="1" applyFont="1">
      <alignment horizontal="left" shrinkToFit="0" vertical="center" wrapText="1"/>
    </xf>
    <xf borderId="38" fillId="2" fontId="3" numFmtId="169" xfId="0" applyAlignment="1" applyBorder="1" applyFont="1" applyNumberFormat="1">
      <alignment horizontal="left" shrinkToFit="0" vertical="center" wrapText="1"/>
    </xf>
    <xf borderId="45" fillId="2" fontId="3" numFmtId="0" xfId="0" applyAlignment="1" applyBorder="1" applyFont="1">
      <alignment horizontal="left" readingOrder="0" shrinkToFit="0" vertical="center" wrapText="1"/>
    </xf>
    <xf borderId="47" fillId="2" fontId="3" numFmtId="170" xfId="0" applyAlignment="1" applyBorder="1" applyFont="1" applyNumberFormat="1">
      <alignment horizontal="left" shrinkToFit="0" vertical="center" wrapText="1"/>
    </xf>
    <xf borderId="1" fillId="14" fontId="5" numFmtId="49" xfId="0" applyAlignment="1" applyBorder="1" applyFill="1" applyFont="1" applyNumberFormat="1">
      <alignment shrinkToFit="0" vertical="center" wrapText="1"/>
    </xf>
    <xf borderId="1" fillId="2" fontId="5" numFmtId="49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15" fontId="2" numFmtId="0" xfId="0" applyAlignment="1" applyBorder="1" applyFill="1" applyFont="1">
      <alignment horizontal="center" shrinkToFit="0" vertical="center" wrapText="1"/>
    </xf>
    <xf borderId="1" fillId="15" fontId="5" numFmtId="164" xfId="0" applyAlignment="1" applyBorder="1" applyFont="1" applyNumberFormat="1">
      <alignment horizontal="center" readingOrder="0" shrinkToFit="0" vertical="center" wrapText="1"/>
    </xf>
    <xf borderId="1" fillId="16" fontId="13" numFmtId="164" xfId="0" applyAlignment="1" applyBorder="1" applyFill="1" applyFont="1" applyNumberFormat="1">
      <alignment horizontal="center" readingOrder="0" shrinkToFit="0" vertical="center" wrapText="1"/>
    </xf>
    <xf borderId="2" fillId="10" fontId="12" numFmtId="0" xfId="0" applyAlignment="1" applyBorder="1" applyFont="1">
      <alignment horizontal="center" readingOrder="0" shrinkToFit="0" vertical="center" wrapText="1"/>
    </xf>
    <xf borderId="6" fillId="10" fontId="12" numFmtId="0" xfId="0" applyAlignment="1" applyBorder="1" applyFont="1">
      <alignment horizontal="center" readingOrder="0" shrinkToFit="0" vertical="center" wrapText="1"/>
    </xf>
    <xf borderId="4" fillId="10" fontId="12" numFmtId="0" xfId="0" applyAlignment="1" applyBorder="1" applyFont="1">
      <alignment horizontal="center" readingOrder="0" shrinkToFit="0" vertical="center" wrapText="1"/>
    </xf>
    <xf borderId="2" fillId="10" fontId="12" numFmtId="165" xfId="0" applyAlignment="1" applyBorder="1" applyFont="1" applyNumberFormat="1">
      <alignment horizontal="center" shrinkToFit="0" vertical="center" wrapText="1"/>
    </xf>
    <xf borderId="1" fillId="17" fontId="13" numFmtId="0" xfId="0" applyAlignment="1" applyBorder="1" applyFill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15" fontId="15" numFmtId="0" xfId="0" applyAlignment="1" applyBorder="1" applyFont="1">
      <alignment horizontal="center" shrinkToFit="0" vertical="center" wrapText="1"/>
    </xf>
    <xf borderId="1" fillId="15" fontId="15" numFmtId="166" xfId="0" applyAlignment="1" applyBorder="1" applyFont="1" applyNumberFormat="1">
      <alignment horizontal="center" shrinkToFit="0" vertical="center" wrapText="1"/>
    </xf>
    <xf borderId="1" fillId="15" fontId="15" numFmtId="165" xfId="0" applyAlignment="1" applyBorder="1" applyFont="1" applyNumberFormat="1">
      <alignment horizontal="center" shrinkToFit="0" vertical="center" wrapText="1"/>
    </xf>
    <xf borderId="2" fillId="12" fontId="20" numFmtId="0" xfId="0" applyAlignment="1" applyBorder="1" applyFont="1">
      <alignment horizontal="center" shrinkToFit="0" vertical="center" wrapText="1"/>
    </xf>
    <xf borderId="6" fillId="12" fontId="20" numFmtId="0" xfId="0" applyAlignment="1" applyBorder="1" applyFont="1">
      <alignment horizontal="center" shrinkToFit="0" vertical="center" wrapText="1"/>
    </xf>
    <xf borderId="4" fillId="12" fontId="20" numFmtId="0" xfId="0" applyAlignment="1" applyBorder="1" applyFont="1">
      <alignment horizontal="center" shrinkToFit="0" vertical="center" wrapText="1"/>
    </xf>
    <xf borderId="2" fillId="12" fontId="12" numFmtId="165" xfId="0" applyAlignment="1" applyBorder="1" applyFont="1" applyNumberFormat="1">
      <alignment horizontal="center" shrinkToFit="0" vertical="center" wrapText="1"/>
    </xf>
    <xf borderId="38" fillId="17" fontId="13" numFmtId="0" xfId="0" applyAlignment="1" applyBorder="1" applyFont="1">
      <alignment shrinkToFit="0" vertical="center" wrapText="1"/>
    </xf>
    <xf borderId="38" fillId="0" fontId="13" numFmtId="0" xfId="0" applyAlignment="1" applyBorder="1" applyFont="1">
      <alignment shrinkToFit="0" vertical="center" wrapText="1"/>
    </xf>
    <xf borderId="38" fillId="0" fontId="19" numFmtId="0" xfId="0" applyAlignment="1" applyBorder="1" applyFont="1">
      <alignment readingOrder="0" shrinkToFit="0" vertical="center" wrapText="1"/>
    </xf>
    <xf borderId="38" fillId="15" fontId="15" numFmtId="0" xfId="0" applyAlignment="1" applyBorder="1" applyFont="1">
      <alignment horizontal="center" shrinkToFit="0" vertical="center" wrapText="1"/>
    </xf>
    <xf borderId="38" fillId="15" fontId="15" numFmtId="166" xfId="0" applyAlignment="1" applyBorder="1" applyFont="1" applyNumberFormat="1">
      <alignment horizontal="center" shrinkToFit="0" vertical="center" wrapText="1"/>
    </xf>
    <xf borderId="38" fillId="15" fontId="15" numFmtId="165" xfId="0" applyAlignment="1" applyBorder="1" applyFont="1" applyNumberFormat="1">
      <alignment horizontal="center" shrinkToFit="0" vertical="center" wrapText="1"/>
    </xf>
    <xf borderId="39" fillId="13" fontId="21" numFmtId="0" xfId="0" applyAlignment="1" applyBorder="1" applyFont="1">
      <alignment horizontal="right" shrinkToFit="0" vertical="center" wrapText="1"/>
    </xf>
    <xf borderId="39" fillId="13" fontId="21" numFmtId="0" xfId="0" applyAlignment="1" applyBorder="1" applyFont="1">
      <alignment horizontal="right" readingOrder="0" shrinkToFit="0" vertical="center" wrapText="1"/>
    </xf>
    <xf borderId="39" fillId="13" fontId="15" numFmtId="0" xfId="0" applyAlignment="1" applyBorder="1" applyFont="1">
      <alignment horizontal="right" shrinkToFit="0" vertical="center" wrapText="1"/>
    </xf>
    <xf borderId="23" fillId="0" fontId="15" numFmtId="0" xfId="0" applyAlignment="1" applyBorder="1" applyFont="1">
      <alignment horizontal="right" shrinkToFit="0" vertical="center" wrapText="1"/>
    </xf>
    <xf borderId="23" fillId="0" fontId="21" numFmtId="0" xfId="0" applyAlignment="1" applyBorder="1" applyFont="1">
      <alignment horizontal="right" shrinkToFit="0" vertical="center" wrapText="1"/>
    </xf>
    <xf borderId="1" fillId="0" fontId="15" numFmtId="0" xfId="0" applyAlignment="1" applyBorder="1" applyFont="1">
      <alignment horizontal="right" shrinkToFit="0" vertical="center" wrapText="1"/>
    </xf>
    <xf borderId="1" fillId="0" fontId="21" numFmtId="0" xfId="0" applyAlignment="1" applyBorder="1" applyFont="1">
      <alignment horizontal="right" shrinkToFit="0" vertical="center" wrapText="1"/>
    </xf>
    <xf borderId="0" fillId="0" fontId="22" numFmtId="0" xfId="0" applyAlignment="1" applyFont="1">
      <alignment readingOrder="0" shrinkToFit="0" vertical="top" wrapText="1"/>
    </xf>
  </cellXfs>
  <cellStyles count="1">
    <cellStyle xfId="0" name="Normal" builtinId="0"/>
  </cellStyles>
  <dxfs count="12"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b/>
        <u/>
        <color rgb="FFFFFFFF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iHbFEZ6msv3IU3InH0K5SEgnjM_8H0uHajc7c4fMiQ/edit?gid=185653567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3.57"/>
    <col customWidth="1" min="2" max="2" width="22.71"/>
    <col customWidth="1" min="3" max="3" width="12.14"/>
    <col customWidth="1" min="4" max="4" width="11.71"/>
    <col customWidth="1" min="5" max="5" width="21.71"/>
    <col customWidth="1" min="6" max="6" width="15.0"/>
    <col customWidth="1" min="7" max="7" width="11.14"/>
    <col customWidth="1" min="8" max="8" width="14.0"/>
    <col customWidth="1" min="9" max="9" width="17.43"/>
    <col customWidth="1" min="10" max="10" width="21.29"/>
    <col customWidth="1" min="11" max="11" width="34.43"/>
    <col customWidth="1" min="12" max="12" width="17.0"/>
    <col customWidth="1" min="13" max="13" width="22.29"/>
    <col customWidth="1" min="14" max="14" width="25.14"/>
    <col customWidth="1" min="15" max="15" width="18.71"/>
    <col customWidth="1" min="16" max="16" width="14.0"/>
    <col customWidth="1" min="17" max="17" width="30.29"/>
    <col customWidth="1" min="18" max="18" width="23.71"/>
    <col customWidth="1" min="19" max="19" width="21.71"/>
    <col customWidth="1" min="20" max="20" width="23.14"/>
    <col customWidth="1" min="21" max="23" width="13.0"/>
    <col customWidth="1" min="24" max="24" width="11.71"/>
    <col customWidth="1" min="25" max="25" width="12.57"/>
    <col customWidth="1" min="26" max="26" width="12.29"/>
    <col customWidth="1" min="27" max="27" width="11.43"/>
    <col customWidth="1" min="28" max="28" width="11.29"/>
    <col customWidth="1" min="29" max="29" width="13.0"/>
    <col customWidth="1" min="30" max="30" width="12.71"/>
    <col customWidth="1" min="31" max="31" width="14.0"/>
    <col customWidth="1" min="32" max="32" width="12.57"/>
    <col customWidth="1" min="33" max="33" width="16.86"/>
    <col customWidth="1" min="34" max="34" width="18.29"/>
    <col customWidth="1" min="35" max="35" width="19.43"/>
    <col customWidth="1" min="36" max="36" width="14.0"/>
    <col customWidth="1" min="37" max="37" width="19.43"/>
    <col customWidth="1" min="38" max="38" width="17.71"/>
    <col customWidth="1" min="39" max="39" width="19.43"/>
    <col customWidth="1" min="40" max="40" width="12.86"/>
    <col customWidth="1" min="41" max="42" width="37.86"/>
    <col customWidth="1" min="43" max="44" width="14.0"/>
    <col customWidth="1" min="45" max="45" width="21.86"/>
    <col customWidth="1" min="46" max="46" width="22.29"/>
    <col customWidth="1" min="47" max="47" width="19.86"/>
    <col customWidth="1" min="48" max="48" width="26.29"/>
    <col customWidth="1" min="49" max="51" width="16.43"/>
  </cols>
  <sheetData>
    <row r="1" ht="33.0" customHeight="1">
      <c r="A1" s="1" t="s">
        <v>0</v>
      </c>
      <c r="B1" s="2"/>
      <c r="C1" s="3" t="s">
        <v>1</v>
      </c>
      <c r="D1" s="4"/>
      <c r="E1" s="2"/>
      <c r="F1" s="4"/>
      <c r="G1" s="1" t="s">
        <v>2</v>
      </c>
      <c r="H1" s="5"/>
      <c r="I1" s="4"/>
      <c r="J1" s="1" t="s">
        <v>3</v>
      </c>
      <c r="K1" s="5"/>
      <c r="L1" s="6" t="s">
        <v>4</v>
      </c>
      <c r="M1" s="7"/>
      <c r="N1" s="1" t="s">
        <v>5</v>
      </c>
      <c r="O1" s="7"/>
      <c r="P1" s="8" t="s">
        <v>6</v>
      </c>
      <c r="Q1" s="7"/>
      <c r="R1" s="9" t="s">
        <v>7</v>
      </c>
      <c r="S1" s="10"/>
      <c r="T1" s="8" t="s">
        <v>8</v>
      </c>
      <c r="U1" s="11"/>
      <c r="V1" s="8" t="s">
        <v>9</v>
      </c>
      <c r="W1" s="12"/>
      <c r="X1" s="13" t="s">
        <v>10</v>
      </c>
      <c r="Y1" s="14"/>
      <c r="Z1" s="5"/>
      <c r="AA1" s="4"/>
      <c r="AB1" s="13" t="s">
        <v>11</v>
      </c>
      <c r="AC1" s="4"/>
      <c r="AD1" s="5"/>
      <c r="AE1" s="14"/>
      <c r="AF1" s="15" t="s">
        <v>12</v>
      </c>
      <c r="AG1" s="4"/>
      <c r="AH1" s="16" t="str">
        <f>CONCATENATE(COUNTIF(L5:L86,"iscritto Donna")," ID + ",COUNTIF(L5:L86,"deve pagare D")," DPD + ",COUNTIF(L5:L86,"prova Donna")," PD + ",COUNTIF(L5:L86,"iscritto Uomo")," IU + ",COUNTIF(L5:L86,"deve pagare U")," DPU + ",COUNTIF(L5:L86,"prova Uomo")," PU")</f>
        <v>18 ID + 1 DPD + 0 PD + 24 IU + 0 DPU + 0 PU</v>
      </c>
      <c r="AI1" s="14"/>
      <c r="AJ1" s="14"/>
      <c r="AK1" s="4"/>
      <c r="AL1" s="17" t="s">
        <v>13</v>
      </c>
      <c r="AM1" s="18" t="str">
        <f>CONCATENATE(COUNTIF(L5:L86,"omaggio D")," OD + ",COUNTIF(L5:L86,"omaggio U")," OU")</f>
        <v>0 OD + 0 OU</v>
      </c>
      <c r="AN1" s="19"/>
      <c r="AO1" s="20" t="s">
        <v>14</v>
      </c>
      <c r="AP1" s="21"/>
      <c r="AQ1" s="14"/>
      <c r="AR1" s="14"/>
      <c r="AS1" s="14"/>
      <c r="AT1" s="14"/>
      <c r="AU1" s="14"/>
      <c r="AV1" s="14"/>
      <c r="AW1" s="22"/>
      <c r="AX1" s="23"/>
      <c r="AY1" s="23"/>
    </row>
    <row r="2" ht="31.5" customHeight="1">
      <c r="A2" s="24" t="s">
        <v>15</v>
      </c>
      <c r="C2" s="25" t="s">
        <v>16</v>
      </c>
      <c r="G2" s="25" t="s">
        <v>16</v>
      </c>
      <c r="L2" s="26" t="s">
        <v>17</v>
      </c>
      <c r="S2" s="26" t="s">
        <v>18</v>
      </c>
      <c r="Y2" s="26" t="s">
        <v>19</v>
      </c>
      <c r="AE2" s="26" t="s">
        <v>20</v>
      </c>
      <c r="AK2" s="27"/>
      <c r="AL2" s="28" t="s">
        <v>21</v>
      </c>
      <c r="AQ2" s="29"/>
      <c r="AR2" s="30"/>
      <c r="AS2" s="31"/>
      <c r="AT2" s="31"/>
      <c r="AU2" s="32" t="s">
        <v>22</v>
      </c>
      <c r="AW2" s="33"/>
      <c r="AX2" s="34"/>
      <c r="AY2" s="34"/>
    </row>
    <row r="3" ht="29.25" customHeight="1">
      <c r="A3" s="35" t="s">
        <v>23</v>
      </c>
      <c r="B3" s="36" t="s">
        <v>24</v>
      </c>
      <c r="C3" s="37" t="s">
        <v>25</v>
      </c>
      <c r="D3" s="38" t="s">
        <v>26</v>
      </c>
      <c r="E3" s="38" t="s">
        <v>27</v>
      </c>
      <c r="F3" s="38" t="s">
        <v>28</v>
      </c>
      <c r="G3" s="38" t="s">
        <v>29</v>
      </c>
      <c r="H3" s="39" t="s">
        <v>30</v>
      </c>
      <c r="I3" s="38" t="s">
        <v>31</v>
      </c>
      <c r="J3" s="38" t="s">
        <v>32</v>
      </c>
      <c r="K3" s="40" t="s">
        <v>33</v>
      </c>
      <c r="L3" s="41" t="s">
        <v>34</v>
      </c>
      <c r="M3" s="42" t="s">
        <v>35</v>
      </c>
      <c r="N3" s="43" t="s">
        <v>36</v>
      </c>
      <c r="O3" s="44" t="s">
        <v>37</v>
      </c>
      <c r="P3" s="45" t="s">
        <v>38</v>
      </c>
      <c r="Q3" s="44" t="s">
        <v>39</v>
      </c>
      <c r="R3" s="45" t="s">
        <v>40</v>
      </c>
      <c r="S3" s="41" t="s">
        <v>41</v>
      </c>
      <c r="T3" s="43" t="s">
        <v>42</v>
      </c>
      <c r="U3" s="44" t="s">
        <v>43</v>
      </c>
      <c r="V3" s="45" t="s">
        <v>44</v>
      </c>
      <c r="W3" s="44" t="s">
        <v>45</v>
      </c>
      <c r="X3" s="45" t="s">
        <v>46</v>
      </c>
      <c r="Y3" s="41" t="s">
        <v>47</v>
      </c>
      <c r="Z3" s="43" t="s">
        <v>48</v>
      </c>
      <c r="AA3" s="44" t="s">
        <v>49</v>
      </c>
      <c r="AB3" s="45" t="s">
        <v>50</v>
      </c>
      <c r="AC3" s="44" t="s">
        <v>51</v>
      </c>
      <c r="AD3" s="45" t="s">
        <v>52</v>
      </c>
      <c r="AE3" s="41" t="s">
        <v>53</v>
      </c>
      <c r="AF3" s="43" t="s">
        <v>54</v>
      </c>
      <c r="AG3" s="44" t="s">
        <v>55</v>
      </c>
      <c r="AH3" s="46" t="s">
        <v>56</v>
      </c>
      <c r="AI3" s="47" t="s">
        <v>57</v>
      </c>
      <c r="AJ3" s="46" t="s">
        <v>58</v>
      </c>
      <c r="AK3" s="48" t="s">
        <v>59</v>
      </c>
      <c r="AL3" s="49" t="s">
        <v>60</v>
      </c>
      <c r="AM3" s="50" t="s">
        <v>61</v>
      </c>
      <c r="AN3" s="51" t="s">
        <v>62</v>
      </c>
      <c r="AO3" s="51" t="s">
        <v>63</v>
      </c>
      <c r="AP3" s="52" t="s">
        <v>64</v>
      </c>
      <c r="AQ3" s="53" t="s">
        <v>65</v>
      </c>
      <c r="AR3" s="54" t="s">
        <v>66</v>
      </c>
      <c r="AS3" s="55" t="s">
        <v>67</v>
      </c>
      <c r="AT3" s="56" t="s">
        <v>68</v>
      </c>
      <c r="AU3" s="57" t="s">
        <v>69</v>
      </c>
      <c r="AV3" s="58" t="s">
        <v>70</v>
      </c>
      <c r="AW3" s="59" t="s">
        <v>71</v>
      </c>
      <c r="AX3" s="60" t="s">
        <v>72</v>
      </c>
      <c r="AY3" s="61" t="s">
        <v>73</v>
      </c>
    </row>
    <row r="4" ht="24.0" customHeight="1">
      <c r="A4" s="62" t="s">
        <v>74</v>
      </c>
      <c r="C4" s="63"/>
      <c r="D4" s="64" t="s">
        <v>75</v>
      </c>
      <c r="E4" s="62">
        <f>COUNTIF(E5:E44,"*")</f>
        <v>20</v>
      </c>
      <c r="F4" s="65" t="s">
        <v>74</v>
      </c>
      <c r="G4" s="66"/>
    </row>
    <row r="5">
      <c r="A5" s="67" t="s">
        <v>76</v>
      </c>
      <c r="B5" s="68" t="s">
        <v>77</v>
      </c>
      <c r="C5" s="69" t="s">
        <v>78</v>
      </c>
      <c r="D5" s="70">
        <v>45824.0</v>
      </c>
      <c r="E5" s="71" t="s">
        <v>79</v>
      </c>
      <c r="F5" s="71" t="s">
        <v>80</v>
      </c>
      <c r="G5" s="72">
        <v>56.0</v>
      </c>
      <c r="H5" s="73" t="s">
        <v>81</v>
      </c>
      <c r="I5" s="74" t="s">
        <v>82</v>
      </c>
      <c r="J5" s="74" t="s">
        <v>83</v>
      </c>
      <c r="K5" s="75" t="s">
        <v>84</v>
      </c>
      <c r="L5" s="76" t="s">
        <v>85</v>
      </c>
      <c r="M5" s="77" t="s">
        <v>86</v>
      </c>
      <c r="N5" s="78" t="s">
        <v>87</v>
      </c>
      <c r="O5" s="79"/>
      <c r="P5" s="80"/>
      <c r="Q5" s="79">
        <v>45827.0</v>
      </c>
      <c r="R5" s="81">
        <v>1300.0</v>
      </c>
      <c r="S5" s="82"/>
      <c r="T5" s="83"/>
      <c r="U5" s="84"/>
      <c r="V5" s="85"/>
      <c r="W5" s="79"/>
      <c r="X5" s="81"/>
      <c r="Y5" s="82"/>
      <c r="Z5" s="86"/>
      <c r="AA5" s="79"/>
      <c r="AB5" s="87"/>
      <c r="AC5" s="79"/>
      <c r="AD5" s="88"/>
      <c r="AE5" s="89"/>
      <c r="AF5" s="90"/>
      <c r="AG5" s="91"/>
      <c r="AH5" s="87"/>
      <c r="AI5" s="91"/>
      <c r="AJ5" s="92"/>
      <c r="AK5" s="93">
        <v>1325.0</v>
      </c>
      <c r="AL5" s="94"/>
      <c r="AM5" s="95">
        <v>45827.0</v>
      </c>
      <c r="AN5" s="96">
        <v>46174.0</v>
      </c>
      <c r="AO5" s="67" t="s">
        <v>88</v>
      </c>
      <c r="AP5" s="97" t="s">
        <v>89</v>
      </c>
      <c r="AQ5" s="98">
        <v>46218.0</v>
      </c>
      <c r="AR5" s="99"/>
      <c r="AS5" s="100"/>
      <c r="AT5" s="77"/>
      <c r="AU5" s="101" t="s">
        <v>90</v>
      </c>
      <c r="AV5" s="102" t="s">
        <v>91</v>
      </c>
      <c r="AW5" s="103"/>
      <c r="AX5" s="104"/>
      <c r="AY5" s="105"/>
    </row>
    <row r="6">
      <c r="A6" s="67" t="s">
        <v>76</v>
      </c>
      <c r="B6" s="68" t="s">
        <v>92</v>
      </c>
      <c r="C6" s="69" t="s">
        <v>93</v>
      </c>
      <c r="D6" s="70">
        <v>45902.0</v>
      </c>
      <c r="E6" s="71" t="s">
        <v>94</v>
      </c>
      <c r="F6" s="71" t="s">
        <v>95</v>
      </c>
      <c r="G6" s="106">
        <v>28.0</v>
      </c>
      <c r="H6" s="73" t="s">
        <v>81</v>
      </c>
      <c r="I6" s="107" t="s">
        <v>96</v>
      </c>
      <c r="J6" s="107" t="s">
        <v>97</v>
      </c>
      <c r="K6" s="68" t="s">
        <v>98</v>
      </c>
      <c r="L6" s="76" t="s">
        <v>85</v>
      </c>
      <c r="M6" s="77" t="s">
        <v>99</v>
      </c>
      <c r="N6" s="71" t="s">
        <v>87</v>
      </c>
      <c r="O6" s="70"/>
      <c r="P6" s="80"/>
      <c r="Q6" s="70">
        <v>45902.0</v>
      </c>
      <c r="R6" s="108">
        <v>680.0</v>
      </c>
      <c r="S6" s="109"/>
      <c r="T6" s="71"/>
      <c r="U6" s="110"/>
      <c r="V6" s="111"/>
      <c r="W6" s="70"/>
      <c r="X6" s="108"/>
      <c r="Y6" s="109"/>
      <c r="Z6" s="112"/>
      <c r="AA6" s="70"/>
      <c r="AB6" s="113"/>
      <c r="AC6" s="70"/>
      <c r="AD6" s="114"/>
      <c r="AE6" s="89"/>
      <c r="AF6" s="115"/>
      <c r="AG6" s="116"/>
      <c r="AH6" s="113"/>
      <c r="AI6" s="116"/>
      <c r="AJ6" s="117"/>
      <c r="AK6" s="118">
        <v>705.0</v>
      </c>
      <c r="AL6" s="94"/>
      <c r="AM6" s="95">
        <v>45902.0</v>
      </c>
      <c r="AN6" s="96">
        <v>46296.0</v>
      </c>
      <c r="AO6" s="67" t="s">
        <v>100</v>
      </c>
      <c r="AP6" s="97" t="s">
        <v>89</v>
      </c>
      <c r="AQ6" s="119">
        <v>45959.0</v>
      </c>
      <c r="AR6" s="120"/>
      <c r="AS6" s="100"/>
      <c r="AT6" s="77"/>
      <c r="AU6" s="121" t="s">
        <v>90</v>
      </c>
      <c r="AV6" s="102" t="s">
        <v>91</v>
      </c>
      <c r="AW6" s="103"/>
      <c r="AX6" s="104"/>
      <c r="AY6" s="122"/>
    </row>
    <row r="7">
      <c r="A7" s="123"/>
      <c r="B7" s="124"/>
      <c r="C7" s="125"/>
      <c r="D7" s="126"/>
      <c r="E7" s="127"/>
      <c r="F7" s="127"/>
      <c r="G7" s="128"/>
      <c r="H7" s="129"/>
      <c r="I7" s="130"/>
      <c r="J7" s="130"/>
      <c r="K7" s="124"/>
      <c r="L7" s="131"/>
      <c r="M7" s="132"/>
      <c r="N7" s="127"/>
      <c r="O7" s="126"/>
      <c r="P7" s="80"/>
      <c r="Q7" s="126"/>
      <c r="R7" s="133"/>
      <c r="S7" s="134"/>
      <c r="T7" s="127"/>
      <c r="U7" s="135"/>
      <c r="V7" s="136"/>
      <c r="W7" s="126"/>
      <c r="X7" s="133"/>
      <c r="Y7" s="134"/>
      <c r="Z7" s="112"/>
      <c r="AA7" s="126"/>
      <c r="AB7" s="113"/>
      <c r="AC7" s="126"/>
      <c r="AD7" s="114"/>
      <c r="AE7" s="137"/>
      <c r="AF7" s="115"/>
      <c r="AG7" s="138"/>
      <c r="AH7" s="139"/>
      <c r="AI7" s="138"/>
      <c r="AJ7" s="140"/>
      <c r="AK7" s="141"/>
      <c r="AL7" s="142"/>
      <c r="AM7" s="143"/>
      <c r="AN7" s="144"/>
      <c r="AO7" s="123"/>
      <c r="AP7" s="145"/>
      <c r="AQ7" s="146"/>
      <c r="AR7" s="147"/>
      <c r="AS7" s="148"/>
      <c r="AT7" s="132"/>
      <c r="AU7" s="149"/>
      <c r="AV7" s="150"/>
      <c r="AW7" s="103"/>
      <c r="AX7" s="104"/>
      <c r="AY7" s="122"/>
    </row>
    <row r="8">
      <c r="A8" s="151"/>
      <c r="B8" s="124"/>
      <c r="C8" s="125"/>
      <c r="D8" s="126"/>
      <c r="E8" s="127"/>
      <c r="F8" s="127"/>
      <c r="G8" s="128"/>
      <c r="H8" s="129"/>
      <c r="I8" s="130"/>
      <c r="J8" s="130"/>
      <c r="K8" s="124"/>
      <c r="L8" s="131"/>
      <c r="M8" s="132"/>
      <c r="N8" s="127"/>
      <c r="O8" s="126"/>
      <c r="P8" s="80"/>
      <c r="Q8" s="126"/>
      <c r="R8" s="133"/>
      <c r="S8" s="134"/>
      <c r="T8" s="127"/>
      <c r="U8" s="135"/>
      <c r="V8" s="136"/>
      <c r="W8" s="126"/>
      <c r="X8" s="133"/>
      <c r="Y8" s="134"/>
      <c r="Z8" s="152"/>
      <c r="AA8" s="126"/>
      <c r="AB8" s="113"/>
      <c r="AC8" s="126"/>
      <c r="AD8" s="153"/>
      <c r="AE8" s="137"/>
      <c r="AF8" s="154"/>
      <c r="AG8" s="138"/>
      <c r="AH8" s="139"/>
      <c r="AI8" s="138"/>
      <c r="AJ8" s="140"/>
      <c r="AK8" s="141"/>
      <c r="AL8" s="142"/>
      <c r="AM8" s="143"/>
      <c r="AN8" s="144"/>
      <c r="AO8" s="123"/>
      <c r="AP8" s="145"/>
      <c r="AQ8" s="146"/>
      <c r="AR8" s="147"/>
      <c r="AS8" s="148"/>
      <c r="AT8" s="132"/>
      <c r="AU8" s="149"/>
      <c r="AV8" s="150"/>
      <c r="AW8" s="103"/>
      <c r="AX8" s="104"/>
      <c r="AY8" s="122"/>
    </row>
    <row r="9">
      <c r="A9" s="151"/>
      <c r="B9" s="124"/>
      <c r="C9" s="125"/>
      <c r="D9" s="126"/>
      <c r="E9" s="127"/>
      <c r="F9" s="127"/>
      <c r="G9" s="128"/>
      <c r="H9" s="129"/>
      <c r="I9" s="130"/>
      <c r="J9" s="130"/>
      <c r="K9" s="124"/>
      <c r="L9" s="131"/>
      <c r="M9" s="132"/>
      <c r="N9" s="127"/>
      <c r="O9" s="126"/>
      <c r="P9" s="80"/>
      <c r="Q9" s="126"/>
      <c r="R9" s="133"/>
      <c r="S9" s="134"/>
      <c r="T9" s="127"/>
      <c r="U9" s="135"/>
      <c r="V9" s="136"/>
      <c r="W9" s="126"/>
      <c r="X9" s="133"/>
      <c r="Y9" s="134"/>
      <c r="Z9" s="112"/>
      <c r="AA9" s="126"/>
      <c r="AB9" s="113"/>
      <c r="AC9" s="126"/>
      <c r="AD9" s="114"/>
      <c r="AE9" s="137"/>
      <c r="AF9" s="154"/>
      <c r="AG9" s="138"/>
      <c r="AH9" s="139"/>
      <c r="AI9" s="138"/>
      <c r="AJ9" s="140"/>
      <c r="AK9" s="141"/>
      <c r="AL9" s="142"/>
      <c r="AM9" s="143"/>
      <c r="AN9" s="144"/>
      <c r="AO9" s="123"/>
      <c r="AP9" s="145"/>
      <c r="AQ9" s="155"/>
      <c r="AR9" s="147"/>
      <c r="AS9" s="148"/>
      <c r="AT9" s="132"/>
      <c r="AU9" s="149"/>
      <c r="AV9" s="150"/>
      <c r="AW9" s="103"/>
      <c r="AX9" s="104"/>
      <c r="AY9" s="122"/>
    </row>
    <row r="10">
      <c r="A10" s="123" t="s">
        <v>101</v>
      </c>
      <c r="B10" s="124" t="s">
        <v>102</v>
      </c>
      <c r="C10" s="125" t="s">
        <v>103</v>
      </c>
      <c r="D10" s="126">
        <v>45817.0</v>
      </c>
      <c r="E10" s="127" t="s">
        <v>104</v>
      </c>
      <c r="F10" s="127" t="s">
        <v>105</v>
      </c>
      <c r="G10" s="128">
        <v>21.0</v>
      </c>
      <c r="H10" s="129" t="s">
        <v>81</v>
      </c>
      <c r="I10" s="130" t="s">
        <v>106</v>
      </c>
      <c r="J10" s="130" t="s">
        <v>107</v>
      </c>
      <c r="K10" s="124" t="s">
        <v>108</v>
      </c>
      <c r="L10" s="131" t="s">
        <v>85</v>
      </c>
      <c r="M10" s="132" t="s">
        <v>109</v>
      </c>
      <c r="N10" s="127" t="s">
        <v>87</v>
      </c>
      <c r="O10" s="126"/>
      <c r="P10" s="80"/>
      <c r="Q10" s="126">
        <v>45817.0</v>
      </c>
      <c r="R10" s="133">
        <v>312.0</v>
      </c>
      <c r="S10" s="134"/>
      <c r="T10" s="127"/>
      <c r="U10" s="135"/>
      <c r="V10" s="136"/>
      <c r="W10" s="126"/>
      <c r="X10" s="133"/>
      <c r="Y10" s="134"/>
      <c r="Z10" s="112"/>
      <c r="AA10" s="126"/>
      <c r="AB10" s="113"/>
      <c r="AC10" s="126"/>
      <c r="AD10" s="114"/>
      <c r="AE10" s="137"/>
      <c r="AF10" s="154"/>
      <c r="AG10" s="138"/>
      <c r="AH10" s="139"/>
      <c r="AI10" s="138"/>
      <c r="AJ10" s="140"/>
      <c r="AK10" s="141">
        <v>337.0</v>
      </c>
      <c r="AL10" s="142"/>
      <c r="AM10" s="143">
        <v>45817.0</v>
      </c>
      <c r="AN10" s="144">
        <v>46266.0</v>
      </c>
      <c r="AO10" s="123" t="s">
        <v>110</v>
      </c>
      <c r="AP10" s="145" t="s">
        <v>89</v>
      </c>
      <c r="AQ10" s="146">
        <v>45937.0</v>
      </c>
      <c r="AR10" s="147"/>
      <c r="AS10" s="148"/>
      <c r="AT10" s="132"/>
      <c r="AU10" s="149" t="s">
        <v>90</v>
      </c>
      <c r="AV10" s="150" t="s">
        <v>91</v>
      </c>
      <c r="AW10" s="103"/>
      <c r="AX10" s="104"/>
      <c r="AY10" s="122"/>
    </row>
    <row r="11">
      <c r="A11" s="123" t="s">
        <v>111</v>
      </c>
      <c r="B11" s="124" t="s">
        <v>112</v>
      </c>
      <c r="C11" s="125" t="s">
        <v>113</v>
      </c>
      <c r="D11" s="126">
        <v>45792.0</v>
      </c>
      <c r="E11" s="127" t="s">
        <v>114</v>
      </c>
      <c r="F11" s="127" t="s">
        <v>115</v>
      </c>
      <c r="G11" s="128">
        <v>35.0</v>
      </c>
      <c r="H11" s="129" t="s">
        <v>81</v>
      </c>
      <c r="I11" s="130" t="s">
        <v>116</v>
      </c>
      <c r="J11" s="130" t="s">
        <v>117</v>
      </c>
      <c r="K11" s="124" t="s">
        <v>118</v>
      </c>
      <c r="L11" s="131" t="s">
        <v>85</v>
      </c>
      <c r="M11" s="132" t="s">
        <v>119</v>
      </c>
      <c r="N11" s="127" t="s">
        <v>87</v>
      </c>
      <c r="O11" s="126"/>
      <c r="P11" s="80"/>
      <c r="Q11" s="126">
        <v>45792.0</v>
      </c>
      <c r="R11" s="133">
        <v>1300.0</v>
      </c>
      <c r="S11" s="134"/>
      <c r="T11" s="127"/>
      <c r="U11" s="110"/>
      <c r="V11" s="111"/>
      <c r="W11" s="126"/>
      <c r="X11" s="133"/>
      <c r="Y11" s="134"/>
      <c r="Z11" s="156"/>
      <c r="AA11" s="126"/>
      <c r="AB11" s="113"/>
      <c r="AC11" s="126"/>
      <c r="AD11" s="114"/>
      <c r="AE11" s="137"/>
      <c r="AF11" s="115"/>
      <c r="AG11" s="138"/>
      <c r="AH11" s="113"/>
      <c r="AI11" s="138"/>
      <c r="AJ11" s="140"/>
      <c r="AK11" s="141">
        <v>1325.0</v>
      </c>
      <c r="AL11" s="142"/>
      <c r="AM11" s="143">
        <v>45792.0</v>
      </c>
      <c r="AN11" s="144">
        <v>46174.0</v>
      </c>
      <c r="AO11" s="123" t="s">
        <v>120</v>
      </c>
      <c r="AP11" s="145" t="s">
        <v>89</v>
      </c>
      <c r="AQ11" s="146">
        <v>46211.0</v>
      </c>
      <c r="AR11" s="147"/>
      <c r="AS11" s="148"/>
      <c r="AT11" s="132"/>
      <c r="AU11" s="149" t="s">
        <v>90</v>
      </c>
      <c r="AV11" s="150" t="s">
        <v>91</v>
      </c>
      <c r="AW11" s="103"/>
      <c r="AX11" s="104"/>
      <c r="AY11" s="122"/>
    </row>
    <row r="12">
      <c r="A12" s="123" t="s">
        <v>121</v>
      </c>
      <c r="B12" s="124" t="s">
        <v>122</v>
      </c>
      <c r="C12" s="125" t="s">
        <v>123</v>
      </c>
      <c r="D12" s="126">
        <v>45867.0</v>
      </c>
      <c r="E12" s="127" t="s">
        <v>124</v>
      </c>
      <c r="F12" s="127" t="s">
        <v>125</v>
      </c>
      <c r="G12" s="128">
        <v>33.0</v>
      </c>
      <c r="H12" s="129" t="s">
        <v>81</v>
      </c>
      <c r="I12" s="130" t="s">
        <v>126</v>
      </c>
      <c r="J12" s="130" t="s">
        <v>127</v>
      </c>
      <c r="K12" s="124" t="s">
        <v>128</v>
      </c>
      <c r="L12" s="131" t="s">
        <v>85</v>
      </c>
      <c r="M12" s="132" t="s">
        <v>129</v>
      </c>
      <c r="N12" s="127" t="s">
        <v>87</v>
      </c>
      <c r="O12" s="126">
        <v>45922.0</v>
      </c>
      <c r="P12" s="157">
        <v>20.0</v>
      </c>
      <c r="Q12" s="126">
        <v>45922.0</v>
      </c>
      <c r="R12" s="133">
        <v>370.0</v>
      </c>
      <c r="S12" s="134"/>
      <c r="T12" s="127"/>
      <c r="U12" s="110"/>
      <c r="V12" s="111"/>
      <c r="W12" s="126"/>
      <c r="X12" s="133"/>
      <c r="Y12" s="134"/>
      <c r="Z12" s="158"/>
      <c r="AA12" s="126"/>
      <c r="AB12" s="113"/>
      <c r="AC12" s="126"/>
      <c r="AD12" s="114"/>
      <c r="AE12" s="137"/>
      <c r="AF12" s="115"/>
      <c r="AG12" s="138"/>
      <c r="AH12" s="139"/>
      <c r="AI12" s="138"/>
      <c r="AJ12" s="140"/>
      <c r="AK12" s="141">
        <v>415.0</v>
      </c>
      <c r="AL12" s="142"/>
      <c r="AM12" s="143">
        <v>45922.0</v>
      </c>
      <c r="AN12" s="144">
        <v>46266.0</v>
      </c>
      <c r="AO12" s="123" t="s">
        <v>130</v>
      </c>
      <c r="AP12" s="145" t="s">
        <v>89</v>
      </c>
      <c r="AQ12" s="146">
        <v>36526.0</v>
      </c>
      <c r="AR12" s="147"/>
      <c r="AS12" s="148"/>
      <c r="AT12" s="132"/>
      <c r="AU12" s="149" t="s">
        <v>90</v>
      </c>
      <c r="AV12" s="150" t="s">
        <v>91</v>
      </c>
      <c r="AW12" s="103"/>
      <c r="AX12" s="104"/>
      <c r="AY12" s="122"/>
    </row>
    <row r="13">
      <c r="A13" s="123" t="s">
        <v>111</v>
      </c>
      <c r="B13" s="124" t="s">
        <v>131</v>
      </c>
      <c r="C13" s="125" t="s">
        <v>132</v>
      </c>
      <c r="D13" s="126">
        <v>45862.0</v>
      </c>
      <c r="E13" s="127" t="s">
        <v>133</v>
      </c>
      <c r="F13" s="127" t="s">
        <v>134</v>
      </c>
      <c r="G13" s="128">
        <v>55.0</v>
      </c>
      <c r="H13" s="129" t="s">
        <v>81</v>
      </c>
      <c r="I13" s="130" t="s">
        <v>135</v>
      </c>
      <c r="J13" s="130" t="s">
        <v>136</v>
      </c>
      <c r="K13" s="124" t="s">
        <v>137</v>
      </c>
      <c r="L13" s="131" t="s">
        <v>138</v>
      </c>
      <c r="M13" s="132" t="s">
        <v>139</v>
      </c>
      <c r="N13" s="127" t="s">
        <v>87</v>
      </c>
      <c r="O13" s="126"/>
      <c r="P13" s="157"/>
      <c r="Q13" s="126">
        <v>45862.0</v>
      </c>
      <c r="R13" s="133">
        <v>390.0</v>
      </c>
      <c r="S13" s="134"/>
      <c r="T13" s="127"/>
      <c r="U13" s="135"/>
      <c r="V13" s="136"/>
      <c r="W13" s="126"/>
      <c r="X13" s="133"/>
      <c r="Y13" s="134"/>
      <c r="Z13" s="158"/>
      <c r="AA13" s="126"/>
      <c r="AB13" s="113"/>
      <c r="AC13" s="126"/>
      <c r="AD13" s="153"/>
      <c r="AE13" s="137"/>
      <c r="AF13" s="154"/>
      <c r="AG13" s="138"/>
      <c r="AH13" s="139"/>
      <c r="AI13" s="138"/>
      <c r="AJ13" s="140"/>
      <c r="AK13" s="141">
        <v>390.0</v>
      </c>
      <c r="AL13" s="142"/>
      <c r="AM13" s="143">
        <v>45835.0</v>
      </c>
      <c r="AN13" s="144">
        <v>46174.0</v>
      </c>
      <c r="AO13" s="123" t="s">
        <v>140</v>
      </c>
      <c r="AP13" s="145" t="s">
        <v>89</v>
      </c>
      <c r="AQ13" s="146">
        <v>46197.0</v>
      </c>
      <c r="AR13" s="147"/>
      <c r="AS13" s="148"/>
      <c r="AT13" s="132"/>
      <c r="AU13" s="149" t="s">
        <v>90</v>
      </c>
      <c r="AV13" s="150" t="s">
        <v>91</v>
      </c>
      <c r="AW13" s="103"/>
      <c r="AX13" s="104"/>
      <c r="AY13" s="122"/>
    </row>
    <row r="14">
      <c r="A14" s="151" t="s">
        <v>141</v>
      </c>
      <c r="B14" s="124" t="s">
        <v>142</v>
      </c>
      <c r="C14" s="125" t="s">
        <v>143</v>
      </c>
      <c r="D14" s="126">
        <v>45817.0</v>
      </c>
      <c r="E14" s="127" t="s">
        <v>144</v>
      </c>
      <c r="F14" s="127" t="s">
        <v>145</v>
      </c>
      <c r="G14" s="128">
        <v>53.0</v>
      </c>
      <c r="H14" s="129" t="s">
        <v>81</v>
      </c>
      <c r="I14" s="130" t="s">
        <v>146</v>
      </c>
      <c r="J14" s="130" t="s">
        <v>147</v>
      </c>
      <c r="K14" s="124" t="s">
        <v>148</v>
      </c>
      <c r="L14" s="131" t="s">
        <v>85</v>
      </c>
      <c r="M14" s="132" t="s">
        <v>109</v>
      </c>
      <c r="N14" s="127" t="s">
        <v>87</v>
      </c>
      <c r="O14" s="126"/>
      <c r="P14" s="80"/>
      <c r="Q14" s="126">
        <v>45817.0</v>
      </c>
      <c r="R14" s="133">
        <v>312.0</v>
      </c>
      <c r="S14" s="134" t="s">
        <v>139</v>
      </c>
      <c r="T14" s="127" t="s">
        <v>87</v>
      </c>
      <c r="U14" s="135"/>
      <c r="V14" s="136"/>
      <c r="W14" s="126">
        <v>45922.0</v>
      </c>
      <c r="X14" s="133">
        <v>370.5</v>
      </c>
      <c r="Y14" s="134"/>
      <c r="Z14" s="112"/>
      <c r="AA14" s="126"/>
      <c r="AB14" s="113"/>
      <c r="AC14" s="126"/>
      <c r="AD14" s="114"/>
      <c r="AE14" s="137"/>
      <c r="AF14" s="154"/>
      <c r="AG14" s="138"/>
      <c r="AH14" s="139"/>
      <c r="AI14" s="138"/>
      <c r="AJ14" s="140"/>
      <c r="AK14" s="141">
        <v>707.5</v>
      </c>
      <c r="AL14" s="142"/>
      <c r="AM14" s="143">
        <v>45974.0</v>
      </c>
      <c r="AN14" s="144">
        <v>46296.0</v>
      </c>
      <c r="AO14" s="123" t="s">
        <v>149</v>
      </c>
      <c r="AP14" s="145" t="s">
        <v>89</v>
      </c>
      <c r="AQ14" s="155">
        <v>45974.0</v>
      </c>
      <c r="AR14" s="147"/>
      <c r="AS14" s="148"/>
      <c r="AT14" s="132"/>
      <c r="AU14" s="149" t="s">
        <v>90</v>
      </c>
      <c r="AV14" s="150" t="s">
        <v>91</v>
      </c>
      <c r="AW14" s="159"/>
      <c r="AX14" s="160"/>
      <c r="AY14" s="122"/>
    </row>
    <row r="15">
      <c r="A15" s="161"/>
      <c r="B15" s="124"/>
      <c r="C15" s="125"/>
      <c r="D15" s="126"/>
      <c r="E15" s="127"/>
      <c r="F15" s="127"/>
      <c r="G15" s="148"/>
      <c r="H15" s="129"/>
      <c r="I15" s="162"/>
      <c r="J15" s="130"/>
      <c r="K15" s="124"/>
      <c r="L15" s="131"/>
      <c r="M15" s="132"/>
      <c r="N15" s="127"/>
      <c r="O15" s="126"/>
      <c r="P15" s="80"/>
      <c r="Q15" s="126"/>
      <c r="R15" s="133"/>
      <c r="S15" s="134"/>
      <c r="T15" s="127"/>
      <c r="U15" s="135"/>
      <c r="V15" s="136"/>
      <c r="W15" s="126"/>
      <c r="X15" s="133"/>
      <c r="Y15" s="134"/>
      <c r="Z15" s="152"/>
      <c r="AA15" s="126"/>
      <c r="AB15" s="163"/>
      <c r="AC15" s="126"/>
      <c r="AD15" s="164"/>
      <c r="AE15" s="137"/>
      <c r="AF15" s="165"/>
      <c r="AG15" s="138"/>
      <c r="AH15" s="166"/>
      <c r="AI15" s="138"/>
      <c r="AJ15" s="140"/>
      <c r="AK15" s="141"/>
      <c r="AL15" s="142"/>
      <c r="AM15" s="143"/>
      <c r="AN15" s="144"/>
      <c r="AO15" s="123"/>
      <c r="AP15" s="145"/>
      <c r="AQ15" s="155"/>
      <c r="AR15" s="147"/>
      <c r="AS15" s="148"/>
      <c r="AT15" s="132"/>
      <c r="AU15" s="149"/>
      <c r="AV15" s="150"/>
      <c r="AW15" s="159"/>
      <c r="AX15" s="160"/>
      <c r="AY15" s="122"/>
    </row>
    <row r="16">
      <c r="A16" s="123" t="s">
        <v>150</v>
      </c>
      <c r="B16" s="124" t="s">
        <v>151</v>
      </c>
      <c r="C16" s="125" t="s">
        <v>152</v>
      </c>
      <c r="D16" s="126">
        <v>45817.0</v>
      </c>
      <c r="E16" s="127" t="s">
        <v>153</v>
      </c>
      <c r="F16" s="127" t="s">
        <v>154</v>
      </c>
      <c r="G16" s="128">
        <v>36.0</v>
      </c>
      <c r="H16" s="129" t="s">
        <v>81</v>
      </c>
      <c r="I16" s="162" t="s">
        <v>155</v>
      </c>
      <c r="J16" s="130" t="s">
        <v>156</v>
      </c>
      <c r="K16" s="124" t="s">
        <v>157</v>
      </c>
      <c r="L16" s="131" t="s">
        <v>158</v>
      </c>
      <c r="M16" s="132" t="s">
        <v>109</v>
      </c>
      <c r="N16" s="127" t="s">
        <v>87</v>
      </c>
      <c r="O16" s="126"/>
      <c r="P16" s="80"/>
      <c r="Q16" s="126">
        <v>45817.0</v>
      </c>
      <c r="R16" s="133">
        <v>312.0</v>
      </c>
      <c r="S16" s="134" t="s">
        <v>139</v>
      </c>
      <c r="T16" s="127" t="s">
        <v>87</v>
      </c>
      <c r="U16" s="135"/>
      <c r="V16" s="136"/>
      <c r="W16" s="126">
        <v>45911.0</v>
      </c>
      <c r="X16" s="133">
        <v>390.0</v>
      </c>
      <c r="Y16" s="134"/>
      <c r="Z16" s="167"/>
      <c r="AA16" s="126"/>
      <c r="AB16" s="113"/>
      <c r="AC16" s="126"/>
      <c r="AD16" s="153"/>
      <c r="AE16" s="137"/>
      <c r="AF16" s="154"/>
      <c r="AG16" s="138"/>
      <c r="AH16" s="166"/>
      <c r="AI16" s="138"/>
      <c r="AJ16" s="140"/>
      <c r="AK16" s="141">
        <v>727.0</v>
      </c>
      <c r="AL16" s="142"/>
      <c r="AM16" s="143">
        <v>45817.0</v>
      </c>
      <c r="AN16" s="144">
        <v>46174.0</v>
      </c>
      <c r="AO16" s="123" t="s">
        <v>159</v>
      </c>
      <c r="AP16" s="145" t="s">
        <v>89</v>
      </c>
      <c r="AQ16" s="146">
        <v>46293.0</v>
      </c>
      <c r="AR16" s="147"/>
      <c r="AS16" s="148"/>
      <c r="AT16" s="132"/>
      <c r="AU16" s="149" t="s">
        <v>90</v>
      </c>
      <c r="AV16" s="150" t="s">
        <v>91</v>
      </c>
      <c r="AW16" s="159"/>
      <c r="AX16" s="160"/>
      <c r="AY16" s="168"/>
    </row>
    <row r="17">
      <c r="A17" s="123"/>
      <c r="B17" s="124"/>
      <c r="C17" s="125"/>
      <c r="D17" s="126"/>
      <c r="E17" s="127"/>
      <c r="F17" s="127"/>
      <c r="G17" s="128"/>
      <c r="H17" s="129"/>
      <c r="I17" s="162"/>
      <c r="J17" s="130"/>
      <c r="K17" s="124"/>
      <c r="L17" s="76"/>
      <c r="M17" s="77"/>
      <c r="N17" s="127"/>
      <c r="O17" s="126"/>
      <c r="P17" s="80"/>
      <c r="Q17" s="126"/>
      <c r="R17" s="133"/>
      <c r="S17" s="134"/>
      <c r="T17" s="127"/>
      <c r="U17" s="135"/>
      <c r="V17" s="136"/>
      <c r="W17" s="126"/>
      <c r="X17" s="133"/>
      <c r="Y17" s="134"/>
      <c r="Z17" s="158"/>
      <c r="AA17" s="126"/>
      <c r="AB17" s="113"/>
      <c r="AC17" s="126"/>
      <c r="AD17" s="114"/>
      <c r="AE17" s="137"/>
      <c r="AF17" s="154"/>
      <c r="AG17" s="138"/>
      <c r="AH17" s="139"/>
      <c r="AI17" s="138"/>
      <c r="AJ17" s="140"/>
      <c r="AK17" s="141"/>
      <c r="AL17" s="142"/>
      <c r="AM17" s="143"/>
      <c r="AN17" s="144"/>
      <c r="AO17" s="123"/>
      <c r="AP17" s="145"/>
      <c r="AQ17" s="169"/>
      <c r="AR17" s="147"/>
      <c r="AS17" s="148"/>
      <c r="AT17" s="132"/>
      <c r="AU17" s="149"/>
      <c r="AV17" s="150"/>
      <c r="AW17" s="159"/>
      <c r="AX17" s="160"/>
      <c r="AY17" s="170"/>
    </row>
    <row r="18">
      <c r="A18" s="123"/>
      <c r="B18" s="124"/>
      <c r="C18" s="125"/>
      <c r="D18" s="126"/>
      <c r="E18" s="127"/>
      <c r="F18" s="127"/>
      <c r="G18" s="128"/>
      <c r="H18" s="129"/>
      <c r="I18" s="130"/>
      <c r="J18" s="130"/>
      <c r="K18" s="124"/>
      <c r="L18" s="131"/>
      <c r="M18" s="132"/>
      <c r="N18" s="127"/>
      <c r="O18" s="126"/>
      <c r="P18" s="80"/>
      <c r="Q18" s="126"/>
      <c r="R18" s="133"/>
      <c r="S18" s="134"/>
      <c r="T18" s="127"/>
      <c r="U18" s="135"/>
      <c r="V18" s="136"/>
      <c r="W18" s="126"/>
      <c r="X18" s="133"/>
      <c r="Y18" s="134"/>
      <c r="Z18" s="158"/>
      <c r="AA18" s="126"/>
      <c r="AB18" s="113"/>
      <c r="AC18" s="126"/>
      <c r="AD18" s="153"/>
      <c r="AE18" s="137"/>
      <c r="AF18" s="154"/>
      <c r="AG18" s="138"/>
      <c r="AH18" s="139"/>
      <c r="AI18" s="138"/>
      <c r="AJ18" s="140"/>
      <c r="AK18" s="141"/>
      <c r="AL18" s="142"/>
      <c r="AM18" s="143"/>
      <c r="AN18" s="144"/>
      <c r="AO18" s="123"/>
      <c r="AP18" s="145"/>
      <c r="AQ18" s="146"/>
      <c r="AR18" s="147"/>
      <c r="AS18" s="148"/>
      <c r="AT18" s="132"/>
      <c r="AU18" s="149"/>
      <c r="AV18" s="150"/>
      <c r="AW18" s="159"/>
      <c r="AX18" s="160"/>
      <c r="AY18" s="170"/>
    </row>
    <row r="19">
      <c r="A19" s="123"/>
      <c r="B19" s="124"/>
      <c r="C19" s="125"/>
      <c r="D19" s="126"/>
      <c r="E19" s="127"/>
      <c r="F19" s="127"/>
      <c r="G19" s="128"/>
      <c r="H19" s="129"/>
      <c r="I19" s="130"/>
      <c r="J19" s="130"/>
      <c r="K19" s="124"/>
      <c r="L19" s="131"/>
      <c r="M19" s="132"/>
      <c r="N19" s="127"/>
      <c r="O19" s="126"/>
      <c r="P19" s="157"/>
      <c r="Q19" s="126"/>
      <c r="R19" s="133"/>
      <c r="S19" s="134"/>
      <c r="T19" s="127"/>
      <c r="U19" s="135"/>
      <c r="V19" s="136"/>
      <c r="W19" s="126"/>
      <c r="X19" s="133"/>
      <c r="Y19" s="134"/>
      <c r="Z19" s="158"/>
      <c r="AA19" s="126"/>
      <c r="AB19" s="113"/>
      <c r="AC19" s="126"/>
      <c r="AD19" s="153"/>
      <c r="AE19" s="137"/>
      <c r="AF19" s="154"/>
      <c r="AG19" s="138"/>
      <c r="AH19" s="139"/>
      <c r="AI19" s="138"/>
      <c r="AJ19" s="140"/>
      <c r="AK19" s="141"/>
      <c r="AL19" s="142"/>
      <c r="AM19" s="143"/>
      <c r="AN19" s="144"/>
      <c r="AO19" s="123"/>
      <c r="AP19" s="145"/>
      <c r="AQ19" s="146"/>
      <c r="AR19" s="147"/>
      <c r="AS19" s="148"/>
      <c r="AT19" s="132"/>
      <c r="AU19" s="149"/>
      <c r="AV19" s="150"/>
      <c r="AW19" s="159"/>
      <c r="AX19" s="160"/>
      <c r="AY19" s="171"/>
    </row>
    <row r="20">
      <c r="A20" s="123"/>
      <c r="B20" s="124"/>
      <c r="C20" s="125"/>
      <c r="D20" s="126"/>
      <c r="E20" s="127"/>
      <c r="F20" s="127"/>
      <c r="G20" s="128"/>
      <c r="H20" s="129"/>
      <c r="I20" s="130"/>
      <c r="J20" s="130"/>
      <c r="K20" s="124"/>
      <c r="L20" s="131"/>
      <c r="M20" s="132"/>
      <c r="N20" s="127"/>
      <c r="O20" s="126"/>
      <c r="P20" s="157"/>
      <c r="Q20" s="126"/>
      <c r="R20" s="133"/>
      <c r="S20" s="134"/>
      <c r="T20" s="127"/>
      <c r="U20" s="135"/>
      <c r="V20" s="136"/>
      <c r="W20" s="126"/>
      <c r="X20" s="133"/>
      <c r="Y20" s="134"/>
      <c r="Z20" s="158"/>
      <c r="AA20" s="126"/>
      <c r="AB20" s="113"/>
      <c r="AC20" s="126"/>
      <c r="AD20" s="114"/>
      <c r="AE20" s="137"/>
      <c r="AF20" s="154"/>
      <c r="AG20" s="138"/>
      <c r="AH20" s="139"/>
      <c r="AI20" s="138"/>
      <c r="AJ20" s="140"/>
      <c r="AK20" s="141"/>
      <c r="AL20" s="142"/>
      <c r="AM20" s="143"/>
      <c r="AN20" s="144"/>
      <c r="AO20" s="123"/>
      <c r="AP20" s="145"/>
      <c r="AQ20" s="155"/>
      <c r="AR20" s="147"/>
      <c r="AS20" s="148"/>
      <c r="AT20" s="132"/>
      <c r="AU20" s="149"/>
      <c r="AV20" s="150"/>
      <c r="AW20" s="159"/>
      <c r="AX20" s="160"/>
      <c r="AY20" s="170"/>
    </row>
    <row r="21">
      <c r="A21" s="123" t="s">
        <v>160</v>
      </c>
      <c r="B21" s="124" t="s">
        <v>161</v>
      </c>
      <c r="C21" s="125" t="s">
        <v>162</v>
      </c>
      <c r="D21" s="126">
        <v>45817.0</v>
      </c>
      <c r="E21" s="127" t="s">
        <v>163</v>
      </c>
      <c r="F21" s="127" t="s">
        <v>164</v>
      </c>
      <c r="G21" s="128">
        <v>28.0</v>
      </c>
      <c r="H21" s="129" t="s">
        <v>81</v>
      </c>
      <c r="I21" s="130" t="s">
        <v>165</v>
      </c>
      <c r="J21" s="130" t="s">
        <v>166</v>
      </c>
      <c r="K21" s="124" t="s">
        <v>167</v>
      </c>
      <c r="L21" s="131" t="s">
        <v>85</v>
      </c>
      <c r="M21" s="132" t="s">
        <v>109</v>
      </c>
      <c r="N21" s="127" t="s">
        <v>87</v>
      </c>
      <c r="O21" s="126"/>
      <c r="P21" s="80"/>
      <c r="Q21" s="126">
        <v>45817.0</v>
      </c>
      <c r="R21" s="133">
        <v>312.0</v>
      </c>
      <c r="S21" s="134"/>
      <c r="T21" s="127"/>
      <c r="U21" s="135"/>
      <c r="V21" s="136"/>
      <c r="W21" s="126"/>
      <c r="X21" s="133"/>
      <c r="Y21" s="134"/>
      <c r="Z21" s="158"/>
      <c r="AA21" s="126"/>
      <c r="AB21" s="113"/>
      <c r="AC21" s="126"/>
      <c r="AD21" s="114"/>
      <c r="AE21" s="137"/>
      <c r="AF21" s="154"/>
      <c r="AG21" s="138"/>
      <c r="AH21" s="139"/>
      <c r="AI21" s="138"/>
      <c r="AJ21" s="140"/>
      <c r="AK21" s="141">
        <v>337.0</v>
      </c>
      <c r="AL21" s="142"/>
      <c r="AM21" s="143">
        <v>45817.0</v>
      </c>
      <c r="AN21" s="144">
        <v>46174.0</v>
      </c>
      <c r="AO21" s="123" t="s">
        <v>168</v>
      </c>
      <c r="AP21" s="145" t="s">
        <v>89</v>
      </c>
      <c r="AQ21" s="146">
        <v>46104.0</v>
      </c>
      <c r="AR21" s="147"/>
      <c r="AS21" s="148"/>
      <c r="AT21" s="132"/>
      <c r="AU21" s="149" t="s">
        <v>90</v>
      </c>
      <c r="AV21" s="150" t="s">
        <v>91</v>
      </c>
      <c r="AW21" s="159"/>
      <c r="AX21" s="160"/>
      <c r="AY21" s="172"/>
    </row>
    <row r="22">
      <c r="A22" s="123" t="s">
        <v>169</v>
      </c>
      <c r="B22" s="124" t="s">
        <v>170</v>
      </c>
      <c r="C22" s="125" t="s">
        <v>171</v>
      </c>
      <c r="D22" s="126">
        <v>45902.0</v>
      </c>
      <c r="E22" s="127" t="s">
        <v>172</v>
      </c>
      <c r="F22" s="127" t="s">
        <v>173</v>
      </c>
      <c r="G22" s="128">
        <v>25.0</v>
      </c>
      <c r="H22" s="129" t="s">
        <v>81</v>
      </c>
      <c r="I22" s="130" t="s">
        <v>174</v>
      </c>
      <c r="J22" s="130" t="s">
        <v>175</v>
      </c>
      <c r="K22" s="124" t="s">
        <v>176</v>
      </c>
      <c r="L22" s="131" t="s">
        <v>85</v>
      </c>
      <c r="M22" s="132" t="s">
        <v>139</v>
      </c>
      <c r="N22" s="127" t="s">
        <v>87</v>
      </c>
      <c r="O22" s="126"/>
      <c r="P22" s="80"/>
      <c r="Q22" s="126">
        <v>45917.0</v>
      </c>
      <c r="R22" s="133">
        <v>390.0</v>
      </c>
      <c r="S22" s="134"/>
      <c r="T22" s="127"/>
      <c r="U22" s="135"/>
      <c r="V22" s="136"/>
      <c r="W22" s="126"/>
      <c r="X22" s="133"/>
      <c r="Y22" s="134"/>
      <c r="Z22" s="158"/>
      <c r="AA22" s="126"/>
      <c r="AB22" s="113"/>
      <c r="AC22" s="126"/>
      <c r="AD22" s="114"/>
      <c r="AE22" s="137"/>
      <c r="AF22" s="154"/>
      <c r="AG22" s="138"/>
      <c r="AH22" s="139"/>
      <c r="AI22" s="138"/>
      <c r="AJ22" s="140"/>
      <c r="AK22" s="141">
        <v>390.0</v>
      </c>
      <c r="AL22" s="142"/>
      <c r="AM22" s="143">
        <v>45664.0</v>
      </c>
      <c r="AN22" s="144">
        <v>46023.0</v>
      </c>
      <c r="AO22" s="123" t="s">
        <v>177</v>
      </c>
      <c r="AP22" s="145" t="s">
        <v>89</v>
      </c>
      <c r="AQ22" s="146">
        <v>46097.0</v>
      </c>
      <c r="AR22" s="147"/>
      <c r="AS22" s="148"/>
      <c r="AT22" s="132"/>
      <c r="AU22" s="149" t="s">
        <v>90</v>
      </c>
      <c r="AV22" s="150" t="s">
        <v>91</v>
      </c>
      <c r="AW22" s="159"/>
      <c r="AX22" s="160"/>
      <c r="AY22" s="173"/>
    </row>
    <row r="23">
      <c r="A23" s="123" t="s">
        <v>101</v>
      </c>
      <c r="B23" s="124" t="s">
        <v>178</v>
      </c>
      <c r="C23" s="125" t="s">
        <v>179</v>
      </c>
      <c r="D23" s="126">
        <v>45897.0</v>
      </c>
      <c r="E23" s="127" t="s">
        <v>180</v>
      </c>
      <c r="F23" s="127" t="s">
        <v>181</v>
      </c>
      <c r="G23" s="128">
        <v>24.0</v>
      </c>
      <c r="H23" s="129" t="s">
        <v>81</v>
      </c>
      <c r="I23" s="130" t="s">
        <v>182</v>
      </c>
      <c r="J23" s="130" t="s">
        <v>183</v>
      </c>
      <c r="K23" s="124" t="s">
        <v>184</v>
      </c>
      <c r="L23" s="131" t="s">
        <v>85</v>
      </c>
      <c r="M23" s="132" t="s">
        <v>109</v>
      </c>
      <c r="N23" s="127" t="s">
        <v>87</v>
      </c>
      <c r="O23" s="126"/>
      <c r="P23" s="80"/>
      <c r="Q23" s="126">
        <v>45897.0</v>
      </c>
      <c r="R23" s="133">
        <v>390.0</v>
      </c>
      <c r="S23" s="134"/>
      <c r="T23" s="127"/>
      <c r="U23" s="135"/>
      <c r="V23" s="136"/>
      <c r="W23" s="126"/>
      <c r="X23" s="133"/>
      <c r="Y23" s="134"/>
      <c r="Z23" s="158"/>
      <c r="AA23" s="126"/>
      <c r="AB23" s="113"/>
      <c r="AC23" s="126"/>
      <c r="AD23" s="114"/>
      <c r="AE23" s="137"/>
      <c r="AF23" s="154"/>
      <c r="AG23" s="138"/>
      <c r="AH23" s="139"/>
      <c r="AI23" s="138"/>
      <c r="AJ23" s="140"/>
      <c r="AK23" s="141">
        <v>415.0</v>
      </c>
      <c r="AL23" s="142"/>
      <c r="AM23" s="143">
        <v>45897.0</v>
      </c>
      <c r="AN23" s="144">
        <v>46266.0</v>
      </c>
      <c r="AO23" s="123" t="s">
        <v>185</v>
      </c>
      <c r="AP23" s="145" t="s">
        <v>89</v>
      </c>
      <c r="AQ23" s="155">
        <v>45985.0</v>
      </c>
      <c r="AR23" s="147"/>
      <c r="AS23" s="148"/>
      <c r="AT23" s="132"/>
      <c r="AU23" s="149" t="s">
        <v>90</v>
      </c>
      <c r="AV23" s="150" t="s">
        <v>91</v>
      </c>
      <c r="AW23" s="159"/>
      <c r="AX23" s="160"/>
      <c r="AY23" s="174"/>
    </row>
    <row r="24">
      <c r="A24" s="123" t="s">
        <v>101</v>
      </c>
      <c r="B24" s="124" t="s">
        <v>77</v>
      </c>
      <c r="C24" s="125" t="s">
        <v>186</v>
      </c>
      <c r="D24" s="126">
        <v>45853.0</v>
      </c>
      <c r="E24" s="127" t="s">
        <v>187</v>
      </c>
      <c r="F24" s="127" t="s">
        <v>125</v>
      </c>
      <c r="G24" s="128">
        <v>26.0</v>
      </c>
      <c r="H24" s="129" t="s">
        <v>81</v>
      </c>
      <c r="I24" s="130" t="s">
        <v>188</v>
      </c>
      <c r="J24" s="130" t="s">
        <v>189</v>
      </c>
      <c r="K24" s="124" t="s">
        <v>190</v>
      </c>
      <c r="L24" s="131" t="s">
        <v>85</v>
      </c>
      <c r="M24" s="132" t="s">
        <v>139</v>
      </c>
      <c r="N24" s="127" t="s">
        <v>87</v>
      </c>
      <c r="O24" s="126"/>
      <c r="P24" s="80"/>
      <c r="Q24" s="126">
        <v>45853.0</v>
      </c>
      <c r="R24" s="133">
        <v>351.0</v>
      </c>
      <c r="S24" s="134"/>
      <c r="T24" s="127"/>
      <c r="U24" s="135"/>
      <c r="V24" s="136"/>
      <c r="W24" s="126"/>
      <c r="X24" s="133"/>
      <c r="Y24" s="134"/>
      <c r="Z24" s="158"/>
      <c r="AA24" s="126"/>
      <c r="AB24" s="113"/>
      <c r="AC24" s="126"/>
      <c r="AD24" s="114"/>
      <c r="AE24" s="137"/>
      <c r="AF24" s="154"/>
      <c r="AG24" s="138"/>
      <c r="AH24" s="139"/>
      <c r="AI24" s="138"/>
      <c r="AJ24" s="140"/>
      <c r="AK24" s="141">
        <v>351.0</v>
      </c>
      <c r="AL24" s="142"/>
      <c r="AM24" s="143">
        <v>45320.0</v>
      </c>
      <c r="AN24" s="144">
        <v>45658.0</v>
      </c>
      <c r="AO24" s="123" t="s">
        <v>191</v>
      </c>
      <c r="AP24" s="145" t="s">
        <v>89</v>
      </c>
      <c r="AQ24" s="146">
        <v>45825.0</v>
      </c>
      <c r="AR24" s="147"/>
      <c r="AS24" s="148"/>
      <c r="AT24" s="132"/>
      <c r="AU24" s="149" t="s">
        <v>90</v>
      </c>
      <c r="AV24" s="150" t="s">
        <v>91</v>
      </c>
      <c r="AW24" s="159"/>
      <c r="AX24" s="160"/>
      <c r="AY24" s="174"/>
    </row>
    <row r="25">
      <c r="A25" s="123" t="s">
        <v>101</v>
      </c>
      <c r="B25" s="124" t="s">
        <v>77</v>
      </c>
      <c r="C25" s="125" t="s">
        <v>192</v>
      </c>
      <c r="D25" s="126">
        <v>45853.0</v>
      </c>
      <c r="E25" s="127" t="s">
        <v>187</v>
      </c>
      <c r="F25" s="127" t="s">
        <v>193</v>
      </c>
      <c r="G25" s="128">
        <v>24.0</v>
      </c>
      <c r="H25" s="129" t="s">
        <v>81</v>
      </c>
      <c r="I25" s="130" t="s">
        <v>194</v>
      </c>
      <c r="J25" s="130" t="s">
        <v>195</v>
      </c>
      <c r="K25" s="124" t="s">
        <v>196</v>
      </c>
      <c r="L25" s="131" t="s">
        <v>85</v>
      </c>
      <c r="M25" s="132" t="s">
        <v>109</v>
      </c>
      <c r="N25" s="127" t="s">
        <v>87</v>
      </c>
      <c r="O25" s="126"/>
      <c r="P25" s="80"/>
      <c r="Q25" s="126">
        <v>45853.0</v>
      </c>
      <c r="R25" s="133">
        <v>351.0</v>
      </c>
      <c r="S25" s="134"/>
      <c r="T25" s="127"/>
      <c r="U25" s="135"/>
      <c r="V25" s="136"/>
      <c r="W25" s="126"/>
      <c r="X25" s="133"/>
      <c r="Y25" s="134"/>
      <c r="Z25" s="158"/>
      <c r="AA25" s="126"/>
      <c r="AB25" s="113"/>
      <c r="AC25" s="126"/>
      <c r="AD25" s="114"/>
      <c r="AE25" s="137"/>
      <c r="AF25" s="154"/>
      <c r="AG25" s="138"/>
      <c r="AH25" s="139"/>
      <c r="AI25" s="138"/>
      <c r="AJ25" s="140"/>
      <c r="AK25" s="141">
        <v>376.0</v>
      </c>
      <c r="AL25" s="142"/>
      <c r="AM25" s="143">
        <v>45853.0</v>
      </c>
      <c r="AN25" s="144">
        <v>46204.0</v>
      </c>
      <c r="AO25" s="123" t="s">
        <v>197</v>
      </c>
      <c r="AP25" s="145" t="s">
        <v>89</v>
      </c>
      <c r="AQ25" s="146">
        <v>36526.0</v>
      </c>
      <c r="AR25" s="147"/>
      <c r="AS25" s="148"/>
      <c r="AT25" s="132"/>
      <c r="AU25" s="149" t="s">
        <v>90</v>
      </c>
      <c r="AV25" s="150" t="s">
        <v>91</v>
      </c>
      <c r="AW25" s="159"/>
      <c r="AX25" s="160"/>
      <c r="AY25" s="174"/>
    </row>
    <row r="26">
      <c r="A26" s="123" t="s">
        <v>160</v>
      </c>
      <c r="B26" s="124" t="s">
        <v>161</v>
      </c>
      <c r="C26" s="125" t="s">
        <v>198</v>
      </c>
      <c r="D26" s="126">
        <v>45817.0</v>
      </c>
      <c r="E26" s="127" t="s">
        <v>199</v>
      </c>
      <c r="F26" s="127" t="s">
        <v>200</v>
      </c>
      <c r="G26" s="148">
        <v>30.0</v>
      </c>
      <c r="H26" s="129" t="s">
        <v>81</v>
      </c>
      <c r="I26" s="162" t="s">
        <v>201</v>
      </c>
      <c r="J26" s="130" t="s">
        <v>202</v>
      </c>
      <c r="K26" s="124" t="s">
        <v>203</v>
      </c>
      <c r="L26" s="131" t="s">
        <v>85</v>
      </c>
      <c r="M26" s="132" t="s">
        <v>204</v>
      </c>
      <c r="N26" s="127" t="s">
        <v>87</v>
      </c>
      <c r="O26" s="126"/>
      <c r="P26" s="80"/>
      <c r="Q26" s="126">
        <v>45817.0</v>
      </c>
      <c r="R26" s="133">
        <v>864.0</v>
      </c>
      <c r="S26" s="134"/>
      <c r="T26" s="127"/>
      <c r="U26" s="135"/>
      <c r="V26" s="136"/>
      <c r="W26" s="126"/>
      <c r="X26" s="133"/>
      <c r="Y26" s="134"/>
      <c r="Z26" s="175"/>
      <c r="AA26" s="126"/>
      <c r="AB26" s="163"/>
      <c r="AC26" s="126"/>
      <c r="AD26" s="176"/>
      <c r="AE26" s="137"/>
      <c r="AF26" s="177"/>
      <c r="AG26" s="138"/>
      <c r="AH26" s="166"/>
      <c r="AI26" s="138"/>
      <c r="AJ26" s="140"/>
      <c r="AK26" s="141">
        <v>889.0</v>
      </c>
      <c r="AL26" s="142"/>
      <c r="AM26" s="143">
        <v>45817.0</v>
      </c>
      <c r="AN26" s="144">
        <v>46174.0</v>
      </c>
      <c r="AO26" s="123" t="s">
        <v>205</v>
      </c>
      <c r="AP26" s="145" t="s">
        <v>89</v>
      </c>
      <c r="AQ26" s="146">
        <v>45936.0</v>
      </c>
      <c r="AR26" s="147"/>
      <c r="AS26" s="148"/>
      <c r="AT26" s="132"/>
      <c r="AU26" s="149" t="s">
        <v>90</v>
      </c>
      <c r="AV26" s="150" t="s">
        <v>91</v>
      </c>
      <c r="AW26" s="159"/>
      <c r="AX26" s="160"/>
      <c r="AY26" s="174"/>
    </row>
    <row r="27">
      <c r="A27" s="123" t="s">
        <v>111</v>
      </c>
      <c r="B27" s="124" t="s">
        <v>77</v>
      </c>
      <c r="C27" s="125" t="s">
        <v>206</v>
      </c>
      <c r="D27" s="126">
        <v>45827.0</v>
      </c>
      <c r="E27" s="127" t="s">
        <v>207</v>
      </c>
      <c r="F27" s="127" t="s">
        <v>208</v>
      </c>
      <c r="G27" s="128">
        <v>32.0</v>
      </c>
      <c r="H27" s="129" t="s">
        <v>81</v>
      </c>
      <c r="I27" s="130" t="s">
        <v>209</v>
      </c>
      <c r="J27" s="130" t="s">
        <v>210</v>
      </c>
      <c r="K27" s="124" t="s">
        <v>211</v>
      </c>
      <c r="L27" s="131" t="s">
        <v>85</v>
      </c>
      <c r="M27" s="132" t="s">
        <v>99</v>
      </c>
      <c r="N27" s="127" t="s">
        <v>87</v>
      </c>
      <c r="O27" s="126"/>
      <c r="P27" s="80"/>
      <c r="Q27" s="126">
        <v>45834.0</v>
      </c>
      <c r="R27" s="133">
        <v>612.0</v>
      </c>
      <c r="S27" s="134"/>
      <c r="T27" s="127"/>
      <c r="U27" s="135"/>
      <c r="V27" s="136"/>
      <c r="W27" s="126"/>
      <c r="X27" s="133"/>
      <c r="Y27" s="134"/>
      <c r="Z27" s="167"/>
      <c r="AA27" s="126"/>
      <c r="AB27" s="113"/>
      <c r="AC27" s="126"/>
      <c r="AD27" s="114"/>
      <c r="AE27" s="137"/>
      <c r="AF27" s="154"/>
      <c r="AG27" s="138"/>
      <c r="AH27" s="139"/>
      <c r="AI27" s="138"/>
      <c r="AJ27" s="140"/>
      <c r="AK27" s="141">
        <v>637.0</v>
      </c>
      <c r="AL27" s="142"/>
      <c r="AM27" s="143">
        <v>45834.0</v>
      </c>
      <c r="AN27" s="144">
        <v>46266.0</v>
      </c>
      <c r="AO27" s="123" t="s">
        <v>212</v>
      </c>
      <c r="AP27" s="145" t="s">
        <v>213</v>
      </c>
      <c r="AQ27" s="146">
        <v>45969.0</v>
      </c>
      <c r="AR27" s="147"/>
      <c r="AS27" s="148"/>
      <c r="AT27" s="132"/>
      <c r="AU27" s="149" t="s">
        <v>90</v>
      </c>
      <c r="AV27" s="150" t="s">
        <v>91</v>
      </c>
      <c r="AW27" s="159"/>
      <c r="AX27" s="160"/>
      <c r="AY27" s="174"/>
    </row>
    <row r="28">
      <c r="A28" s="123" t="s">
        <v>214</v>
      </c>
      <c r="B28" s="124" t="s">
        <v>215</v>
      </c>
      <c r="C28" s="125" t="s">
        <v>216</v>
      </c>
      <c r="D28" s="126">
        <v>45894.0</v>
      </c>
      <c r="E28" s="127" t="s">
        <v>217</v>
      </c>
      <c r="F28" s="127" t="s">
        <v>218</v>
      </c>
      <c r="G28" s="128">
        <v>31.0</v>
      </c>
      <c r="H28" s="129" t="s">
        <v>81</v>
      </c>
      <c r="I28" s="130" t="s">
        <v>219</v>
      </c>
      <c r="J28" s="130" t="s">
        <v>220</v>
      </c>
      <c r="K28" s="124" t="s">
        <v>221</v>
      </c>
      <c r="L28" s="131" t="s">
        <v>85</v>
      </c>
      <c r="M28" s="132" t="s">
        <v>222</v>
      </c>
      <c r="N28" s="127" t="s">
        <v>87</v>
      </c>
      <c r="O28" s="126"/>
      <c r="P28" s="80"/>
      <c r="Q28" s="126">
        <v>45929.0</v>
      </c>
      <c r="R28" s="133">
        <v>280.0</v>
      </c>
      <c r="S28" s="134"/>
      <c r="T28" s="127"/>
      <c r="U28" s="135"/>
      <c r="V28" s="136"/>
      <c r="W28" s="126"/>
      <c r="X28" s="133"/>
      <c r="Y28" s="134"/>
      <c r="Z28" s="158"/>
      <c r="AA28" s="126"/>
      <c r="AB28" s="113"/>
      <c r="AC28" s="126"/>
      <c r="AD28" s="153"/>
      <c r="AE28" s="137"/>
      <c r="AF28" s="154"/>
      <c r="AG28" s="138"/>
      <c r="AH28" s="139"/>
      <c r="AI28" s="138"/>
      <c r="AJ28" s="140"/>
      <c r="AK28" s="141">
        <v>280.0</v>
      </c>
      <c r="AL28" s="142"/>
      <c r="AM28" s="143">
        <v>45735.0</v>
      </c>
      <c r="AN28" s="144">
        <v>46082.0</v>
      </c>
      <c r="AO28" s="123" t="s">
        <v>223</v>
      </c>
      <c r="AP28" s="145" t="s">
        <v>89</v>
      </c>
      <c r="AQ28" s="146">
        <v>46126.0</v>
      </c>
      <c r="AR28" s="147"/>
      <c r="AS28" s="148"/>
      <c r="AT28" s="132"/>
      <c r="AU28" s="149" t="s">
        <v>90</v>
      </c>
      <c r="AV28" s="150" t="s">
        <v>91</v>
      </c>
      <c r="AW28" s="159"/>
      <c r="AX28" s="160"/>
      <c r="AY28" s="174"/>
    </row>
    <row r="29">
      <c r="A29" s="123" t="s">
        <v>224</v>
      </c>
      <c r="B29" s="124" t="s">
        <v>215</v>
      </c>
      <c r="C29" s="125" t="s">
        <v>225</v>
      </c>
      <c r="D29" s="126">
        <v>45894.0</v>
      </c>
      <c r="E29" s="127" t="s">
        <v>226</v>
      </c>
      <c r="F29" s="127" t="s">
        <v>227</v>
      </c>
      <c r="G29" s="128">
        <v>36.0</v>
      </c>
      <c r="H29" s="129" t="s">
        <v>81</v>
      </c>
      <c r="I29" s="130" t="s">
        <v>228</v>
      </c>
      <c r="J29" s="130" t="s">
        <v>229</v>
      </c>
      <c r="K29" s="124" t="s">
        <v>230</v>
      </c>
      <c r="L29" s="131" t="s">
        <v>85</v>
      </c>
      <c r="M29" s="132" t="s">
        <v>222</v>
      </c>
      <c r="N29" s="127" t="s">
        <v>87</v>
      </c>
      <c r="O29" s="126"/>
      <c r="P29" s="80"/>
      <c r="Q29" s="126">
        <v>45894.0</v>
      </c>
      <c r="R29" s="133">
        <v>280.0</v>
      </c>
      <c r="S29" s="134"/>
      <c r="T29" s="127"/>
      <c r="U29" s="135"/>
      <c r="V29" s="136"/>
      <c r="W29" s="126"/>
      <c r="X29" s="133"/>
      <c r="Y29" s="134"/>
      <c r="Z29" s="158"/>
      <c r="AA29" s="126"/>
      <c r="AB29" s="113"/>
      <c r="AC29" s="126"/>
      <c r="AD29" s="114"/>
      <c r="AE29" s="137"/>
      <c r="AF29" s="154"/>
      <c r="AG29" s="138"/>
      <c r="AH29" s="139"/>
      <c r="AI29" s="138"/>
      <c r="AJ29" s="140"/>
      <c r="AK29" s="141">
        <v>280.0</v>
      </c>
      <c r="AL29" s="142"/>
      <c r="AM29" s="143">
        <v>45707.0</v>
      </c>
      <c r="AN29" s="144">
        <v>46054.0</v>
      </c>
      <c r="AO29" s="123" t="s">
        <v>231</v>
      </c>
      <c r="AP29" s="145" t="s">
        <v>89</v>
      </c>
      <c r="AQ29" s="155">
        <v>45985.0</v>
      </c>
      <c r="AR29" s="147"/>
      <c r="AS29" s="148"/>
      <c r="AT29" s="132"/>
      <c r="AU29" s="149" t="s">
        <v>90</v>
      </c>
      <c r="AV29" s="150" t="s">
        <v>91</v>
      </c>
      <c r="AW29" s="159"/>
      <c r="AX29" s="160"/>
      <c r="AY29" s="174"/>
    </row>
    <row r="30">
      <c r="A30" s="123"/>
      <c r="B30" s="124"/>
      <c r="C30" s="125"/>
      <c r="D30" s="126"/>
      <c r="E30" s="127"/>
      <c r="F30" s="127"/>
      <c r="G30" s="128"/>
      <c r="H30" s="129"/>
      <c r="I30" s="130"/>
      <c r="J30" s="130"/>
      <c r="K30" s="124"/>
      <c r="L30" s="76"/>
      <c r="M30" s="77"/>
      <c r="N30" s="127"/>
      <c r="O30" s="126"/>
      <c r="P30" s="80"/>
      <c r="Q30" s="126"/>
      <c r="R30" s="133"/>
      <c r="S30" s="134"/>
      <c r="T30" s="127"/>
      <c r="U30" s="135"/>
      <c r="V30" s="136"/>
      <c r="W30" s="126"/>
      <c r="X30" s="133"/>
      <c r="Y30" s="134"/>
      <c r="Z30" s="158"/>
      <c r="AA30" s="126"/>
      <c r="AB30" s="113"/>
      <c r="AC30" s="126"/>
      <c r="AD30" s="114"/>
      <c r="AE30" s="137"/>
      <c r="AF30" s="154"/>
      <c r="AG30" s="138"/>
      <c r="AH30" s="139"/>
      <c r="AI30" s="138"/>
      <c r="AJ30" s="140"/>
      <c r="AK30" s="141"/>
      <c r="AL30" s="142"/>
      <c r="AM30" s="143"/>
      <c r="AN30" s="144"/>
      <c r="AO30" s="123"/>
      <c r="AP30" s="145"/>
      <c r="AQ30" s="169"/>
      <c r="AR30" s="147"/>
      <c r="AS30" s="148"/>
      <c r="AT30" s="132"/>
      <c r="AU30" s="149"/>
      <c r="AV30" s="150"/>
      <c r="AW30" s="159"/>
      <c r="AX30" s="160"/>
      <c r="AY30" s="174"/>
    </row>
    <row r="31">
      <c r="A31" s="123" t="s">
        <v>111</v>
      </c>
      <c r="B31" s="124" t="s">
        <v>232</v>
      </c>
      <c r="C31" s="125" t="s">
        <v>233</v>
      </c>
      <c r="D31" s="126">
        <v>45866.0</v>
      </c>
      <c r="E31" s="127" t="s">
        <v>234</v>
      </c>
      <c r="F31" s="127" t="s">
        <v>235</v>
      </c>
      <c r="G31" s="128">
        <v>47.0</v>
      </c>
      <c r="H31" s="129" t="s">
        <v>81</v>
      </c>
      <c r="I31" s="130" t="s">
        <v>236</v>
      </c>
      <c r="J31" s="130" t="s">
        <v>237</v>
      </c>
      <c r="K31" s="124" t="s">
        <v>238</v>
      </c>
      <c r="L31" s="131" t="s">
        <v>85</v>
      </c>
      <c r="M31" s="132" t="s">
        <v>109</v>
      </c>
      <c r="N31" s="127" t="s">
        <v>87</v>
      </c>
      <c r="O31" s="126"/>
      <c r="P31" s="80"/>
      <c r="Q31" s="126">
        <v>45920.0</v>
      </c>
      <c r="R31" s="133">
        <v>390.0</v>
      </c>
      <c r="S31" s="134"/>
      <c r="T31" s="127"/>
      <c r="U31" s="135"/>
      <c r="V31" s="136"/>
      <c r="W31" s="126"/>
      <c r="X31" s="133"/>
      <c r="Y31" s="134"/>
      <c r="Z31" s="158"/>
      <c r="AA31" s="126"/>
      <c r="AB31" s="113"/>
      <c r="AC31" s="126"/>
      <c r="AD31" s="114"/>
      <c r="AE31" s="137"/>
      <c r="AF31" s="154"/>
      <c r="AG31" s="138"/>
      <c r="AH31" s="139"/>
      <c r="AI31" s="138"/>
      <c r="AJ31" s="140"/>
      <c r="AK31" s="141">
        <v>415.0</v>
      </c>
      <c r="AL31" s="142"/>
      <c r="AM31" s="143">
        <v>45920.0</v>
      </c>
      <c r="AN31" s="144">
        <v>46266.0</v>
      </c>
      <c r="AO31" s="123" t="s">
        <v>239</v>
      </c>
      <c r="AP31" s="145" t="s">
        <v>213</v>
      </c>
      <c r="AQ31" s="146" t="s">
        <v>240</v>
      </c>
      <c r="AR31" s="147"/>
      <c r="AS31" s="148"/>
      <c r="AT31" s="132"/>
      <c r="AU31" s="149" t="s">
        <v>90</v>
      </c>
      <c r="AV31" s="150" t="s">
        <v>91</v>
      </c>
      <c r="AW31" s="159"/>
      <c r="AX31" s="160"/>
      <c r="AY31" s="174"/>
    </row>
    <row r="32">
      <c r="A32" s="151"/>
      <c r="B32" s="124"/>
      <c r="C32" s="125"/>
      <c r="D32" s="126"/>
      <c r="E32" s="127"/>
      <c r="F32" s="127"/>
      <c r="G32" s="128"/>
      <c r="H32" s="129"/>
      <c r="I32" s="130"/>
      <c r="J32" s="130"/>
      <c r="K32" s="124"/>
      <c r="L32" s="76"/>
      <c r="M32" s="77"/>
      <c r="N32" s="127"/>
      <c r="O32" s="126"/>
      <c r="P32" s="80"/>
      <c r="Q32" s="126"/>
      <c r="R32" s="133"/>
      <c r="S32" s="134"/>
      <c r="T32" s="127"/>
      <c r="U32" s="135"/>
      <c r="V32" s="136"/>
      <c r="W32" s="126"/>
      <c r="X32" s="133"/>
      <c r="Y32" s="134"/>
      <c r="Z32" s="158"/>
      <c r="AA32" s="126"/>
      <c r="AB32" s="113"/>
      <c r="AC32" s="126"/>
      <c r="AD32" s="114"/>
      <c r="AE32" s="137"/>
      <c r="AF32" s="154"/>
      <c r="AG32" s="138"/>
      <c r="AH32" s="139"/>
      <c r="AI32" s="138"/>
      <c r="AJ32" s="140"/>
      <c r="AK32" s="141"/>
      <c r="AL32" s="142"/>
      <c r="AM32" s="143"/>
      <c r="AN32" s="144"/>
      <c r="AO32" s="123"/>
      <c r="AP32" s="145"/>
      <c r="AQ32" s="169"/>
      <c r="AR32" s="147"/>
      <c r="AS32" s="148"/>
      <c r="AT32" s="132"/>
      <c r="AU32" s="149"/>
      <c r="AV32" s="150"/>
      <c r="AW32" s="159"/>
      <c r="AX32" s="160"/>
      <c r="AY32" s="174"/>
    </row>
    <row r="33">
      <c r="A33" s="151" t="s">
        <v>101</v>
      </c>
      <c r="B33" s="124" t="s">
        <v>102</v>
      </c>
      <c r="C33" s="125" t="s">
        <v>241</v>
      </c>
      <c r="D33" s="126">
        <v>45940.0</v>
      </c>
      <c r="E33" s="127" t="s">
        <v>242</v>
      </c>
      <c r="F33" s="127" t="s">
        <v>243</v>
      </c>
      <c r="G33" s="128">
        <v>49.0</v>
      </c>
      <c r="H33" s="129" t="s">
        <v>81</v>
      </c>
      <c r="I33" s="130" t="s">
        <v>244</v>
      </c>
      <c r="J33" s="130" t="s">
        <v>245</v>
      </c>
      <c r="K33" s="124" t="s">
        <v>246</v>
      </c>
      <c r="L33" s="131" t="s">
        <v>85</v>
      </c>
      <c r="M33" s="132" t="s">
        <v>109</v>
      </c>
      <c r="N33" s="127" t="s">
        <v>87</v>
      </c>
      <c r="O33" s="126"/>
      <c r="P33" s="80"/>
      <c r="Q33" s="126">
        <v>45940.0</v>
      </c>
      <c r="R33" s="133">
        <v>390.0</v>
      </c>
      <c r="S33" s="134"/>
      <c r="T33" s="127"/>
      <c r="U33" s="135"/>
      <c r="V33" s="136"/>
      <c r="W33" s="126"/>
      <c r="X33" s="133"/>
      <c r="Y33" s="134"/>
      <c r="Z33" s="158"/>
      <c r="AA33" s="126"/>
      <c r="AB33" s="113"/>
      <c r="AC33" s="126"/>
      <c r="AD33" s="114"/>
      <c r="AE33" s="89"/>
      <c r="AF33" s="154"/>
      <c r="AG33" s="138"/>
      <c r="AH33" s="139"/>
      <c r="AI33" s="138"/>
      <c r="AJ33" s="140"/>
      <c r="AK33" s="141">
        <v>415.0</v>
      </c>
      <c r="AL33" s="142"/>
      <c r="AM33" s="143">
        <v>45940.0</v>
      </c>
      <c r="AN33" s="144">
        <v>46296.0</v>
      </c>
      <c r="AO33" s="123" t="s">
        <v>247</v>
      </c>
      <c r="AP33" s="145" t="s">
        <v>89</v>
      </c>
      <c r="AQ33" s="146">
        <v>46100.0</v>
      </c>
      <c r="AR33" s="147"/>
      <c r="AS33" s="148"/>
      <c r="AT33" s="132"/>
      <c r="AU33" s="149" t="s">
        <v>90</v>
      </c>
      <c r="AV33" s="150" t="s">
        <v>91</v>
      </c>
      <c r="AW33" s="159"/>
      <c r="AX33" s="160"/>
      <c r="AY33" s="174"/>
    </row>
    <row r="34">
      <c r="A34" s="123" t="s">
        <v>101</v>
      </c>
      <c r="B34" s="124" t="s">
        <v>102</v>
      </c>
      <c r="C34" s="125" t="s">
        <v>248</v>
      </c>
      <c r="D34" s="126">
        <v>45819.0</v>
      </c>
      <c r="E34" s="127" t="s">
        <v>249</v>
      </c>
      <c r="F34" s="127" t="s">
        <v>250</v>
      </c>
      <c r="G34" s="128">
        <v>29.0</v>
      </c>
      <c r="H34" s="129" t="s">
        <v>81</v>
      </c>
      <c r="I34" s="130" t="s">
        <v>251</v>
      </c>
      <c r="J34" s="130" t="s">
        <v>252</v>
      </c>
      <c r="K34" s="124" t="s">
        <v>253</v>
      </c>
      <c r="L34" s="131" t="s">
        <v>85</v>
      </c>
      <c r="M34" s="132" t="s">
        <v>139</v>
      </c>
      <c r="N34" s="127" t="s">
        <v>87</v>
      </c>
      <c r="O34" s="126"/>
      <c r="P34" s="80"/>
      <c r="Q34" s="126">
        <v>45819.0</v>
      </c>
      <c r="R34" s="133">
        <v>312.0</v>
      </c>
      <c r="S34" s="134"/>
      <c r="T34" s="127"/>
      <c r="U34" s="135"/>
      <c r="V34" s="136"/>
      <c r="W34" s="126"/>
      <c r="X34" s="133"/>
      <c r="Y34" s="134"/>
      <c r="Z34" s="158"/>
      <c r="AA34" s="126"/>
      <c r="AB34" s="113"/>
      <c r="AC34" s="126"/>
      <c r="AD34" s="114"/>
      <c r="AE34" s="89"/>
      <c r="AF34" s="154"/>
      <c r="AG34" s="138"/>
      <c r="AH34" s="139"/>
      <c r="AI34" s="138"/>
      <c r="AJ34" s="140"/>
      <c r="AK34" s="141">
        <v>312.0</v>
      </c>
      <c r="AL34" s="142"/>
      <c r="AM34" s="143">
        <v>45799.0</v>
      </c>
      <c r="AN34" s="144">
        <v>46143.0</v>
      </c>
      <c r="AO34" s="123" t="s">
        <v>254</v>
      </c>
      <c r="AP34" s="145" t="s">
        <v>89</v>
      </c>
      <c r="AQ34" s="155">
        <v>45953.0</v>
      </c>
      <c r="AR34" s="147"/>
      <c r="AS34" s="148"/>
      <c r="AT34" s="132"/>
      <c r="AU34" s="149" t="s">
        <v>90</v>
      </c>
      <c r="AV34" s="150" t="s">
        <v>91</v>
      </c>
      <c r="AW34" s="159"/>
      <c r="AX34" s="160"/>
      <c r="AY34" s="174"/>
    </row>
    <row r="35">
      <c r="A35" s="123"/>
      <c r="B35" s="124"/>
      <c r="C35" s="125"/>
      <c r="D35" s="126"/>
      <c r="E35" s="127"/>
      <c r="F35" s="127"/>
      <c r="G35" s="128"/>
      <c r="H35" s="129"/>
      <c r="I35" s="130"/>
      <c r="J35" s="130"/>
      <c r="K35" s="124"/>
      <c r="L35" s="76"/>
      <c r="M35" s="77"/>
      <c r="N35" s="127"/>
      <c r="O35" s="126"/>
      <c r="P35" s="157"/>
      <c r="Q35" s="126"/>
      <c r="R35" s="133"/>
      <c r="S35" s="134"/>
      <c r="T35" s="127"/>
      <c r="U35" s="135"/>
      <c r="V35" s="136"/>
      <c r="W35" s="126"/>
      <c r="X35" s="133"/>
      <c r="Y35" s="134"/>
      <c r="Z35" s="158"/>
      <c r="AA35" s="126"/>
      <c r="AB35" s="113"/>
      <c r="AC35" s="126"/>
      <c r="AD35" s="114"/>
      <c r="AE35" s="137"/>
      <c r="AF35" s="154"/>
      <c r="AG35" s="138"/>
      <c r="AH35" s="139"/>
      <c r="AI35" s="138"/>
      <c r="AJ35" s="140"/>
      <c r="AK35" s="141"/>
      <c r="AL35" s="142"/>
      <c r="AM35" s="143"/>
      <c r="AN35" s="144"/>
      <c r="AO35" s="123"/>
      <c r="AP35" s="145"/>
      <c r="AQ35" s="169"/>
      <c r="AR35" s="147"/>
      <c r="AS35" s="148"/>
      <c r="AT35" s="132"/>
      <c r="AU35" s="149"/>
      <c r="AV35" s="150"/>
      <c r="AW35" s="159"/>
      <c r="AX35" s="160"/>
      <c r="AY35" s="174"/>
    </row>
    <row r="36">
      <c r="A36" s="123"/>
      <c r="B36" s="124"/>
      <c r="C36" s="125"/>
      <c r="D36" s="126"/>
      <c r="E36" s="127"/>
      <c r="F36" s="127"/>
      <c r="G36" s="128"/>
      <c r="H36" s="129"/>
      <c r="I36" s="130"/>
      <c r="J36" s="130"/>
      <c r="K36" s="124"/>
      <c r="L36" s="131"/>
      <c r="M36" s="132"/>
      <c r="N36" s="127"/>
      <c r="O36" s="126"/>
      <c r="P36" s="80"/>
      <c r="Q36" s="126"/>
      <c r="R36" s="133"/>
      <c r="S36" s="134"/>
      <c r="T36" s="127"/>
      <c r="U36" s="135"/>
      <c r="V36" s="136"/>
      <c r="W36" s="126"/>
      <c r="X36" s="133"/>
      <c r="Y36" s="134"/>
      <c r="Z36" s="158"/>
      <c r="AA36" s="126"/>
      <c r="AB36" s="113"/>
      <c r="AC36" s="126"/>
      <c r="AD36" s="114"/>
      <c r="AE36" s="137"/>
      <c r="AF36" s="154"/>
      <c r="AG36" s="138"/>
      <c r="AH36" s="139"/>
      <c r="AI36" s="138"/>
      <c r="AJ36" s="140"/>
      <c r="AK36" s="141"/>
      <c r="AL36" s="142"/>
      <c r="AM36" s="143"/>
      <c r="AN36" s="144"/>
      <c r="AO36" s="123"/>
      <c r="AP36" s="145"/>
      <c r="AQ36" s="169"/>
      <c r="AR36" s="147"/>
      <c r="AS36" s="148"/>
      <c r="AT36" s="132"/>
      <c r="AU36" s="149"/>
      <c r="AV36" s="150"/>
      <c r="AW36" s="159"/>
      <c r="AX36" s="160"/>
      <c r="AY36" s="174"/>
    </row>
    <row r="37">
      <c r="A37" s="123"/>
      <c r="B37" s="124"/>
      <c r="C37" s="125"/>
      <c r="D37" s="126"/>
      <c r="E37" s="127"/>
      <c r="F37" s="127"/>
      <c r="G37" s="128"/>
      <c r="H37" s="129"/>
      <c r="I37" s="130"/>
      <c r="J37" s="130"/>
      <c r="K37" s="124"/>
      <c r="L37" s="76"/>
      <c r="M37" s="77"/>
      <c r="N37" s="127"/>
      <c r="O37" s="126"/>
      <c r="P37" s="80"/>
      <c r="Q37" s="126"/>
      <c r="R37" s="133"/>
      <c r="S37" s="134"/>
      <c r="T37" s="127"/>
      <c r="U37" s="135"/>
      <c r="V37" s="136"/>
      <c r="W37" s="126"/>
      <c r="X37" s="133"/>
      <c r="Y37" s="134"/>
      <c r="Z37" s="158"/>
      <c r="AA37" s="126"/>
      <c r="AB37" s="113"/>
      <c r="AC37" s="126"/>
      <c r="AD37" s="114"/>
      <c r="AE37" s="137"/>
      <c r="AF37" s="154"/>
      <c r="AG37" s="138"/>
      <c r="AH37" s="139"/>
      <c r="AI37" s="138"/>
      <c r="AJ37" s="140"/>
      <c r="AK37" s="141"/>
      <c r="AL37" s="142"/>
      <c r="AM37" s="143"/>
      <c r="AN37" s="144"/>
      <c r="AO37" s="123"/>
      <c r="AP37" s="145"/>
      <c r="AQ37" s="169"/>
      <c r="AR37" s="147"/>
      <c r="AS37" s="148"/>
      <c r="AT37" s="132"/>
      <c r="AU37" s="149"/>
      <c r="AV37" s="150"/>
      <c r="AW37" s="159"/>
      <c r="AX37" s="160"/>
      <c r="AY37" s="174"/>
    </row>
    <row r="38">
      <c r="A38" s="123"/>
      <c r="B38" s="124"/>
      <c r="C38" s="125"/>
      <c r="D38" s="126"/>
      <c r="E38" s="127"/>
      <c r="F38" s="127"/>
      <c r="G38" s="128"/>
      <c r="H38" s="129"/>
      <c r="I38" s="130"/>
      <c r="J38" s="130"/>
      <c r="K38" s="124"/>
      <c r="L38" s="131"/>
      <c r="M38" s="132"/>
      <c r="N38" s="127"/>
      <c r="O38" s="126"/>
      <c r="P38" s="80"/>
      <c r="Q38" s="126"/>
      <c r="R38" s="133"/>
      <c r="S38" s="134"/>
      <c r="T38" s="127"/>
      <c r="U38" s="135"/>
      <c r="V38" s="136"/>
      <c r="W38" s="126"/>
      <c r="X38" s="133"/>
      <c r="Y38" s="134"/>
      <c r="Z38" s="158"/>
      <c r="AA38" s="126"/>
      <c r="AB38" s="113"/>
      <c r="AC38" s="126"/>
      <c r="AD38" s="114"/>
      <c r="AE38" s="137"/>
      <c r="AF38" s="154"/>
      <c r="AG38" s="138"/>
      <c r="AH38" s="139"/>
      <c r="AI38" s="138"/>
      <c r="AJ38" s="140"/>
      <c r="AK38" s="141"/>
      <c r="AL38" s="142"/>
      <c r="AM38" s="143"/>
      <c r="AN38" s="144"/>
      <c r="AO38" s="123"/>
      <c r="AP38" s="145"/>
      <c r="AQ38" s="169"/>
      <c r="AR38" s="147"/>
      <c r="AS38" s="148"/>
      <c r="AT38" s="132"/>
      <c r="AU38" s="149"/>
      <c r="AV38" s="150"/>
      <c r="AW38" s="159"/>
      <c r="AX38" s="160"/>
      <c r="AY38" s="174"/>
    </row>
    <row r="39">
      <c r="A39" s="123"/>
      <c r="B39" s="124"/>
      <c r="C39" s="125"/>
      <c r="D39" s="126"/>
      <c r="E39" s="127"/>
      <c r="F39" s="127"/>
      <c r="G39" s="128"/>
      <c r="H39" s="129"/>
      <c r="I39" s="130"/>
      <c r="J39" s="130"/>
      <c r="K39" s="124"/>
      <c r="L39" s="131"/>
      <c r="M39" s="132"/>
      <c r="N39" s="127"/>
      <c r="O39" s="126"/>
      <c r="P39" s="80"/>
      <c r="Q39" s="126"/>
      <c r="R39" s="133"/>
      <c r="S39" s="134"/>
      <c r="T39" s="127"/>
      <c r="U39" s="135"/>
      <c r="V39" s="136"/>
      <c r="W39" s="126"/>
      <c r="X39" s="133"/>
      <c r="Y39" s="134"/>
      <c r="Z39" s="158"/>
      <c r="AA39" s="126"/>
      <c r="AB39" s="113"/>
      <c r="AC39" s="126"/>
      <c r="AD39" s="114"/>
      <c r="AE39" s="137"/>
      <c r="AF39" s="154"/>
      <c r="AG39" s="138"/>
      <c r="AH39" s="139"/>
      <c r="AI39" s="138"/>
      <c r="AJ39" s="140"/>
      <c r="AK39" s="141"/>
      <c r="AL39" s="142"/>
      <c r="AM39" s="143"/>
      <c r="AN39" s="144"/>
      <c r="AO39" s="123"/>
      <c r="AP39" s="145"/>
      <c r="AQ39" s="169"/>
      <c r="AR39" s="147"/>
      <c r="AS39" s="148"/>
      <c r="AT39" s="132"/>
      <c r="AU39" s="149"/>
      <c r="AV39" s="150"/>
      <c r="AW39" s="159"/>
      <c r="AX39" s="160"/>
      <c r="AY39" s="174"/>
    </row>
    <row r="40">
      <c r="A40" s="123"/>
      <c r="B40" s="124"/>
      <c r="C40" s="125"/>
      <c r="D40" s="126"/>
      <c r="E40" s="127"/>
      <c r="F40" s="127"/>
      <c r="G40" s="128"/>
      <c r="H40" s="129"/>
      <c r="I40" s="130"/>
      <c r="J40" s="130"/>
      <c r="K40" s="124"/>
      <c r="L40" s="131"/>
      <c r="M40" s="132"/>
      <c r="N40" s="127"/>
      <c r="O40" s="126"/>
      <c r="P40" s="80"/>
      <c r="Q40" s="126"/>
      <c r="R40" s="133"/>
      <c r="S40" s="134"/>
      <c r="T40" s="127"/>
      <c r="U40" s="135"/>
      <c r="V40" s="136"/>
      <c r="W40" s="126"/>
      <c r="X40" s="133"/>
      <c r="Y40" s="134"/>
      <c r="Z40" s="158"/>
      <c r="AA40" s="126"/>
      <c r="AB40" s="113"/>
      <c r="AC40" s="126"/>
      <c r="AD40" s="114"/>
      <c r="AE40" s="137"/>
      <c r="AF40" s="154"/>
      <c r="AG40" s="138"/>
      <c r="AH40" s="139"/>
      <c r="AI40" s="138"/>
      <c r="AJ40" s="140"/>
      <c r="AK40" s="141"/>
      <c r="AL40" s="142"/>
      <c r="AM40" s="143"/>
      <c r="AN40" s="144"/>
      <c r="AO40" s="123"/>
      <c r="AP40" s="145"/>
      <c r="AQ40" s="169"/>
      <c r="AR40" s="147"/>
      <c r="AS40" s="148"/>
      <c r="AT40" s="132"/>
      <c r="AU40" s="149"/>
      <c r="AV40" s="150"/>
      <c r="AW40" s="159"/>
      <c r="AX40" s="160"/>
      <c r="AY40" s="174"/>
    </row>
    <row r="41">
      <c r="A41" s="123"/>
      <c r="B41" s="124"/>
      <c r="C41" s="125"/>
      <c r="D41" s="126"/>
      <c r="E41" s="127"/>
      <c r="F41" s="127"/>
      <c r="G41" s="128"/>
      <c r="H41" s="129"/>
      <c r="I41" s="130"/>
      <c r="J41" s="130"/>
      <c r="K41" s="124"/>
      <c r="L41" s="76"/>
      <c r="M41" s="77"/>
      <c r="N41" s="127"/>
      <c r="O41" s="126"/>
      <c r="P41" s="80"/>
      <c r="Q41" s="126"/>
      <c r="R41" s="133"/>
      <c r="S41" s="134"/>
      <c r="T41" s="127"/>
      <c r="U41" s="135"/>
      <c r="V41" s="136"/>
      <c r="W41" s="126"/>
      <c r="X41" s="133"/>
      <c r="Y41" s="134"/>
      <c r="Z41" s="158"/>
      <c r="AA41" s="126"/>
      <c r="AB41" s="113"/>
      <c r="AC41" s="126"/>
      <c r="AD41" s="114"/>
      <c r="AE41" s="137"/>
      <c r="AF41" s="154"/>
      <c r="AG41" s="138"/>
      <c r="AH41" s="139"/>
      <c r="AI41" s="138"/>
      <c r="AJ41" s="140"/>
      <c r="AK41" s="141"/>
      <c r="AL41" s="142"/>
      <c r="AM41" s="143"/>
      <c r="AN41" s="144"/>
      <c r="AO41" s="123"/>
      <c r="AP41" s="145"/>
      <c r="AQ41" s="169"/>
      <c r="AR41" s="147"/>
      <c r="AS41" s="148"/>
      <c r="AT41" s="132"/>
      <c r="AU41" s="149"/>
      <c r="AV41" s="150"/>
      <c r="AW41" s="159"/>
      <c r="AX41" s="160"/>
      <c r="AY41" s="174"/>
    </row>
    <row r="42">
      <c r="A42" s="161"/>
      <c r="B42" s="124"/>
      <c r="C42" s="125"/>
      <c r="D42" s="126"/>
      <c r="E42" s="127"/>
      <c r="F42" s="127"/>
      <c r="G42" s="148"/>
      <c r="H42" s="129"/>
      <c r="I42" s="162"/>
      <c r="J42" s="130"/>
      <c r="K42" s="124"/>
      <c r="L42" s="76"/>
      <c r="M42" s="77"/>
      <c r="N42" s="127"/>
      <c r="O42" s="126"/>
      <c r="P42" s="80"/>
      <c r="Q42" s="126"/>
      <c r="R42" s="133"/>
      <c r="S42" s="134"/>
      <c r="T42" s="127"/>
      <c r="U42" s="135"/>
      <c r="V42" s="136"/>
      <c r="W42" s="126"/>
      <c r="X42" s="133"/>
      <c r="Y42" s="134"/>
      <c r="Z42" s="178"/>
      <c r="AA42" s="126"/>
      <c r="AB42" s="163"/>
      <c r="AC42" s="126"/>
      <c r="AD42" s="176"/>
      <c r="AE42" s="137"/>
      <c r="AF42" s="179"/>
      <c r="AG42" s="138"/>
      <c r="AH42" s="180"/>
      <c r="AI42" s="138"/>
      <c r="AJ42" s="140"/>
      <c r="AK42" s="141"/>
      <c r="AL42" s="142"/>
      <c r="AM42" s="143"/>
      <c r="AN42" s="144"/>
      <c r="AO42" s="123"/>
      <c r="AP42" s="145"/>
      <c r="AQ42" s="169"/>
      <c r="AR42" s="147"/>
      <c r="AS42" s="148"/>
      <c r="AT42" s="132"/>
      <c r="AU42" s="149"/>
      <c r="AV42" s="150"/>
      <c r="AW42" s="159"/>
      <c r="AX42" s="160"/>
      <c r="AY42" s="174"/>
    </row>
    <row r="43">
      <c r="A43" s="123"/>
      <c r="B43" s="124"/>
      <c r="C43" s="125"/>
      <c r="D43" s="126"/>
      <c r="E43" s="127"/>
      <c r="F43" s="127"/>
      <c r="G43" s="148"/>
      <c r="H43" s="129"/>
      <c r="I43" s="162"/>
      <c r="J43" s="130"/>
      <c r="K43" s="124"/>
      <c r="L43" s="76"/>
      <c r="M43" s="77"/>
      <c r="N43" s="127"/>
      <c r="O43" s="126"/>
      <c r="P43" s="80"/>
      <c r="Q43" s="126"/>
      <c r="R43" s="133"/>
      <c r="S43" s="134"/>
      <c r="T43" s="127"/>
      <c r="U43" s="135"/>
      <c r="V43" s="136"/>
      <c r="W43" s="126"/>
      <c r="X43" s="133"/>
      <c r="Y43" s="134"/>
      <c r="Z43" s="178"/>
      <c r="AA43" s="126"/>
      <c r="AB43" s="163"/>
      <c r="AC43" s="126"/>
      <c r="AD43" s="176"/>
      <c r="AE43" s="137"/>
      <c r="AF43" s="179"/>
      <c r="AG43" s="138"/>
      <c r="AH43" s="180"/>
      <c r="AI43" s="138"/>
      <c r="AJ43" s="181"/>
      <c r="AK43" s="141"/>
      <c r="AL43" s="142"/>
      <c r="AM43" s="143"/>
      <c r="AN43" s="144"/>
      <c r="AO43" s="123"/>
      <c r="AP43" s="145"/>
      <c r="AQ43" s="169"/>
      <c r="AR43" s="147"/>
      <c r="AS43" s="148"/>
      <c r="AT43" s="132"/>
      <c r="AU43" s="149"/>
      <c r="AV43" s="150"/>
      <c r="AW43" s="159"/>
      <c r="AX43" s="160"/>
      <c r="AY43" s="174"/>
    </row>
    <row r="44">
      <c r="A44" s="123"/>
      <c r="B44" s="124"/>
      <c r="C44" s="125"/>
      <c r="D44" s="126"/>
      <c r="E44" s="127"/>
      <c r="F44" s="127"/>
      <c r="G44" s="182"/>
      <c r="H44" s="129"/>
      <c r="I44" s="183"/>
      <c r="J44" s="183"/>
      <c r="K44" s="184"/>
      <c r="L44" s="76"/>
      <c r="M44" s="77"/>
      <c r="N44" s="185"/>
      <c r="O44" s="186"/>
      <c r="P44" s="80"/>
      <c r="Q44" s="186"/>
      <c r="R44" s="187"/>
      <c r="S44" s="188"/>
      <c r="T44" s="185"/>
      <c r="U44" s="189"/>
      <c r="V44" s="190"/>
      <c r="W44" s="186"/>
      <c r="X44" s="187"/>
      <c r="Y44" s="188"/>
      <c r="Z44" s="191"/>
      <c r="AA44" s="186"/>
      <c r="AB44" s="87"/>
      <c r="AC44" s="186"/>
      <c r="AD44" s="88"/>
      <c r="AE44" s="137"/>
      <c r="AF44" s="192"/>
      <c r="AG44" s="193"/>
      <c r="AH44" s="194"/>
      <c r="AI44" s="195"/>
      <c r="AJ44" s="196"/>
      <c r="AK44" s="197"/>
      <c r="AL44" s="142"/>
      <c r="AM44" s="143"/>
      <c r="AN44" s="144"/>
      <c r="AO44" s="123"/>
      <c r="AP44" s="145"/>
      <c r="AQ44" s="198"/>
      <c r="AR44" s="199"/>
      <c r="AS44" s="148"/>
      <c r="AT44" s="132"/>
      <c r="AU44" s="200"/>
      <c r="AV44" s="150"/>
      <c r="AW44" s="159"/>
      <c r="AX44" s="160"/>
      <c r="AY44" s="201"/>
    </row>
    <row r="45" ht="24.0" customHeight="1">
      <c r="A45" s="202" t="s">
        <v>255</v>
      </c>
      <c r="B45" s="203"/>
      <c r="C45" s="204"/>
      <c r="D45" s="205" t="s">
        <v>75</v>
      </c>
      <c r="E45" s="206">
        <f>COUNTIF(E46:E86,"*")</f>
        <v>24</v>
      </c>
      <c r="F45" s="202" t="s">
        <v>255</v>
      </c>
      <c r="G45" s="207"/>
    </row>
    <row r="46">
      <c r="A46" s="123"/>
      <c r="B46" s="124"/>
      <c r="C46" s="125"/>
      <c r="D46" s="126"/>
      <c r="E46" s="127"/>
      <c r="F46" s="127"/>
      <c r="G46" s="128"/>
      <c r="H46" s="129"/>
      <c r="I46" s="130"/>
      <c r="J46" s="130"/>
      <c r="K46" s="124"/>
      <c r="L46" s="131"/>
      <c r="M46" s="132"/>
      <c r="N46" s="127"/>
      <c r="O46" s="126"/>
      <c r="P46" s="80"/>
      <c r="Q46" s="126"/>
      <c r="R46" s="133"/>
      <c r="S46" s="134"/>
      <c r="T46" s="127"/>
      <c r="U46" s="135"/>
      <c r="V46" s="136"/>
      <c r="W46" s="126"/>
      <c r="X46" s="108"/>
      <c r="Y46" s="134"/>
      <c r="Z46" s="158"/>
      <c r="AA46" s="126"/>
      <c r="AB46" s="113"/>
      <c r="AC46" s="126"/>
      <c r="AD46" s="114"/>
      <c r="AE46" s="137"/>
      <c r="AF46" s="208"/>
      <c r="AG46" s="138"/>
      <c r="AH46" s="209"/>
      <c r="AI46" s="193"/>
      <c r="AJ46" s="140"/>
      <c r="AK46" s="210"/>
      <c r="AL46" s="142"/>
      <c r="AM46" s="143"/>
      <c r="AN46" s="144"/>
      <c r="AO46" s="123"/>
      <c r="AP46" s="145"/>
      <c r="AQ46" s="89"/>
      <c r="AR46" s="99"/>
      <c r="AS46" s="148"/>
      <c r="AT46" s="132"/>
      <c r="AU46" s="149"/>
      <c r="AV46" s="150"/>
      <c r="AW46" s="159"/>
      <c r="AX46" s="160"/>
      <c r="AY46" s="211"/>
    </row>
    <row r="47">
      <c r="A47" s="123" t="s">
        <v>111</v>
      </c>
      <c r="B47" s="124" t="s">
        <v>112</v>
      </c>
      <c r="C47" s="125" t="s">
        <v>256</v>
      </c>
      <c r="D47" s="126">
        <v>45933.0</v>
      </c>
      <c r="E47" s="127" t="s">
        <v>257</v>
      </c>
      <c r="F47" s="127" t="s">
        <v>258</v>
      </c>
      <c r="G47" s="128">
        <v>59.0</v>
      </c>
      <c r="H47" s="129" t="s">
        <v>259</v>
      </c>
      <c r="I47" s="130" t="s">
        <v>260</v>
      </c>
      <c r="J47" s="130" t="s">
        <v>261</v>
      </c>
      <c r="K47" s="124"/>
      <c r="L47" s="131" t="s">
        <v>262</v>
      </c>
      <c r="M47" s="132" t="s">
        <v>109</v>
      </c>
      <c r="N47" s="127" t="s">
        <v>87</v>
      </c>
      <c r="O47" s="126"/>
      <c r="P47" s="80"/>
      <c r="Q47" s="126">
        <v>45933.0</v>
      </c>
      <c r="R47" s="133">
        <v>195.0</v>
      </c>
      <c r="S47" s="134"/>
      <c r="T47" s="127"/>
      <c r="U47" s="135"/>
      <c r="V47" s="136"/>
      <c r="W47" s="126"/>
      <c r="X47" s="108"/>
      <c r="Y47" s="134"/>
      <c r="Z47" s="158"/>
      <c r="AA47" s="126"/>
      <c r="AB47" s="113"/>
      <c r="AC47" s="126"/>
      <c r="AD47" s="114"/>
      <c r="AE47" s="137"/>
      <c r="AF47" s="154"/>
      <c r="AG47" s="138"/>
      <c r="AH47" s="139"/>
      <c r="AI47" s="138"/>
      <c r="AJ47" s="140"/>
      <c r="AK47" s="141">
        <v>220.0</v>
      </c>
      <c r="AL47" s="142"/>
      <c r="AM47" s="143">
        <v>45933.0</v>
      </c>
      <c r="AN47" s="144">
        <v>46296.0</v>
      </c>
      <c r="AO47" s="123" t="s">
        <v>263</v>
      </c>
      <c r="AP47" s="145" t="s">
        <v>213</v>
      </c>
      <c r="AQ47" s="212">
        <v>36526.0</v>
      </c>
      <c r="AR47" s="99"/>
      <c r="AS47" s="148"/>
      <c r="AT47" s="132"/>
      <c r="AU47" s="149" t="s">
        <v>264</v>
      </c>
      <c r="AV47" s="150" t="s">
        <v>265</v>
      </c>
      <c r="AW47" s="159"/>
      <c r="AX47" s="160"/>
      <c r="AY47" s="174"/>
    </row>
    <row r="48">
      <c r="A48" s="123" t="s">
        <v>214</v>
      </c>
      <c r="B48" s="124" t="s">
        <v>266</v>
      </c>
      <c r="C48" s="125" t="s">
        <v>267</v>
      </c>
      <c r="D48" s="126">
        <v>45868.0</v>
      </c>
      <c r="E48" s="127" t="s">
        <v>268</v>
      </c>
      <c r="F48" s="127" t="s">
        <v>269</v>
      </c>
      <c r="G48" s="128">
        <v>27.0</v>
      </c>
      <c r="H48" s="129" t="s">
        <v>259</v>
      </c>
      <c r="I48" s="130" t="s">
        <v>270</v>
      </c>
      <c r="J48" s="130" t="s">
        <v>271</v>
      </c>
      <c r="K48" s="124" t="s">
        <v>272</v>
      </c>
      <c r="L48" s="131" t="s">
        <v>262</v>
      </c>
      <c r="M48" s="132" t="s">
        <v>109</v>
      </c>
      <c r="N48" s="127" t="s">
        <v>87</v>
      </c>
      <c r="O48" s="126"/>
      <c r="P48" s="80"/>
      <c r="Q48" s="126">
        <v>45894.0</v>
      </c>
      <c r="R48" s="133">
        <v>390.0</v>
      </c>
      <c r="S48" s="134"/>
      <c r="T48" s="127"/>
      <c r="U48" s="135"/>
      <c r="V48" s="136"/>
      <c r="W48" s="126"/>
      <c r="X48" s="108"/>
      <c r="Y48" s="134"/>
      <c r="Z48" s="158"/>
      <c r="AA48" s="126"/>
      <c r="AB48" s="113"/>
      <c r="AC48" s="126"/>
      <c r="AD48" s="114"/>
      <c r="AE48" s="89"/>
      <c r="AF48" s="154"/>
      <c r="AG48" s="138"/>
      <c r="AH48" s="139"/>
      <c r="AI48" s="138"/>
      <c r="AJ48" s="140"/>
      <c r="AK48" s="141">
        <v>415.0</v>
      </c>
      <c r="AL48" s="142"/>
      <c r="AM48" s="143">
        <v>45894.0</v>
      </c>
      <c r="AN48" s="144">
        <v>46266.0</v>
      </c>
      <c r="AO48" s="123" t="s">
        <v>273</v>
      </c>
      <c r="AP48" s="145" t="s">
        <v>89</v>
      </c>
      <c r="AQ48" s="212" t="s">
        <v>240</v>
      </c>
      <c r="AR48" s="99"/>
      <c r="AS48" s="148"/>
      <c r="AT48" s="132"/>
      <c r="AU48" s="149" t="s">
        <v>90</v>
      </c>
      <c r="AV48" s="150" t="s">
        <v>91</v>
      </c>
      <c r="AW48" s="159"/>
      <c r="AX48" s="160"/>
      <c r="AY48" s="174"/>
    </row>
    <row r="49">
      <c r="A49" s="123" t="s">
        <v>101</v>
      </c>
      <c r="B49" s="124" t="s">
        <v>274</v>
      </c>
      <c r="C49" s="125" t="s">
        <v>275</v>
      </c>
      <c r="D49" s="126">
        <v>45916.0</v>
      </c>
      <c r="E49" s="127" t="s">
        <v>276</v>
      </c>
      <c r="F49" s="127" t="s">
        <v>277</v>
      </c>
      <c r="G49" s="128">
        <v>33.0</v>
      </c>
      <c r="H49" s="129" t="s">
        <v>259</v>
      </c>
      <c r="I49" s="130" t="s">
        <v>278</v>
      </c>
      <c r="J49" s="130" t="s">
        <v>279</v>
      </c>
      <c r="K49" s="124" t="s">
        <v>280</v>
      </c>
      <c r="L49" s="131" t="s">
        <v>262</v>
      </c>
      <c r="M49" s="132" t="s">
        <v>109</v>
      </c>
      <c r="N49" s="127" t="s">
        <v>87</v>
      </c>
      <c r="O49" s="126"/>
      <c r="P49" s="80"/>
      <c r="Q49" s="126">
        <v>45916.0</v>
      </c>
      <c r="R49" s="133">
        <v>390.0</v>
      </c>
      <c r="S49" s="134"/>
      <c r="T49" s="127"/>
      <c r="U49" s="135"/>
      <c r="V49" s="136"/>
      <c r="W49" s="126"/>
      <c r="X49" s="108"/>
      <c r="Y49" s="134"/>
      <c r="Z49" s="158"/>
      <c r="AA49" s="126"/>
      <c r="AB49" s="113"/>
      <c r="AC49" s="126"/>
      <c r="AD49" s="114"/>
      <c r="AE49" s="89"/>
      <c r="AF49" s="154"/>
      <c r="AG49" s="138"/>
      <c r="AH49" s="139"/>
      <c r="AI49" s="138"/>
      <c r="AJ49" s="140"/>
      <c r="AK49" s="141">
        <v>415.0</v>
      </c>
      <c r="AL49" s="142"/>
      <c r="AM49" s="143">
        <v>45916.0</v>
      </c>
      <c r="AN49" s="144">
        <v>46296.0</v>
      </c>
      <c r="AO49" s="123" t="s">
        <v>281</v>
      </c>
      <c r="AP49" s="145" t="s">
        <v>89</v>
      </c>
      <c r="AQ49" s="212">
        <v>36526.0</v>
      </c>
      <c r="AR49" s="99"/>
      <c r="AS49" s="148"/>
      <c r="AT49" s="132"/>
      <c r="AU49" s="149" t="s">
        <v>90</v>
      </c>
      <c r="AV49" s="150" t="s">
        <v>91</v>
      </c>
      <c r="AW49" s="159"/>
      <c r="AX49" s="160"/>
      <c r="AY49" s="174"/>
    </row>
    <row r="50">
      <c r="A50" s="123" t="s">
        <v>141</v>
      </c>
      <c r="B50" s="124" t="s">
        <v>282</v>
      </c>
      <c r="C50" s="125" t="s">
        <v>283</v>
      </c>
      <c r="D50" s="126">
        <v>45852.0</v>
      </c>
      <c r="E50" s="127" t="s">
        <v>284</v>
      </c>
      <c r="F50" s="127" t="s">
        <v>285</v>
      </c>
      <c r="G50" s="128">
        <v>40.0</v>
      </c>
      <c r="H50" s="129" t="s">
        <v>259</v>
      </c>
      <c r="I50" s="130" t="s">
        <v>286</v>
      </c>
      <c r="J50" s="130" t="s">
        <v>287</v>
      </c>
      <c r="K50" s="124" t="s">
        <v>288</v>
      </c>
      <c r="L50" s="131" t="s">
        <v>262</v>
      </c>
      <c r="M50" s="132" t="s">
        <v>289</v>
      </c>
      <c r="N50" s="127" t="s">
        <v>87</v>
      </c>
      <c r="O50" s="126"/>
      <c r="P50" s="80"/>
      <c r="Q50" s="126">
        <v>45853.0</v>
      </c>
      <c r="R50" s="133">
        <v>912.0</v>
      </c>
      <c r="S50" s="134" t="s">
        <v>139</v>
      </c>
      <c r="T50" s="127" t="s">
        <v>87</v>
      </c>
      <c r="U50" s="135"/>
      <c r="V50" s="136"/>
      <c r="W50" s="126">
        <v>45919.0</v>
      </c>
      <c r="X50" s="133">
        <v>390.0</v>
      </c>
      <c r="Y50" s="134"/>
      <c r="Z50" s="158"/>
      <c r="AA50" s="126"/>
      <c r="AB50" s="113"/>
      <c r="AC50" s="126"/>
      <c r="AD50" s="114"/>
      <c r="AE50" s="137"/>
      <c r="AF50" s="154"/>
      <c r="AG50" s="138"/>
      <c r="AH50" s="139"/>
      <c r="AI50" s="138"/>
      <c r="AJ50" s="140"/>
      <c r="AK50" s="141">
        <v>1302.0</v>
      </c>
      <c r="AL50" s="142"/>
      <c r="AM50" s="143">
        <v>45793.0</v>
      </c>
      <c r="AN50" s="144">
        <v>46143.0</v>
      </c>
      <c r="AO50" s="123" t="s">
        <v>290</v>
      </c>
      <c r="AP50" s="145" t="s">
        <v>89</v>
      </c>
      <c r="AQ50" s="212">
        <v>46143.0</v>
      </c>
      <c r="AR50" s="99"/>
      <c r="AS50" s="148"/>
      <c r="AT50" s="132"/>
      <c r="AU50" s="149" t="s">
        <v>90</v>
      </c>
      <c r="AV50" s="150" t="s">
        <v>91</v>
      </c>
      <c r="AW50" s="159"/>
      <c r="AX50" s="160"/>
      <c r="AY50" s="174"/>
    </row>
    <row r="51">
      <c r="A51" s="123" t="s">
        <v>291</v>
      </c>
      <c r="B51" s="124" t="s">
        <v>292</v>
      </c>
      <c r="C51" s="125" t="s">
        <v>293</v>
      </c>
      <c r="D51" s="126">
        <v>45909.0</v>
      </c>
      <c r="E51" s="127" t="s">
        <v>294</v>
      </c>
      <c r="F51" s="127" t="s">
        <v>295</v>
      </c>
      <c r="G51" s="128">
        <v>29.0</v>
      </c>
      <c r="H51" s="129" t="s">
        <v>259</v>
      </c>
      <c r="I51" s="130" t="s">
        <v>296</v>
      </c>
      <c r="J51" s="130" t="s">
        <v>297</v>
      </c>
      <c r="K51" s="124" t="s">
        <v>298</v>
      </c>
      <c r="L51" s="131" t="s">
        <v>262</v>
      </c>
      <c r="M51" s="132" t="s">
        <v>109</v>
      </c>
      <c r="N51" s="127" t="s">
        <v>87</v>
      </c>
      <c r="O51" s="126"/>
      <c r="P51" s="80"/>
      <c r="Q51" s="126">
        <v>45909.0</v>
      </c>
      <c r="R51" s="133">
        <v>390.0</v>
      </c>
      <c r="S51" s="134"/>
      <c r="T51" s="127"/>
      <c r="U51" s="135"/>
      <c r="V51" s="136"/>
      <c r="W51" s="126"/>
      <c r="X51" s="108"/>
      <c r="Y51" s="134"/>
      <c r="Z51" s="158"/>
      <c r="AA51" s="126"/>
      <c r="AB51" s="113"/>
      <c r="AC51" s="126"/>
      <c r="AD51" s="114"/>
      <c r="AE51" s="137"/>
      <c r="AF51" s="154"/>
      <c r="AG51" s="138"/>
      <c r="AH51" s="139"/>
      <c r="AI51" s="138"/>
      <c r="AJ51" s="140"/>
      <c r="AK51" s="141">
        <v>415.0</v>
      </c>
      <c r="AL51" s="142"/>
      <c r="AM51" s="143">
        <v>45909.0</v>
      </c>
      <c r="AN51" s="144">
        <v>46266.0</v>
      </c>
      <c r="AO51" s="123" t="s">
        <v>299</v>
      </c>
      <c r="AP51" s="145" t="s">
        <v>213</v>
      </c>
      <c r="AQ51" s="213">
        <v>45985.0</v>
      </c>
      <c r="AR51" s="99"/>
      <c r="AS51" s="148"/>
      <c r="AT51" s="132"/>
      <c r="AU51" s="149" t="s">
        <v>90</v>
      </c>
      <c r="AV51" s="150" t="s">
        <v>91</v>
      </c>
      <c r="AW51" s="159"/>
      <c r="AX51" s="160"/>
      <c r="AY51" s="174"/>
    </row>
    <row r="52">
      <c r="A52" s="123" t="s">
        <v>111</v>
      </c>
      <c r="B52" s="124" t="s">
        <v>131</v>
      </c>
      <c r="C52" s="125" t="s">
        <v>300</v>
      </c>
      <c r="D52" s="126">
        <v>45862.0</v>
      </c>
      <c r="E52" s="127" t="s">
        <v>301</v>
      </c>
      <c r="F52" s="127" t="s">
        <v>302</v>
      </c>
      <c r="G52" s="128">
        <v>56.0</v>
      </c>
      <c r="H52" s="129" t="s">
        <v>259</v>
      </c>
      <c r="I52" s="130" t="s">
        <v>303</v>
      </c>
      <c r="J52" s="130" t="s">
        <v>304</v>
      </c>
      <c r="K52" s="124" t="s">
        <v>305</v>
      </c>
      <c r="L52" s="131" t="s">
        <v>262</v>
      </c>
      <c r="M52" s="132" t="s">
        <v>139</v>
      </c>
      <c r="N52" s="127" t="s">
        <v>87</v>
      </c>
      <c r="O52" s="126"/>
      <c r="P52" s="80"/>
      <c r="Q52" s="126">
        <v>45862.0</v>
      </c>
      <c r="R52" s="133">
        <v>390.0</v>
      </c>
      <c r="S52" s="134"/>
      <c r="T52" s="127"/>
      <c r="U52" s="135"/>
      <c r="V52" s="136"/>
      <c r="W52" s="126"/>
      <c r="X52" s="108"/>
      <c r="Y52" s="134"/>
      <c r="Z52" s="158"/>
      <c r="AA52" s="126"/>
      <c r="AB52" s="113"/>
      <c r="AC52" s="126"/>
      <c r="AD52" s="114"/>
      <c r="AE52" s="137"/>
      <c r="AF52" s="154"/>
      <c r="AG52" s="138"/>
      <c r="AH52" s="139"/>
      <c r="AI52" s="138"/>
      <c r="AJ52" s="140"/>
      <c r="AK52" s="141">
        <v>390.0</v>
      </c>
      <c r="AL52" s="142"/>
      <c r="AM52" s="143">
        <v>45835.0</v>
      </c>
      <c r="AN52" s="144">
        <v>46174.0</v>
      </c>
      <c r="AO52" s="123" t="s">
        <v>306</v>
      </c>
      <c r="AP52" s="145" t="s">
        <v>89</v>
      </c>
      <c r="AQ52" s="212">
        <v>46147.0</v>
      </c>
      <c r="AR52" s="99"/>
      <c r="AS52" s="148"/>
      <c r="AT52" s="132"/>
      <c r="AU52" s="149" t="s">
        <v>90</v>
      </c>
      <c r="AV52" s="150" t="s">
        <v>91</v>
      </c>
      <c r="AW52" s="159"/>
      <c r="AX52" s="160"/>
      <c r="AY52" s="174"/>
    </row>
    <row r="53">
      <c r="A53" s="123" t="s">
        <v>101</v>
      </c>
      <c r="B53" s="124" t="s">
        <v>77</v>
      </c>
      <c r="C53" s="125" t="s">
        <v>307</v>
      </c>
      <c r="D53" s="126">
        <v>45799.0</v>
      </c>
      <c r="E53" s="127" t="s">
        <v>308</v>
      </c>
      <c r="F53" s="127" t="s">
        <v>302</v>
      </c>
      <c r="G53" s="128">
        <v>53.0</v>
      </c>
      <c r="H53" s="129" t="s">
        <v>259</v>
      </c>
      <c r="I53" s="130" t="s">
        <v>309</v>
      </c>
      <c r="J53" s="130" t="s">
        <v>310</v>
      </c>
      <c r="K53" s="124" t="s">
        <v>311</v>
      </c>
      <c r="L53" s="131" t="s">
        <v>262</v>
      </c>
      <c r="M53" s="132" t="s">
        <v>312</v>
      </c>
      <c r="N53" s="127" t="s">
        <v>87</v>
      </c>
      <c r="O53" s="126"/>
      <c r="P53" s="80"/>
      <c r="Q53" s="126">
        <v>45818.0</v>
      </c>
      <c r="R53" s="133">
        <v>1300.0</v>
      </c>
      <c r="S53" s="134"/>
      <c r="T53" s="127"/>
      <c r="U53" s="135"/>
      <c r="V53" s="136"/>
      <c r="W53" s="126"/>
      <c r="X53" s="108"/>
      <c r="Y53" s="134"/>
      <c r="Z53" s="158"/>
      <c r="AA53" s="126"/>
      <c r="AB53" s="113"/>
      <c r="AC53" s="126"/>
      <c r="AD53" s="114"/>
      <c r="AE53" s="137"/>
      <c r="AF53" s="154"/>
      <c r="AG53" s="138"/>
      <c r="AH53" s="139"/>
      <c r="AI53" s="138"/>
      <c r="AJ53" s="140"/>
      <c r="AK53" s="141">
        <v>1300.0</v>
      </c>
      <c r="AL53" s="142"/>
      <c r="AM53" s="143">
        <v>45681.0</v>
      </c>
      <c r="AN53" s="144">
        <v>46023.0</v>
      </c>
      <c r="AO53" s="123" t="s">
        <v>313</v>
      </c>
      <c r="AP53" s="145" t="s">
        <v>213</v>
      </c>
      <c r="AQ53" s="212">
        <v>46070.0</v>
      </c>
      <c r="AR53" s="99"/>
      <c r="AS53" s="148"/>
      <c r="AT53" s="132"/>
      <c r="AU53" s="149" t="s">
        <v>90</v>
      </c>
      <c r="AV53" s="150" t="s">
        <v>91</v>
      </c>
      <c r="AW53" s="159"/>
      <c r="AX53" s="160"/>
      <c r="AY53" s="174"/>
    </row>
    <row r="54">
      <c r="A54" s="123" t="s">
        <v>214</v>
      </c>
      <c r="B54" s="124" t="s">
        <v>170</v>
      </c>
      <c r="C54" s="125" t="s">
        <v>314</v>
      </c>
      <c r="D54" s="126">
        <v>45820.0</v>
      </c>
      <c r="E54" s="127" t="s">
        <v>315</v>
      </c>
      <c r="F54" s="127" t="s">
        <v>316</v>
      </c>
      <c r="G54" s="128">
        <v>31.0</v>
      </c>
      <c r="H54" s="129" t="s">
        <v>259</v>
      </c>
      <c r="I54" s="130" t="s">
        <v>317</v>
      </c>
      <c r="J54" s="130" t="s">
        <v>318</v>
      </c>
      <c r="K54" s="124" t="s">
        <v>319</v>
      </c>
      <c r="L54" s="131" t="s">
        <v>262</v>
      </c>
      <c r="M54" s="132" t="s">
        <v>320</v>
      </c>
      <c r="N54" s="127" t="s">
        <v>87</v>
      </c>
      <c r="O54" s="126"/>
      <c r="P54" s="80"/>
      <c r="Q54" s="126">
        <v>45820.0</v>
      </c>
      <c r="R54" s="133">
        <v>560.0</v>
      </c>
      <c r="S54" s="134"/>
      <c r="T54" s="127"/>
      <c r="U54" s="135"/>
      <c r="V54" s="136"/>
      <c r="W54" s="126"/>
      <c r="X54" s="108"/>
      <c r="Y54" s="134"/>
      <c r="Z54" s="158"/>
      <c r="AA54" s="126"/>
      <c r="AB54" s="113"/>
      <c r="AC54" s="126"/>
      <c r="AD54" s="114"/>
      <c r="AE54" s="137"/>
      <c r="AF54" s="154"/>
      <c r="AG54" s="138"/>
      <c r="AH54" s="139"/>
      <c r="AI54" s="138"/>
      <c r="AJ54" s="140"/>
      <c r="AK54" s="141">
        <v>585.0</v>
      </c>
      <c r="AL54" s="142"/>
      <c r="AM54" s="143">
        <v>45820.0</v>
      </c>
      <c r="AN54" s="144">
        <v>46174.0</v>
      </c>
      <c r="AO54" s="123" t="s">
        <v>321</v>
      </c>
      <c r="AP54" s="145" t="s">
        <v>89</v>
      </c>
      <c r="AQ54" s="213">
        <v>45987.0</v>
      </c>
      <c r="AR54" s="99"/>
      <c r="AS54" s="148"/>
      <c r="AT54" s="132"/>
      <c r="AU54" s="149" t="s">
        <v>90</v>
      </c>
      <c r="AV54" s="150" t="s">
        <v>91</v>
      </c>
      <c r="AW54" s="159"/>
      <c r="AX54" s="160"/>
      <c r="AY54" s="174"/>
    </row>
    <row r="55">
      <c r="A55" s="123"/>
      <c r="B55" s="124"/>
      <c r="C55" s="125"/>
      <c r="D55" s="126"/>
      <c r="E55" s="127"/>
      <c r="F55" s="127"/>
      <c r="G55" s="128"/>
      <c r="H55" s="129"/>
      <c r="I55" s="130"/>
      <c r="J55" s="130"/>
      <c r="K55" s="124"/>
      <c r="L55" s="76"/>
      <c r="M55" s="77"/>
      <c r="N55" s="127"/>
      <c r="O55" s="126"/>
      <c r="P55" s="80"/>
      <c r="Q55" s="126"/>
      <c r="R55" s="133"/>
      <c r="S55" s="134"/>
      <c r="T55" s="127"/>
      <c r="U55" s="135"/>
      <c r="V55" s="136"/>
      <c r="W55" s="126"/>
      <c r="X55" s="108"/>
      <c r="Y55" s="134"/>
      <c r="Z55" s="158"/>
      <c r="AA55" s="126"/>
      <c r="AB55" s="113"/>
      <c r="AC55" s="126"/>
      <c r="AD55" s="114"/>
      <c r="AE55" s="137"/>
      <c r="AF55" s="154"/>
      <c r="AG55" s="138"/>
      <c r="AH55" s="139"/>
      <c r="AI55" s="138"/>
      <c r="AJ55" s="140"/>
      <c r="AK55" s="141"/>
      <c r="AL55" s="142"/>
      <c r="AM55" s="143"/>
      <c r="AN55" s="144"/>
      <c r="AO55" s="123"/>
      <c r="AP55" s="145"/>
      <c r="AQ55" s="89"/>
      <c r="AR55" s="99"/>
      <c r="AS55" s="148"/>
      <c r="AT55" s="132"/>
      <c r="AU55" s="149"/>
      <c r="AV55" s="150"/>
      <c r="AW55" s="159"/>
      <c r="AX55" s="160"/>
      <c r="AY55" s="174"/>
    </row>
    <row r="56">
      <c r="A56" s="123" t="s">
        <v>101</v>
      </c>
      <c r="B56" s="124" t="s">
        <v>102</v>
      </c>
      <c r="C56" s="125" t="s">
        <v>322</v>
      </c>
      <c r="D56" s="126">
        <v>45817.0</v>
      </c>
      <c r="E56" s="127" t="s">
        <v>323</v>
      </c>
      <c r="F56" s="127" t="s">
        <v>277</v>
      </c>
      <c r="G56" s="128">
        <v>22.0</v>
      </c>
      <c r="H56" s="129" t="s">
        <v>259</v>
      </c>
      <c r="I56" s="130" t="s">
        <v>324</v>
      </c>
      <c r="J56" s="130" t="s">
        <v>325</v>
      </c>
      <c r="K56" s="124" t="s">
        <v>326</v>
      </c>
      <c r="L56" s="131" t="s">
        <v>262</v>
      </c>
      <c r="M56" s="132" t="s">
        <v>109</v>
      </c>
      <c r="N56" s="127" t="s">
        <v>87</v>
      </c>
      <c r="O56" s="126"/>
      <c r="P56" s="80"/>
      <c r="Q56" s="126">
        <v>45817.0</v>
      </c>
      <c r="R56" s="133">
        <v>312.0</v>
      </c>
      <c r="S56" s="134"/>
      <c r="T56" s="127"/>
      <c r="U56" s="135"/>
      <c r="V56" s="136"/>
      <c r="W56" s="126"/>
      <c r="X56" s="108"/>
      <c r="Y56" s="134"/>
      <c r="Z56" s="158"/>
      <c r="AA56" s="126"/>
      <c r="AB56" s="113"/>
      <c r="AC56" s="126"/>
      <c r="AD56" s="114"/>
      <c r="AE56" s="137"/>
      <c r="AF56" s="154"/>
      <c r="AG56" s="138"/>
      <c r="AH56" s="139"/>
      <c r="AI56" s="138"/>
      <c r="AJ56" s="140"/>
      <c r="AK56" s="141">
        <v>337.0</v>
      </c>
      <c r="AL56" s="142"/>
      <c r="AM56" s="143">
        <v>45817.0</v>
      </c>
      <c r="AN56" s="144">
        <v>46174.0</v>
      </c>
      <c r="AO56" s="123" t="s">
        <v>327</v>
      </c>
      <c r="AP56" s="145" t="s">
        <v>89</v>
      </c>
      <c r="AQ56" s="212">
        <v>46087.0</v>
      </c>
      <c r="AR56" s="99"/>
      <c r="AS56" s="148"/>
      <c r="AT56" s="132"/>
      <c r="AU56" s="149" t="s">
        <v>90</v>
      </c>
      <c r="AV56" s="150" t="s">
        <v>91</v>
      </c>
      <c r="AW56" s="159"/>
      <c r="AX56" s="160"/>
      <c r="AY56" s="174"/>
    </row>
    <row r="57">
      <c r="A57" s="123" t="s">
        <v>101</v>
      </c>
      <c r="B57" s="124" t="s">
        <v>131</v>
      </c>
      <c r="C57" s="125" t="s">
        <v>328</v>
      </c>
      <c r="D57" s="126">
        <v>45894.0</v>
      </c>
      <c r="E57" s="127" t="s">
        <v>329</v>
      </c>
      <c r="F57" s="127" t="s">
        <v>330</v>
      </c>
      <c r="G57" s="128">
        <v>34.0</v>
      </c>
      <c r="H57" s="129" t="s">
        <v>259</v>
      </c>
      <c r="I57" s="130" t="s">
        <v>331</v>
      </c>
      <c r="J57" s="130" t="s">
        <v>332</v>
      </c>
      <c r="K57" s="124" t="s">
        <v>333</v>
      </c>
      <c r="L57" s="131" t="s">
        <v>262</v>
      </c>
      <c r="M57" s="132" t="s">
        <v>109</v>
      </c>
      <c r="N57" s="127" t="s">
        <v>87</v>
      </c>
      <c r="O57" s="126"/>
      <c r="P57" s="80"/>
      <c r="Q57" s="126">
        <v>45897.0</v>
      </c>
      <c r="R57" s="133">
        <v>390.0</v>
      </c>
      <c r="S57" s="134"/>
      <c r="T57" s="127"/>
      <c r="U57" s="135"/>
      <c r="V57" s="136"/>
      <c r="W57" s="126"/>
      <c r="X57" s="108"/>
      <c r="Y57" s="134"/>
      <c r="Z57" s="158"/>
      <c r="AA57" s="126"/>
      <c r="AB57" s="113"/>
      <c r="AC57" s="126"/>
      <c r="AD57" s="114"/>
      <c r="AE57" s="137"/>
      <c r="AF57" s="154"/>
      <c r="AG57" s="138"/>
      <c r="AH57" s="139"/>
      <c r="AI57" s="138"/>
      <c r="AJ57" s="140"/>
      <c r="AK57" s="141">
        <v>415.0</v>
      </c>
      <c r="AL57" s="142"/>
      <c r="AM57" s="143">
        <v>45897.0</v>
      </c>
      <c r="AN57" s="144">
        <v>46235.0</v>
      </c>
      <c r="AO57" s="123" t="s">
        <v>334</v>
      </c>
      <c r="AP57" s="145" t="s">
        <v>89</v>
      </c>
      <c r="AQ57" s="213">
        <v>45974.0</v>
      </c>
      <c r="AR57" s="99"/>
      <c r="AS57" s="148"/>
      <c r="AT57" s="132"/>
      <c r="AU57" s="149" t="s">
        <v>90</v>
      </c>
      <c r="AV57" s="150" t="s">
        <v>91</v>
      </c>
      <c r="AW57" s="159"/>
      <c r="AX57" s="160"/>
      <c r="AY57" s="174"/>
    </row>
    <row r="58">
      <c r="A58" s="123" t="s">
        <v>101</v>
      </c>
      <c r="B58" s="124" t="s">
        <v>102</v>
      </c>
      <c r="C58" s="125" t="s">
        <v>335</v>
      </c>
      <c r="D58" s="126">
        <v>45817.0</v>
      </c>
      <c r="E58" s="127" t="s">
        <v>336</v>
      </c>
      <c r="F58" s="127" t="s">
        <v>337</v>
      </c>
      <c r="G58" s="128">
        <v>56.0</v>
      </c>
      <c r="H58" s="129" t="s">
        <v>259</v>
      </c>
      <c r="I58" s="130" t="s">
        <v>338</v>
      </c>
      <c r="J58" s="130" t="s">
        <v>339</v>
      </c>
      <c r="K58" s="124" t="s">
        <v>340</v>
      </c>
      <c r="L58" s="131" t="s">
        <v>262</v>
      </c>
      <c r="M58" s="132" t="s">
        <v>99</v>
      </c>
      <c r="N58" s="127" t="s">
        <v>87</v>
      </c>
      <c r="O58" s="126"/>
      <c r="P58" s="80"/>
      <c r="Q58" s="126">
        <v>45817.0</v>
      </c>
      <c r="R58" s="133">
        <v>612.0</v>
      </c>
      <c r="S58" s="134"/>
      <c r="T58" s="127"/>
      <c r="U58" s="135"/>
      <c r="V58" s="136"/>
      <c r="W58" s="126"/>
      <c r="X58" s="108"/>
      <c r="Y58" s="134"/>
      <c r="Z58" s="158"/>
      <c r="AA58" s="126"/>
      <c r="AB58" s="113"/>
      <c r="AC58" s="126"/>
      <c r="AD58" s="114"/>
      <c r="AE58" s="137"/>
      <c r="AF58" s="154"/>
      <c r="AG58" s="138"/>
      <c r="AH58" s="139"/>
      <c r="AI58" s="138"/>
      <c r="AJ58" s="140"/>
      <c r="AK58" s="141">
        <v>637.0</v>
      </c>
      <c r="AL58" s="142"/>
      <c r="AM58" s="143">
        <v>45817.0</v>
      </c>
      <c r="AN58" s="144">
        <v>46174.0</v>
      </c>
      <c r="AO58" s="123" t="s">
        <v>341</v>
      </c>
      <c r="AP58" s="145" t="s">
        <v>89</v>
      </c>
      <c r="AQ58" s="212">
        <v>46274.0</v>
      </c>
      <c r="AR58" s="99"/>
      <c r="AS58" s="148"/>
      <c r="AT58" s="132"/>
      <c r="AU58" s="149" t="s">
        <v>90</v>
      </c>
      <c r="AV58" s="150" t="s">
        <v>91</v>
      </c>
      <c r="AW58" s="159"/>
      <c r="AX58" s="160"/>
      <c r="AY58" s="174"/>
    </row>
    <row r="59">
      <c r="A59" s="123" t="s">
        <v>111</v>
      </c>
      <c r="B59" s="124" t="s">
        <v>112</v>
      </c>
      <c r="C59" s="125" t="s">
        <v>342</v>
      </c>
      <c r="D59" s="126">
        <v>45849.0</v>
      </c>
      <c r="E59" s="127" t="s">
        <v>343</v>
      </c>
      <c r="F59" s="127" t="s">
        <v>344</v>
      </c>
      <c r="G59" s="128">
        <v>45.0</v>
      </c>
      <c r="H59" s="129" t="s">
        <v>259</v>
      </c>
      <c r="I59" s="130" t="s">
        <v>345</v>
      </c>
      <c r="J59" s="130" t="s">
        <v>346</v>
      </c>
      <c r="K59" s="124" t="s">
        <v>347</v>
      </c>
      <c r="L59" s="131" t="s">
        <v>262</v>
      </c>
      <c r="M59" s="132" t="s">
        <v>139</v>
      </c>
      <c r="N59" s="127" t="s">
        <v>87</v>
      </c>
      <c r="O59" s="126"/>
      <c r="P59" s="80"/>
      <c r="Q59" s="126">
        <v>45849.0</v>
      </c>
      <c r="R59" s="133">
        <v>351.0</v>
      </c>
      <c r="S59" s="134"/>
      <c r="T59" s="127"/>
      <c r="U59" s="135"/>
      <c r="V59" s="136"/>
      <c r="W59" s="126"/>
      <c r="X59" s="108"/>
      <c r="Y59" s="134"/>
      <c r="Z59" s="158"/>
      <c r="AA59" s="126"/>
      <c r="AB59" s="113"/>
      <c r="AC59" s="126"/>
      <c r="AD59" s="114"/>
      <c r="AE59" s="137"/>
      <c r="AF59" s="154"/>
      <c r="AG59" s="138"/>
      <c r="AH59" s="139"/>
      <c r="AI59" s="138"/>
      <c r="AJ59" s="140"/>
      <c r="AK59" s="141">
        <v>351.0</v>
      </c>
      <c r="AL59" s="142"/>
      <c r="AM59" s="143">
        <v>45685.0</v>
      </c>
      <c r="AN59" s="144">
        <v>46023.0</v>
      </c>
      <c r="AO59" s="123" t="s">
        <v>348</v>
      </c>
      <c r="AP59" s="145" t="s">
        <v>89</v>
      </c>
      <c r="AQ59" s="212">
        <v>46097.0</v>
      </c>
      <c r="AR59" s="99"/>
      <c r="AS59" s="148"/>
      <c r="AT59" s="132"/>
      <c r="AU59" s="149" t="s">
        <v>90</v>
      </c>
      <c r="AV59" s="150" t="s">
        <v>91</v>
      </c>
      <c r="AW59" s="159"/>
      <c r="AX59" s="160"/>
      <c r="AY59" s="174"/>
    </row>
    <row r="60">
      <c r="A60" s="123" t="s">
        <v>76</v>
      </c>
      <c r="B60" s="124" t="s">
        <v>92</v>
      </c>
      <c r="C60" s="125" t="s">
        <v>349</v>
      </c>
      <c r="D60" s="126">
        <v>45846.0</v>
      </c>
      <c r="E60" s="127" t="s">
        <v>350</v>
      </c>
      <c r="F60" s="127" t="s">
        <v>351</v>
      </c>
      <c r="G60" s="128">
        <v>24.0</v>
      </c>
      <c r="H60" s="129" t="s">
        <v>259</v>
      </c>
      <c r="I60" s="130" t="s">
        <v>352</v>
      </c>
      <c r="J60" s="130" t="s">
        <v>353</v>
      </c>
      <c r="K60" s="124" t="s">
        <v>354</v>
      </c>
      <c r="L60" s="131" t="s">
        <v>262</v>
      </c>
      <c r="M60" s="132" t="s">
        <v>139</v>
      </c>
      <c r="N60" s="127" t="s">
        <v>87</v>
      </c>
      <c r="O60" s="126"/>
      <c r="P60" s="80"/>
      <c r="Q60" s="126">
        <v>45846.0</v>
      </c>
      <c r="R60" s="133">
        <v>351.0</v>
      </c>
      <c r="S60" s="134"/>
      <c r="T60" s="127"/>
      <c r="U60" s="135"/>
      <c r="V60" s="136"/>
      <c r="W60" s="126"/>
      <c r="X60" s="108"/>
      <c r="Y60" s="134"/>
      <c r="Z60" s="158"/>
      <c r="AA60" s="126"/>
      <c r="AB60" s="113"/>
      <c r="AC60" s="126"/>
      <c r="AD60" s="114"/>
      <c r="AE60" s="137"/>
      <c r="AF60" s="154"/>
      <c r="AG60" s="138"/>
      <c r="AH60" s="139"/>
      <c r="AI60" s="138"/>
      <c r="AJ60" s="140"/>
      <c r="AK60" s="141">
        <v>351.0</v>
      </c>
      <c r="AL60" s="142"/>
      <c r="AM60" s="143">
        <v>45829.0</v>
      </c>
      <c r="AN60" s="144">
        <v>46174.0</v>
      </c>
      <c r="AO60" s="123" t="s">
        <v>355</v>
      </c>
      <c r="AP60" s="145" t="s">
        <v>89</v>
      </c>
      <c r="AQ60" s="213">
        <v>45975.0</v>
      </c>
      <c r="AR60" s="99"/>
      <c r="AS60" s="148"/>
      <c r="AT60" s="132"/>
      <c r="AU60" s="149" t="s">
        <v>90</v>
      </c>
      <c r="AV60" s="150" t="s">
        <v>91</v>
      </c>
      <c r="AW60" s="159"/>
      <c r="AX60" s="160"/>
      <c r="AY60" s="174"/>
    </row>
    <row r="61">
      <c r="A61" s="123" t="s">
        <v>101</v>
      </c>
      <c r="B61" s="124" t="s">
        <v>102</v>
      </c>
      <c r="C61" s="125" t="s">
        <v>356</v>
      </c>
      <c r="D61" s="126">
        <v>45817.0</v>
      </c>
      <c r="E61" s="127" t="s">
        <v>357</v>
      </c>
      <c r="F61" s="127" t="s">
        <v>358</v>
      </c>
      <c r="G61" s="128">
        <v>63.0</v>
      </c>
      <c r="H61" s="129" t="s">
        <v>259</v>
      </c>
      <c r="I61" s="130" t="s">
        <v>359</v>
      </c>
      <c r="J61" s="130" t="s">
        <v>360</v>
      </c>
      <c r="K61" s="124" t="s">
        <v>361</v>
      </c>
      <c r="L61" s="131" t="s">
        <v>262</v>
      </c>
      <c r="M61" s="132" t="s">
        <v>362</v>
      </c>
      <c r="N61" s="127" t="s">
        <v>87</v>
      </c>
      <c r="O61" s="126"/>
      <c r="P61" s="80"/>
      <c r="Q61" s="126">
        <v>45817.0</v>
      </c>
      <c r="R61" s="133">
        <v>1007.0</v>
      </c>
      <c r="S61" s="134"/>
      <c r="T61" s="127"/>
      <c r="U61" s="135"/>
      <c r="V61" s="136"/>
      <c r="W61" s="126"/>
      <c r="X61" s="108"/>
      <c r="Y61" s="134"/>
      <c r="Z61" s="158"/>
      <c r="AA61" s="126"/>
      <c r="AB61" s="113"/>
      <c r="AC61" s="126"/>
      <c r="AD61" s="114"/>
      <c r="AE61" s="137"/>
      <c r="AF61" s="154"/>
      <c r="AG61" s="138"/>
      <c r="AH61" s="139"/>
      <c r="AI61" s="138"/>
      <c r="AJ61" s="140"/>
      <c r="AK61" s="141">
        <v>1032.0</v>
      </c>
      <c r="AL61" s="142"/>
      <c r="AM61" s="143">
        <v>45817.0</v>
      </c>
      <c r="AN61" s="144">
        <v>46174.0</v>
      </c>
      <c r="AO61" s="123" t="s">
        <v>363</v>
      </c>
      <c r="AP61" s="145" t="s">
        <v>89</v>
      </c>
      <c r="AQ61" s="212">
        <v>45922.0</v>
      </c>
      <c r="AR61" s="99"/>
      <c r="AS61" s="148"/>
      <c r="AT61" s="132"/>
      <c r="AU61" s="149" t="s">
        <v>90</v>
      </c>
      <c r="AV61" s="150" t="s">
        <v>91</v>
      </c>
      <c r="AW61" s="159"/>
      <c r="AX61" s="160"/>
      <c r="AY61" s="174"/>
    </row>
    <row r="62">
      <c r="A62" s="123" t="s">
        <v>101</v>
      </c>
      <c r="B62" s="124" t="s">
        <v>364</v>
      </c>
      <c r="C62" s="125" t="s">
        <v>365</v>
      </c>
      <c r="D62" s="126">
        <v>45897.0</v>
      </c>
      <c r="E62" s="127" t="s">
        <v>366</v>
      </c>
      <c r="F62" s="127" t="s">
        <v>269</v>
      </c>
      <c r="G62" s="128">
        <v>23.0</v>
      </c>
      <c r="H62" s="129" t="s">
        <v>259</v>
      </c>
      <c r="I62" s="130" t="s">
        <v>367</v>
      </c>
      <c r="J62" s="130" t="s">
        <v>368</v>
      </c>
      <c r="K62" s="124" t="s">
        <v>369</v>
      </c>
      <c r="L62" s="131" t="s">
        <v>262</v>
      </c>
      <c r="M62" s="132" t="s">
        <v>109</v>
      </c>
      <c r="N62" s="127" t="s">
        <v>87</v>
      </c>
      <c r="O62" s="126"/>
      <c r="P62" s="80"/>
      <c r="Q62" s="126">
        <v>45897.0</v>
      </c>
      <c r="R62" s="133">
        <v>390.0</v>
      </c>
      <c r="S62" s="134"/>
      <c r="T62" s="127"/>
      <c r="U62" s="135"/>
      <c r="V62" s="136"/>
      <c r="W62" s="126"/>
      <c r="X62" s="108"/>
      <c r="Y62" s="134"/>
      <c r="Z62" s="158"/>
      <c r="AA62" s="126"/>
      <c r="AB62" s="113"/>
      <c r="AC62" s="126"/>
      <c r="AD62" s="114"/>
      <c r="AE62" s="137"/>
      <c r="AF62" s="154"/>
      <c r="AG62" s="138"/>
      <c r="AH62" s="139"/>
      <c r="AI62" s="138"/>
      <c r="AJ62" s="140"/>
      <c r="AK62" s="141">
        <v>415.0</v>
      </c>
      <c r="AL62" s="142"/>
      <c r="AM62" s="143">
        <v>45897.0</v>
      </c>
      <c r="AN62" s="144">
        <v>46266.0</v>
      </c>
      <c r="AO62" s="123" t="s">
        <v>370</v>
      </c>
      <c r="AP62" s="145" t="s">
        <v>89</v>
      </c>
      <c r="AQ62" s="212">
        <v>46097.0</v>
      </c>
      <c r="AR62" s="99"/>
      <c r="AS62" s="148"/>
      <c r="AT62" s="132"/>
      <c r="AU62" s="149" t="s">
        <v>90</v>
      </c>
      <c r="AV62" s="150" t="s">
        <v>91</v>
      </c>
      <c r="AW62" s="159"/>
      <c r="AX62" s="160"/>
      <c r="AY62" s="174"/>
    </row>
    <row r="63">
      <c r="A63" s="123" t="s">
        <v>214</v>
      </c>
      <c r="B63" s="124" t="s">
        <v>170</v>
      </c>
      <c r="C63" s="125" t="s">
        <v>371</v>
      </c>
      <c r="D63" s="126">
        <v>45820.0</v>
      </c>
      <c r="E63" s="127" t="s">
        <v>372</v>
      </c>
      <c r="F63" s="127" t="s">
        <v>373</v>
      </c>
      <c r="G63" s="128">
        <v>29.0</v>
      </c>
      <c r="H63" s="129" t="s">
        <v>259</v>
      </c>
      <c r="I63" s="130" t="s">
        <v>374</v>
      </c>
      <c r="J63" s="130" t="s">
        <v>375</v>
      </c>
      <c r="K63" s="124" t="s">
        <v>376</v>
      </c>
      <c r="L63" s="131" t="s">
        <v>262</v>
      </c>
      <c r="M63" s="132" t="s">
        <v>109</v>
      </c>
      <c r="N63" s="127" t="s">
        <v>87</v>
      </c>
      <c r="O63" s="126"/>
      <c r="P63" s="157"/>
      <c r="Q63" s="126">
        <v>45820.0</v>
      </c>
      <c r="R63" s="133">
        <v>312.0</v>
      </c>
      <c r="S63" s="134"/>
      <c r="T63" s="127"/>
      <c r="U63" s="135"/>
      <c r="V63" s="136"/>
      <c r="W63" s="126"/>
      <c r="X63" s="108"/>
      <c r="Y63" s="134"/>
      <c r="Z63" s="158"/>
      <c r="AA63" s="126"/>
      <c r="AB63" s="113"/>
      <c r="AC63" s="126"/>
      <c r="AD63" s="114"/>
      <c r="AE63" s="137"/>
      <c r="AF63" s="154"/>
      <c r="AG63" s="138"/>
      <c r="AH63" s="139"/>
      <c r="AI63" s="138"/>
      <c r="AJ63" s="140"/>
      <c r="AK63" s="141">
        <v>337.0</v>
      </c>
      <c r="AL63" s="142"/>
      <c r="AM63" s="143">
        <v>45820.0</v>
      </c>
      <c r="AN63" s="144">
        <v>46174.0</v>
      </c>
      <c r="AO63" s="123" t="s">
        <v>377</v>
      </c>
      <c r="AP63" s="145" t="s">
        <v>89</v>
      </c>
      <c r="AQ63" s="212">
        <v>46097.0</v>
      </c>
      <c r="AR63" s="99"/>
      <c r="AS63" s="148"/>
      <c r="AT63" s="132"/>
      <c r="AU63" s="149" t="s">
        <v>90</v>
      </c>
      <c r="AV63" s="150" t="s">
        <v>91</v>
      </c>
      <c r="AW63" s="159"/>
      <c r="AX63" s="160"/>
      <c r="AY63" s="174"/>
    </row>
    <row r="64">
      <c r="A64" s="123" t="s">
        <v>111</v>
      </c>
      <c r="B64" s="124" t="s">
        <v>232</v>
      </c>
      <c r="C64" s="125" t="s">
        <v>378</v>
      </c>
      <c r="D64" s="126">
        <v>45866.0</v>
      </c>
      <c r="E64" s="127" t="s">
        <v>379</v>
      </c>
      <c r="F64" s="127" t="s">
        <v>380</v>
      </c>
      <c r="G64" s="128">
        <v>51.0</v>
      </c>
      <c r="H64" s="129" t="s">
        <v>259</v>
      </c>
      <c r="I64" s="130" t="s">
        <v>381</v>
      </c>
      <c r="J64" s="130" t="s">
        <v>382</v>
      </c>
      <c r="K64" s="124" t="s">
        <v>383</v>
      </c>
      <c r="L64" s="131" t="s">
        <v>262</v>
      </c>
      <c r="M64" s="132" t="s">
        <v>384</v>
      </c>
      <c r="N64" s="127" t="s">
        <v>87</v>
      </c>
      <c r="O64" s="126"/>
      <c r="P64" s="80"/>
      <c r="Q64" s="126">
        <v>45920.0</v>
      </c>
      <c r="R64" s="133">
        <v>390.0</v>
      </c>
      <c r="S64" s="134"/>
      <c r="T64" s="127"/>
      <c r="U64" s="135"/>
      <c r="V64" s="136"/>
      <c r="W64" s="126"/>
      <c r="X64" s="108"/>
      <c r="Y64" s="134"/>
      <c r="Z64" s="158"/>
      <c r="AA64" s="126"/>
      <c r="AB64" s="113"/>
      <c r="AC64" s="126"/>
      <c r="AD64" s="114"/>
      <c r="AE64" s="137"/>
      <c r="AF64" s="154"/>
      <c r="AG64" s="138"/>
      <c r="AH64" s="139"/>
      <c r="AI64" s="138"/>
      <c r="AJ64" s="140"/>
      <c r="AK64" s="141">
        <v>415.0</v>
      </c>
      <c r="AL64" s="142"/>
      <c r="AM64" s="143">
        <v>45920.0</v>
      </c>
      <c r="AN64" s="144">
        <v>46266.0</v>
      </c>
      <c r="AO64" s="123" t="s">
        <v>385</v>
      </c>
      <c r="AP64" s="145" t="s">
        <v>89</v>
      </c>
      <c r="AQ64" s="212">
        <v>36526.0</v>
      </c>
      <c r="AR64" s="99"/>
      <c r="AS64" s="148"/>
      <c r="AT64" s="132"/>
      <c r="AU64" s="149" t="s">
        <v>90</v>
      </c>
      <c r="AV64" s="150" t="s">
        <v>91</v>
      </c>
      <c r="AW64" s="159"/>
      <c r="AX64" s="160"/>
      <c r="AY64" s="174"/>
    </row>
    <row r="65">
      <c r="A65" s="123" t="s">
        <v>101</v>
      </c>
      <c r="B65" s="124" t="s">
        <v>102</v>
      </c>
      <c r="C65" s="125" t="s">
        <v>386</v>
      </c>
      <c r="D65" s="126">
        <v>45812.0</v>
      </c>
      <c r="E65" s="127" t="s">
        <v>387</v>
      </c>
      <c r="F65" s="127" t="s">
        <v>380</v>
      </c>
      <c r="G65" s="128">
        <v>47.0</v>
      </c>
      <c r="H65" s="129" t="s">
        <v>259</v>
      </c>
      <c r="I65" s="130" t="s">
        <v>388</v>
      </c>
      <c r="J65" s="130" t="s">
        <v>389</v>
      </c>
      <c r="K65" s="124" t="s">
        <v>390</v>
      </c>
      <c r="L65" s="131" t="s">
        <v>262</v>
      </c>
      <c r="M65" s="132" t="s">
        <v>109</v>
      </c>
      <c r="N65" s="127" t="s">
        <v>87</v>
      </c>
      <c r="O65" s="126"/>
      <c r="P65" s="80"/>
      <c r="Q65" s="126">
        <v>45812.0</v>
      </c>
      <c r="R65" s="133">
        <v>312.0</v>
      </c>
      <c r="S65" s="134"/>
      <c r="T65" s="127"/>
      <c r="U65" s="135"/>
      <c r="V65" s="136"/>
      <c r="W65" s="126"/>
      <c r="X65" s="108"/>
      <c r="Y65" s="134"/>
      <c r="Z65" s="158"/>
      <c r="AA65" s="126"/>
      <c r="AB65" s="113"/>
      <c r="AC65" s="126"/>
      <c r="AD65" s="114"/>
      <c r="AE65" s="137"/>
      <c r="AF65" s="154"/>
      <c r="AG65" s="138"/>
      <c r="AH65" s="139"/>
      <c r="AI65" s="138"/>
      <c r="AJ65" s="140"/>
      <c r="AK65" s="141">
        <v>337.0</v>
      </c>
      <c r="AL65" s="142"/>
      <c r="AM65" s="143">
        <v>45812.0</v>
      </c>
      <c r="AN65" s="144">
        <v>46174.0</v>
      </c>
      <c r="AO65" s="123" t="s">
        <v>391</v>
      </c>
      <c r="AP65" s="145" t="s">
        <v>213</v>
      </c>
      <c r="AQ65" s="212">
        <v>46098.0</v>
      </c>
      <c r="AR65" s="99"/>
      <c r="AS65" s="148"/>
      <c r="AT65" s="132"/>
      <c r="AU65" s="149" t="s">
        <v>90</v>
      </c>
      <c r="AV65" s="150" t="s">
        <v>91</v>
      </c>
      <c r="AW65" s="159"/>
      <c r="AX65" s="160"/>
      <c r="AY65" s="174"/>
    </row>
    <row r="66">
      <c r="A66" s="123" t="s">
        <v>160</v>
      </c>
      <c r="B66" s="124" t="s">
        <v>161</v>
      </c>
      <c r="C66" s="125" t="s">
        <v>392</v>
      </c>
      <c r="D66" s="126">
        <v>45922.0</v>
      </c>
      <c r="E66" s="127" t="s">
        <v>393</v>
      </c>
      <c r="F66" s="127" t="s">
        <v>394</v>
      </c>
      <c r="G66" s="128">
        <v>43.0</v>
      </c>
      <c r="H66" s="129" t="s">
        <v>259</v>
      </c>
      <c r="I66" s="130" t="s">
        <v>395</v>
      </c>
      <c r="J66" s="130" t="s">
        <v>396</v>
      </c>
      <c r="K66" s="124" t="s">
        <v>397</v>
      </c>
      <c r="L66" s="131" t="s">
        <v>262</v>
      </c>
      <c r="M66" s="132" t="s">
        <v>109</v>
      </c>
      <c r="N66" s="127" t="s">
        <v>87</v>
      </c>
      <c r="O66" s="126"/>
      <c r="P66" s="80"/>
      <c r="Q66" s="126">
        <v>45922.0</v>
      </c>
      <c r="R66" s="133">
        <v>390.0</v>
      </c>
      <c r="S66" s="134"/>
      <c r="T66" s="127"/>
      <c r="U66" s="135"/>
      <c r="V66" s="136"/>
      <c r="W66" s="126"/>
      <c r="X66" s="108"/>
      <c r="Y66" s="134"/>
      <c r="Z66" s="158"/>
      <c r="AA66" s="126"/>
      <c r="AB66" s="113"/>
      <c r="AC66" s="126"/>
      <c r="AD66" s="114"/>
      <c r="AE66" s="137"/>
      <c r="AF66" s="154"/>
      <c r="AG66" s="138"/>
      <c r="AH66" s="139"/>
      <c r="AI66" s="138"/>
      <c r="AJ66" s="140"/>
      <c r="AK66" s="141">
        <v>415.0</v>
      </c>
      <c r="AL66" s="142"/>
      <c r="AM66" s="143">
        <v>45922.0</v>
      </c>
      <c r="AN66" s="144">
        <v>46296.0</v>
      </c>
      <c r="AO66" s="123" t="s">
        <v>398</v>
      </c>
      <c r="AP66" s="145" t="s">
        <v>89</v>
      </c>
      <c r="AQ66" s="212">
        <v>36526.0</v>
      </c>
      <c r="AR66" s="99"/>
      <c r="AS66" s="148"/>
      <c r="AT66" s="132"/>
      <c r="AU66" s="149" t="s">
        <v>90</v>
      </c>
      <c r="AV66" s="150" t="s">
        <v>91</v>
      </c>
      <c r="AW66" s="159"/>
      <c r="AX66" s="160"/>
      <c r="AY66" s="174"/>
    </row>
    <row r="67">
      <c r="A67" s="123" t="s">
        <v>111</v>
      </c>
      <c r="B67" s="124" t="s">
        <v>112</v>
      </c>
      <c r="C67" s="125" t="s">
        <v>399</v>
      </c>
      <c r="D67" s="126">
        <v>45915.0</v>
      </c>
      <c r="E67" s="127" t="s">
        <v>400</v>
      </c>
      <c r="F67" s="127" t="s">
        <v>401</v>
      </c>
      <c r="G67" s="128">
        <v>39.0</v>
      </c>
      <c r="H67" s="129" t="s">
        <v>259</v>
      </c>
      <c r="I67" s="130" t="s">
        <v>402</v>
      </c>
      <c r="J67" s="130" t="s">
        <v>403</v>
      </c>
      <c r="K67" s="124" t="s">
        <v>404</v>
      </c>
      <c r="L67" s="131" t="s">
        <v>262</v>
      </c>
      <c r="M67" s="132" t="s">
        <v>109</v>
      </c>
      <c r="N67" s="127" t="s">
        <v>87</v>
      </c>
      <c r="O67" s="126"/>
      <c r="P67" s="80"/>
      <c r="Q67" s="126">
        <v>45915.0</v>
      </c>
      <c r="R67" s="133">
        <v>390.0</v>
      </c>
      <c r="S67" s="134"/>
      <c r="T67" s="127"/>
      <c r="U67" s="135"/>
      <c r="V67" s="136"/>
      <c r="W67" s="126"/>
      <c r="X67" s="108"/>
      <c r="Y67" s="134"/>
      <c r="Z67" s="158"/>
      <c r="AA67" s="126"/>
      <c r="AB67" s="113"/>
      <c r="AC67" s="126"/>
      <c r="AD67" s="114"/>
      <c r="AE67" s="89"/>
      <c r="AF67" s="154"/>
      <c r="AG67" s="138"/>
      <c r="AH67" s="139"/>
      <c r="AI67" s="138"/>
      <c r="AJ67" s="140"/>
      <c r="AK67" s="141">
        <v>415.0</v>
      </c>
      <c r="AL67" s="142"/>
      <c r="AM67" s="143">
        <v>45915.0</v>
      </c>
      <c r="AN67" s="144">
        <v>46266.0</v>
      </c>
      <c r="AO67" s="123" t="s">
        <v>405</v>
      </c>
      <c r="AP67" s="145" t="s">
        <v>89</v>
      </c>
      <c r="AQ67" s="212">
        <v>36526.0</v>
      </c>
      <c r="AR67" s="99"/>
      <c r="AS67" s="148"/>
      <c r="AT67" s="132"/>
      <c r="AU67" s="149" t="s">
        <v>90</v>
      </c>
      <c r="AV67" s="150" t="s">
        <v>91</v>
      </c>
      <c r="AW67" s="159"/>
      <c r="AX67" s="160"/>
      <c r="AY67" s="174"/>
    </row>
    <row r="68">
      <c r="A68" s="123" t="s">
        <v>160</v>
      </c>
      <c r="B68" s="124" t="s">
        <v>161</v>
      </c>
      <c r="C68" s="125" t="s">
        <v>406</v>
      </c>
      <c r="D68" s="126">
        <v>45817.0</v>
      </c>
      <c r="E68" s="127" t="s">
        <v>407</v>
      </c>
      <c r="F68" s="127" t="s">
        <v>408</v>
      </c>
      <c r="G68" s="128">
        <v>44.0</v>
      </c>
      <c r="H68" s="129" t="s">
        <v>259</v>
      </c>
      <c r="I68" s="130" t="s">
        <v>409</v>
      </c>
      <c r="J68" s="130" t="s">
        <v>410</v>
      </c>
      <c r="K68" s="124" t="s">
        <v>411</v>
      </c>
      <c r="L68" s="131" t="s">
        <v>262</v>
      </c>
      <c r="M68" s="132" t="s">
        <v>109</v>
      </c>
      <c r="N68" s="127" t="s">
        <v>87</v>
      </c>
      <c r="O68" s="126"/>
      <c r="P68" s="80"/>
      <c r="Q68" s="126">
        <v>45817.0</v>
      </c>
      <c r="R68" s="133">
        <v>312.0</v>
      </c>
      <c r="S68" s="134"/>
      <c r="T68" s="127"/>
      <c r="U68" s="135"/>
      <c r="V68" s="136"/>
      <c r="W68" s="126"/>
      <c r="X68" s="108"/>
      <c r="Y68" s="134"/>
      <c r="Z68" s="158"/>
      <c r="AA68" s="126"/>
      <c r="AB68" s="113"/>
      <c r="AC68" s="126"/>
      <c r="AD68" s="114"/>
      <c r="AE68" s="137"/>
      <c r="AF68" s="154"/>
      <c r="AG68" s="138"/>
      <c r="AH68" s="139"/>
      <c r="AI68" s="138"/>
      <c r="AJ68" s="140"/>
      <c r="AK68" s="141">
        <v>337.0</v>
      </c>
      <c r="AL68" s="142"/>
      <c r="AM68" s="143">
        <v>45817.0</v>
      </c>
      <c r="AN68" s="144">
        <v>46296.0</v>
      </c>
      <c r="AO68" s="123" t="s">
        <v>412</v>
      </c>
      <c r="AP68" s="145" t="s">
        <v>89</v>
      </c>
      <c r="AQ68" s="212">
        <v>46041.0</v>
      </c>
      <c r="AR68" s="99"/>
      <c r="AS68" s="148"/>
      <c r="AT68" s="132"/>
      <c r="AU68" s="149" t="s">
        <v>90</v>
      </c>
      <c r="AV68" s="150" t="s">
        <v>91</v>
      </c>
      <c r="AW68" s="159"/>
      <c r="AX68" s="160"/>
      <c r="AY68" s="174"/>
    </row>
    <row r="69">
      <c r="A69" s="123" t="s">
        <v>413</v>
      </c>
      <c r="B69" s="124" t="s">
        <v>92</v>
      </c>
      <c r="C69" s="125" t="s">
        <v>414</v>
      </c>
      <c r="D69" s="126">
        <v>45901.0</v>
      </c>
      <c r="E69" s="127" t="s">
        <v>415</v>
      </c>
      <c r="F69" s="127" t="s">
        <v>330</v>
      </c>
      <c r="G69" s="128">
        <v>52.0</v>
      </c>
      <c r="H69" s="129" t="s">
        <v>259</v>
      </c>
      <c r="I69" s="130" t="s">
        <v>416</v>
      </c>
      <c r="J69" s="130" t="s">
        <v>417</v>
      </c>
      <c r="K69" s="124" t="s">
        <v>418</v>
      </c>
      <c r="L69" s="131" t="s">
        <v>262</v>
      </c>
      <c r="M69" s="132" t="s">
        <v>109</v>
      </c>
      <c r="N69" s="127" t="s">
        <v>87</v>
      </c>
      <c r="O69" s="126"/>
      <c r="P69" s="80"/>
      <c r="Q69" s="126">
        <v>45923.0</v>
      </c>
      <c r="R69" s="133">
        <v>390.0</v>
      </c>
      <c r="S69" s="134"/>
      <c r="T69" s="127"/>
      <c r="U69" s="135"/>
      <c r="V69" s="136"/>
      <c r="W69" s="126"/>
      <c r="X69" s="108"/>
      <c r="Y69" s="134"/>
      <c r="Z69" s="158"/>
      <c r="AA69" s="126"/>
      <c r="AB69" s="113"/>
      <c r="AC69" s="126"/>
      <c r="AD69" s="114"/>
      <c r="AE69" s="137"/>
      <c r="AF69" s="154"/>
      <c r="AG69" s="138"/>
      <c r="AH69" s="139"/>
      <c r="AI69" s="138"/>
      <c r="AJ69" s="140"/>
      <c r="AK69" s="141">
        <v>415.0</v>
      </c>
      <c r="AL69" s="142"/>
      <c r="AM69" s="143">
        <v>45923.0</v>
      </c>
      <c r="AN69" s="144">
        <v>46266.0</v>
      </c>
      <c r="AO69" s="123" t="s">
        <v>419</v>
      </c>
      <c r="AP69" s="145" t="s">
        <v>89</v>
      </c>
      <c r="AQ69" s="212">
        <v>36526.0</v>
      </c>
      <c r="AR69" s="99"/>
      <c r="AS69" s="148"/>
      <c r="AT69" s="132"/>
      <c r="AU69" s="149" t="s">
        <v>90</v>
      </c>
      <c r="AV69" s="150" t="s">
        <v>91</v>
      </c>
      <c r="AW69" s="159"/>
      <c r="AX69" s="160"/>
      <c r="AY69" s="174"/>
    </row>
    <row r="70">
      <c r="A70" s="123" t="s">
        <v>101</v>
      </c>
      <c r="B70" s="124" t="s">
        <v>102</v>
      </c>
      <c r="C70" s="125" t="s">
        <v>420</v>
      </c>
      <c r="D70" s="126">
        <v>45852.0</v>
      </c>
      <c r="E70" s="127" t="s">
        <v>421</v>
      </c>
      <c r="F70" s="127" t="s">
        <v>422</v>
      </c>
      <c r="G70" s="128">
        <v>33.0</v>
      </c>
      <c r="H70" s="129" t="s">
        <v>259</v>
      </c>
      <c r="I70" s="130" t="s">
        <v>423</v>
      </c>
      <c r="J70" s="130" t="s">
        <v>424</v>
      </c>
      <c r="K70" s="124" t="s">
        <v>425</v>
      </c>
      <c r="L70" s="131" t="s">
        <v>262</v>
      </c>
      <c r="M70" s="132" t="s">
        <v>86</v>
      </c>
      <c r="N70" s="127" t="s">
        <v>87</v>
      </c>
      <c r="O70" s="126"/>
      <c r="P70" s="157"/>
      <c r="Q70" s="126">
        <v>45852.0</v>
      </c>
      <c r="R70" s="133">
        <v>1300.0</v>
      </c>
      <c r="S70" s="134"/>
      <c r="T70" s="127"/>
      <c r="U70" s="135"/>
      <c r="V70" s="136"/>
      <c r="W70" s="126"/>
      <c r="X70" s="108"/>
      <c r="Y70" s="134"/>
      <c r="Z70" s="158"/>
      <c r="AA70" s="126"/>
      <c r="AB70" s="113"/>
      <c r="AC70" s="126"/>
      <c r="AD70" s="114"/>
      <c r="AE70" s="137"/>
      <c r="AF70" s="154"/>
      <c r="AG70" s="138"/>
      <c r="AH70" s="139"/>
      <c r="AI70" s="138"/>
      <c r="AJ70" s="140"/>
      <c r="AK70" s="141">
        <v>1325.0</v>
      </c>
      <c r="AL70" s="142"/>
      <c r="AM70" s="143">
        <v>45852.0</v>
      </c>
      <c r="AN70" s="144">
        <v>46266.0</v>
      </c>
      <c r="AO70" s="123" t="s">
        <v>426</v>
      </c>
      <c r="AP70" s="145" t="s">
        <v>89</v>
      </c>
      <c r="AQ70" s="212">
        <v>45861.0</v>
      </c>
      <c r="AR70" s="99"/>
      <c r="AS70" s="148"/>
      <c r="AT70" s="132"/>
      <c r="AU70" s="149" t="s">
        <v>90</v>
      </c>
      <c r="AV70" s="150" t="s">
        <v>91</v>
      </c>
      <c r="AW70" s="159"/>
      <c r="AX70" s="160"/>
      <c r="AY70" s="174"/>
    </row>
    <row r="71">
      <c r="A71" s="123"/>
      <c r="B71" s="124"/>
      <c r="C71" s="125"/>
      <c r="D71" s="126"/>
      <c r="E71" s="127"/>
      <c r="F71" s="127"/>
      <c r="G71" s="128"/>
      <c r="H71" s="129"/>
      <c r="I71" s="130"/>
      <c r="J71" s="130"/>
      <c r="K71" s="124"/>
      <c r="L71" s="76"/>
      <c r="M71" s="77"/>
      <c r="N71" s="127"/>
      <c r="O71" s="126"/>
      <c r="P71" s="80"/>
      <c r="Q71" s="126"/>
      <c r="R71" s="133"/>
      <c r="S71" s="134"/>
      <c r="T71" s="127"/>
      <c r="U71" s="135"/>
      <c r="V71" s="136"/>
      <c r="W71" s="126"/>
      <c r="X71" s="108"/>
      <c r="Y71" s="134"/>
      <c r="Z71" s="158"/>
      <c r="AA71" s="126"/>
      <c r="AB71" s="113"/>
      <c r="AC71" s="126"/>
      <c r="AD71" s="114"/>
      <c r="AE71" s="137"/>
      <c r="AF71" s="154"/>
      <c r="AG71" s="138"/>
      <c r="AH71" s="139"/>
      <c r="AI71" s="138"/>
      <c r="AJ71" s="140"/>
      <c r="AK71" s="141"/>
      <c r="AL71" s="142"/>
      <c r="AM71" s="143"/>
      <c r="AN71" s="144"/>
      <c r="AO71" s="123"/>
      <c r="AP71" s="145"/>
      <c r="AQ71" s="89"/>
      <c r="AR71" s="99"/>
      <c r="AS71" s="148"/>
      <c r="AT71" s="132"/>
      <c r="AU71" s="149"/>
      <c r="AV71" s="150"/>
      <c r="AW71" s="159"/>
      <c r="AX71" s="160"/>
      <c r="AY71" s="174"/>
    </row>
    <row r="72">
      <c r="A72" s="123"/>
      <c r="B72" s="124"/>
      <c r="C72" s="125"/>
      <c r="D72" s="126"/>
      <c r="E72" s="127"/>
      <c r="F72" s="127"/>
      <c r="G72" s="128"/>
      <c r="H72" s="129"/>
      <c r="I72" s="130"/>
      <c r="J72" s="130"/>
      <c r="K72" s="124"/>
      <c r="L72" s="76"/>
      <c r="M72" s="77"/>
      <c r="N72" s="127"/>
      <c r="O72" s="126"/>
      <c r="P72" s="80"/>
      <c r="Q72" s="126"/>
      <c r="R72" s="133"/>
      <c r="S72" s="134"/>
      <c r="T72" s="127"/>
      <c r="U72" s="135"/>
      <c r="V72" s="136"/>
      <c r="W72" s="126"/>
      <c r="X72" s="108"/>
      <c r="Y72" s="134"/>
      <c r="Z72" s="158"/>
      <c r="AA72" s="126"/>
      <c r="AB72" s="113"/>
      <c r="AC72" s="126"/>
      <c r="AD72" s="114"/>
      <c r="AE72" s="137"/>
      <c r="AF72" s="154"/>
      <c r="AG72" s="138"/>
      <c r="AH72" s="139"/>
      <c r="AI72" s="138"/>
      <c r="AJ72" s="140"/>
      <c r="AK72" s="141"/>
      <c r="AL72" s="142"/>
      <c r="AM72" s="143"/>
      <c r="AN72" s="144"/>
      <c r="AO72" s="123"/>
      <c r="AP72" s="145"/>
      <c r="AQ72" s="89"/>
      <c r="AR72" s="99"/>
      <c r="AS72" s="148"/>
      <c r="AT72" s="132"/>
      <c r="AU72" s="149"/>
      <c r="AV72" s="150"/>
      <c r="AW72" s="159"/>
      <c r="AX72" s="160"/>
      <c r="AY72" s="174"/>
    </row>
    <row r="73">
      <c r="A73" s="123" t="s">
        <v>101</v>
      </c>
      <c r="B73" s="124" t="s">
        <v>102</v>
      </c>
      <c r="C73" s="125" t="s">
        <v>427</v>
      </c>
      <c r="D73" s="126">
        <v>45831.0</v>
      </c>
      <c r="E73" s="127" t="s">
        <v>428</v>
      </c>
      <c r="F73" s="127" t="s">
        <v>429</v>
      </c>
      <c r="G73" s="128">
        <v>33.0</v>
      </c>
      <c r="H73" s="129" t="s">
        <v>259</v>
      </c>
      <c r="I73" s="130" t="s">
        <v>430</v>
      </c>
      <c r="J73" s="130" t="s">
        <v>431</v>
      </c>
      <c r="K73" s="124" t="s">
        <v>432</v>
      </c>
      <c r="L73" s="131" t="s">
        <v>262</v>
      </c>
      <c r="M73" s="132" t="s">
        <v>99</v>
      </c>
      <c r="N73" s="127" t="s">
        <v>87</v>
      </c>
      <c r="O73" s="126"/>
      <c r="P73" s="80"/>
      <c r="Q73" s="126">
        <v>45831.0</v>
      </c>
      <c r="R73" s="133">
        <v>646.0</v>
      </c>
      <c r="S73" s="134"/>
      <c r="T73" s="127"/>
      <c r="U73" s="135"/>
      <c r="V73" s="136"/>
      <c r="W73" s="126"/>
      <c r="X73" s="108"/>
      <c r="Y73" s="134"/>
      <c r="Z73" s="158"/>
      <c r="AA73" s="126"/>
      <c r="AB73" s="113"/>
      <c r="AC73" s="126"/>
      <c r="AD73" s="114"/>
      <c r="AE73" s="137"/>
      <c r="AF73" s="154"/>
      <c r="AG73" s="138"/>
      <c r="AH73" s="139"/>
      <c r="AI73" s="138"/>
      <c r="AJ73" s="140"/>
      <c r="AK73" s="141">
        <v>671.0</v>
      </c>
      <c r="AL73" s="142"/>
      <c r="AM73" s="143">
        <v>45930.0</v>
      </c>
      <c r="AN73" s="144">
        <v>46266.0</v>
      </c>
      <c r="AO73" s="123" t="s">
        <v>433</v>
      </c>
      <c r="AP73" s="145" t="s">
        <v>89</v>
      </c>
      <c r="AQ73" s="212">
        <v>45993.0</v>
      </c>
      <c r="AR73" s="99"/>
      <c r="AS73" s="148"/>
      <c r="AT73" s="132"/>
      <c r="AU73" s="149" t="s">
        <v>90</v>
      </c>
      <c r="AV73" s="150" t="s">
        <v>91</v>
      </c>
      <c r="AW73" s="159"/>
      <c r="AX73" s="160"/>
      <c r="AY73" s="174"/>
    </row>
    <row r="74">
      <c r="A74" s="123"/>
      <c r="B74" s="124"/>
      <c r="C74" s="125"/>
      <c r="D74" s="126"/>
      <c r="E74" s="127"/>
      <c r="F74" s="127"/>
      <c r="G74" s="128"/>
      <c r="H74" s="129"/>
      <c r="I74" s="130"/>
      <c r="J74" s="130"/>
      <c r="K74" s="124"/>
      <c r="L74" s="76"/>
      <c r="M74" s="77"/>
      <c r="N74" s="127"/>
      <c r="O74" s="126"/>
      <c r="P74" s="157"/>
      <c r="Q74" s="126"/>
      <c r="R74" s="133"/>
      <c r="S74" s="134"/>
      <c r="T74" s="127"/>
      <c r="U74" s="135"/>
      <c r="V74" s="136"/>
      <c r="W74" s="126"/>
      <c r="X74" s="108"/>
      <c r="Y74" s="134"/>
      <c r="Z74" s="158"/>
      <c r="AA74" s="126"/>
      <c r="AB74" s="113"/>
      <c r="AC74" s="126"/>
      <c r="AD74" s="114"/>
      <c r="AE74" s="137"/>
      <c r="AF74" s="154"/>
      <c r="AG74" s="138"/>
      <c r="AH74" s="139"/>
      <c r="AI74" s="138"/>
      <c r="AJ74" s="140"/>
      <c r="AK74" s="141"/>
      <c r="AL74" s="142"/>
      <c r="AM74" s="143"/>
      <c r="AN74" s="144"/>
      <c r="AO74" s="123"/>
      <c r="AP74" s="145"/>
      <c r="AQ74" s="89"/>
      <c r="AR74" s="99"/>
      <c r="AS74" s="148"/>
      <c r="AT74" s="132"/>
      <c r="AU74" s="149"/>
      <c r="AV74" s="150"/>
      <c r="AW74" s="159"/>
      <c r="AX74" s="160"/>
      <c r="AY74" s="174"/>
    </row>
    <row r="75">
      <c r="A75" s="123"/>
      <c r="B75" s="124"/>
      <c r="C75" s="125"/>
      <c r="D75" s="126"/>
      <c r="E75" s="127"/>
      <c r="F75" s="127"/>
      <c r="G75" s="128"/>
      <c r="H75" s="129"/>
      <c r="I75" s="130"/>
      <c r="J75" s="130"/>
      <c r="K75" s="124"/>
      <c r="L75" s="131"/>
      <c r="M75" s="132"/>
      <c r="N75" s="127"/>
      <c r="O75" s="126"/>
      <c r="P75" s="80"/>
      <c r="Q75" s="126"/>
      <c r="R75" s="133"/>
      <c r="S75" s="134"/>
      <c r="T75" s="127"/>
      <c r="U75" s="135"/>
      <c r="V75" s="136"/>
      <c r="W75" s="126"/>
      <c r="X75" s="108"/>
      <c r="Y75" s="134"/>
      <c r="Z75" s="158"/>
      <c r="AA75" s="126"/>
      <c r="AB75" s="113"/>
      <c r="AC75" s="126"/>
      <c r="AD75" s="114"/>
      <c r="AE75" s="137"/>
      <c r="AF75" s="154"/>
      <c r="AG75" s="138"/>
      <c r="AH75" s="139"/>
      <c r="AI75" s="138"/>
      <c r="AJ75" s="140"/>
      <c r="AK75" s="141"/>
      <c r="AL75" s="142"/>
      <c r="AM75" s="143"/>
      <c r="AN75" s="144"/>
      <c r="AO75" s="123"/>
      <c r="AP75" s="145"/>
      <c r="AQ75" s="89"/>
      <c r="AR75" s="99"/>
      <c r="AS75" s="148"/>
      <c r="AT75" s="132"/>
      <c r="AU75" s="149"/>
      <c r="AV75" s="150"/>
      <c r="AW75" s="159"/>
      <c r="AX75" s="160"/>
      <c r="AY75" s="174"/>
    </row>
    <row r="76">
      <c r="A76" s="123"/>
      <c r="B76" s="124"/>
      <c r="C76" s="125"/>
      <c r="D76" s="126"/>
      <c r="E76" s="127"/>
      <c r="F76" s="127"/>
      <c r="G76" s="128"/>
      <c r="H76" s="129"/>
      <c r="I76" s="130"/>
      <c r="J76" s="130"/>
      <c r="K76" s="124"/>
      <c r="L76" s="131"/>
      <c r="M76" s="132"/>
      <c r="N76" s="127"/>
      <c r="O76" s="126"/>
      <c r="P76" s="80"/>
      <c r="Q76" s="126"/>
      <c r="R76" s="133"/>
      <c r="S76" s="134"/>
      <c r="T76" s="127"/>
      <c r="U76" s="135"/>
      <c r="V76" s="136"/>
      <c r="W76" s="126"/>
      <c r="X76" s="108"/>
      <c r="Y76" s="134"/>
      <c r="Z76" s="158"/>
      <c r="AA76" s="126"/>
      <c r="AB76" s="113"/>
      <c r="AC76" s="126"/>
      <c r="AD76" s="114"/>
      <c r="AE76" s="137"/>
      <c r="AF76" s="154"/>
      <c r="AG76" s="138"/>
      <c r="AH76" s="139"/>
      <c r="AI76" s="138"/>
      <c r="AJ76" s="140"/>
      <c r="AK76" s="141"/>
      <c r="AL76" s="142"/>
      <c r="AM76" s="143"/>
      <c r="AN76" s="144"/>
      <c r="AO76" s="123"/>
      <c r="AP76" s="145"/>
      <c r="AQ76" s="89"/>
      <c r="AR76" s="99"/>
      <c r="AS76" s="148"/>
      <c r="AT76" s="132"/>
      <c r="AU76" s="149"/>
      <c r="AV76" s="150"/>
      <c r="AW76" s="159"/>
      <c r="AX76" s="160"/>
      <c r="AY76" s="174"/>
    </row>
    <row r="77">
      <c r="A77" s="123"/>
      <c r="B77" s="124"/>
      <c r="C77" s="125"/>
      <c r="D77" s="126"/>
      <c r="E77" s="127"/>
      <c r="F77" s="127"/>
      <c r="G77" s="128"/>
      <c r="H77" s="129"/>
      <c r="I77" s="130"/>
      <c r="J77" s="130"/>
      <c r="K77" s="124"/>
      <c r="L77" s="76"/>
      <c r="M77" s="77"/>
      <c r="N77" s="127"/>
      <c r="O77" s="126"/>
      <c r="P77" s="80"/>
      <c r="Q77" s="126"/>
      <c r="R77" s="133"/>
      <c r="S77" s="134"/>
      <c r="T77" s="127"/>
      <c r="U77" s="135"/>
      <c r="V77" s="136"/>
      <c r="W77" s="126"/>
      <c r="X77" s="108"/>
      <c r="Y77" s="134"/>
      <c r="Z77" s="158"/>
      <c r="AA77" s="126"/>
      <c r="AB77" s="113"/>
      <c r="AC77" s="126"/>
      <c r="AD77" s="114"/>
      <c r="AE77" s="137"/>
      <c r="AF77" s="154"/>
      <c r="AG77" s="138"/>
      <c r="AH77" s="139"/>
      <c r="AI77" s="138"/>
      <c r="AJ77" s="140"/>
      <c r="AK77" s="141"/>
      <c r="AL77" s="142"/>
      <c r="AM77" s="143"/>
      <c r="AN77" s="144"/>
      <c r="AO77" s="123"/>
      <c r="AP77" s="145"/>
      <c r="AQ77" s="89"/>
      <c r="AR77" s="99"/>
      <c r="AS77" s="148"/>
      <c r="AT77" s="132"/>
      <c r="AU77" s="149"/>
      <c r="AV77" s="150"/>
      <c r="AW77" s="159"/>
      <c r="AX77" s="160"/>
      <c r="AY77" s="174"/>
    </row>
    <row r="78">
      <c r="A78" s="123"/>
      <c r="B78" s="124"/>
      <c r="C78" s="125"/>
      <c r="D78" s="126"/>
      <c r="E78" s="127"/>
      <c r="F78" s="127"/>
      <c r="G78" s="128"/>
      <c r="H78" s="129"/>
      <c r="I78" s="130"/>
      <c r="J78" s="130"/>
      <c r="K78" s="124"/>
      <c r="L78" s="76"/>
      <c r="M78" s="77"/>
      <c r="N78" s="127"/>
      <c r="O78" s="126"/>
      <c r="P78" s="80"/>
      <c r="Q78" s="126"/>
      <c r="R78" s="133"/>
      <c r="S78" s="134"/>
      <c r="T78" s="127"/>
      <c r="U78" s="135"/>
      <c r="V78" s="136"/>
      <c r="W78" s="126"/>
      <c r="X78" s="108"/>
      <c r="Y78" s="134"/>
      <c r="Z78" s="158"/>
      <c r="AA78" s="126"/>
      <c r="AB78" s="113"/>
      <c r="AC78" s="126"/>
      <c r="AD78" s="114"/>
      <c r="AE78" s="137"/>
      <c r="AF78" s="154"/>
      <c r="AG78" s="138"/>
      <c r="AH78" s="139"/>
      <c r="AI78" s="138"/>
      <c r="AJ78" s="140"/>
      <c r="AK78" s="141"/>
      <c r="AL78" s="142"/>
      <c r="AM78" s="143"/>
      <c r="AN78" s="144"/>
      <c r="AO78" s="123"/>
      <c r="AP78" s="145"/>
      <c r="AQ78" s="89"/>
      <c r="AR78" s="99"/>
      <c r="AS78" s="148"/>
      <c r="AT78" s="132"/>
      <c r="AU78" s="149"/>
      <c r="AV78" s="150"/>
      <c r="AW78" s="159"/>
      <c r="AX78" s="160"/>
      <c r="AY78" s="174"/>
    </row>
    <row r="79">
      <c r="A79" s="123"/>
      <c r="B79" s="124"/>
      <c r="C79" s="125"/>
      <c r="D79" s="126"/>
      <c r="E79" s="127"/>
      <c r="F79" s="127"/>
      <c r="G79" s="128"/>
      <c r="H79" s="129"/>
      <c r="I79" s="130"/>
      <c r="J79" s="130"/>
      <c r="K79" s="124"/>
      <c r="L79" s="76"/>
      <c r="M79" s="77"/>
      <c r="N79" s="127"/>
      <c r="O79" s="126"/>
      <c r="P79" s="80"/>
      <c r="Q79" s="126"/>
      <c r="R79" s="133"/>
      <c r="S79" s="134"/>
      <c r="T79" s="127"/>
      <c r="U79" s="135"/>
      <c r="V79" s="136"/>
      <c r="W79" s="126"/>
      <c r="X79" s="108"/>
      <c r="Y79" s="134"/>
      <c r="Z79" s="158"/>
      <c r="AA79" s="126"/>
      <c r="AB79" s="113"/>
      <c r="AC79" s="126"/>
      <c r="AD79" s="114"/>
      <c r="AE79" s="137"/>
      <c r="AF79" s="154"/>
      <c r="AG79" s="138"/>
      <c r="AH79" s="139"/>
      <c r="AI79" s="138"/>
      <c r="AJ79" s="140"/>
      <c r="AK79" s="141"/>
      <c r="AL79" s="142"/>
      <c r="AM79" s="143"/>
      <c r="AN79" s="144"/>
      <c r="AO79" s="123"/>
      <c r="AP79" s="145"/>
      <c r="AQ79" s="89"/>
      <c r="AR79" s="99"/>
      <c r="AS79" s="148"/>
      <c r="AT79" s="132"/>
      <c r="AU79" s="149"/>
      <c r="AV79" s="150"/>
      <c r="AW79" s="159"/>
      <c r="AX79" s="160"/>
      <c r="AY79" s="174"/>
    </row>
    <row r="80">
      <c r="A80" s="123"/>
      <c r="B80" s="124"/>
      <c r="C80" s="125"/>
      <c r="D80" s="126"/>
      <c r="E80" s="127"/>
      <c r="F80" s="127"/>
      <c r="G80" s="128"/>
      <c r="H80" s="129"/>
      <c r="I80" s="130"/>
      <c r="J80" s="130"/>
      <c r="K80" s="124"/>
      <c r="L80" s="76"/>
      <c r="M80" s="77"/>
      <c r="N80" s="127"/>
      <c r="O80" s="126"/>
      <c r="P80" s="80"/>
      <c r="Q80" s="126"/>
      <c r="R80" s="133"/>
      <c r="S80" s="134"/>
      <c r="T80" s="127"/>
      <c r="U80" s="135"/>
      <c r="V80" s="136"/>
      <c r="W80" s="126"/>
      <c r="X80" s="108"/>
      <c r="Y80" s="134"/>
      <c r="Z80" s="158"/>
      <c r="AA80" s="126"/>
      <c r="AB80" s="113"/>
      <c r="AC80" s="126"/>
      <c r="AD80" s="114"/>
      <c r="AE80" s="137"/>
      <c r="AF80" s="154"/>
      <c r="AG80" s="138"/>
      <c r="AH80" s="139"/>
      <c r="AI80" s="138"/>
      <c r="AJ80" s="140"/>
      <c r="AK80" s="141"/>
      <c r="AL80" s="142"/>
      <c r="AM80" s="143"/>
      <c r="AN80" s="144"/>
      <c r="AO80" s="123"/>
      <c r="AP80" s="145"/>
      <c r="AQ80" s="89"/>
      <c r="AR80" s="99"/>
      <c r="AS80" s="148"/>
      <c r="AT80" s="132"/>
      <c r="AU80" s="149"/>
      <c r="AV80" s="150"/>
      <c r="AW80" s="159"/>
      <c r="AX80" s="160"/>
      <c r="AY80" s="174"/>
    </row>
    <row r="81">
      <c r="A81" s="123"/>
      <c r="B81" s="124"/>
      <c r="C81" s="125"/>
      <c r="D81" s="126"/>
      <c r="E81" s="127"/>
      <c r="F81" s="127"/>
      <c r="G81" s="128"/>
      <c r="H81" s="129"/>
      <c r="I81" s="130"/>
      <c r="J81" s="130"/>
      <c r="K81" s="124"/>
      <c r="L81" s="76"/>
      <c r="M81" s="77"/>
      <c r="N81" s="127"/>
      <c r="O81" s="126"/>
      <c r="P81" s="80"/>
      <c r="Q81" s="126"/>
      <c r="R81" s="133"/>
      <c r="S81" s="134"/>
      <c r="T81" s="127"/>
      <c r="U81" s="135"/>
      <c r="V81" s="136"/>
      <c r="W81" s="126"/>
      <c r="X81" s="108"/>
      <c r="Y81" s="134"/>
      <c r="Z81" s="158"/>
      <c r="AA81" s="126"/>
      <c r="AB81" s="113"/>
      <c r="AC81" s="126"/>
      <c r="AD81" s="114"/>
      <c r="AE81" s="137"/>
      <c r="AF81" s="154"/>
      <c r="AG81" s="138"/>
      <c r="AH81" s="139"/>
      <c r="AI81" s="138"/>
      <c r="AJ81" s="140"/>
      <c r="AK81" s="141"/>
      <c r="AL81" s="142"/>
      <c r="AM81" s="143"/>
      <c r="AN81" s="144"/>
      <c r="AO81" s="123"/>
      <c r="AP81" s="145"/>
      <c r="AQ81" s="89"/>
      <c r="AR81" s="99"/>
      <c r="AS81" s="148"/>
      <c r="AT81" s="132"/>
      <c r="AU81" s="149"/>
      <c r="AV81" s="150"/>
      <c r="AW81" s="159"/>
      <c r="AX81" s="160"/>
      <c r="AY81" s="174"/>
    </row>
    <row r="82">
      <c r="A82" s="123"/>
      <c r="B82" s="124"/>
      <c r="C82" s="125"/>
      <c r="D82" s="126"/>
      <c r="E82" s="127"/>
      <c r="F82" s="127"/>
      <c r="G82" s="128"/>
      <c r="H82" s="129"/>
      <c r="I82" s="130"/>
      <c r="J82" s="130"/>
      <c r="K82" s="124"/>
      <c r="L82" s="76"/>
      <c r="M82" s="77"/>
      <c r="N82" s="127"/>
      <c r="O82" s="126"/>
      <c r="P82" s="80"/>
      <c r="Q82" s="126"/>
      <c r="R82" s="133"/>
      <c r="S82" s="134"/>
      <c r="T82" s="127"/>
      <c r="U82" s="135"/>
      <c r="V82" s="136"/>
      <c r="W82" s="126"/>
      <c r="X82" s="108"/>
      <c r="Y82" s="134"/>
      <c r="Z82" s="158"/>
      <c r="AA82" s="126"/>
      <c r="AB82" s="113"/>
      <c r="AC82" s="126"/>
      <c r="AD82" s="114"/>
      <c r="AE82" s="137"/>
      <c r="AF82" s="154"/>
      <c r="AG82" s="138"/>
      <c r="AH82" s="139"/>
      <c r="AI82" s="138"/>
      <c r="AJ82" s="140"/>
      <c r="AK82" s="141"/>
      <c r="AL82" s="142"/>
      <c r="AM82" s="143"/>
      <c r="AN82" s="144"/>
      <c r="AO82" s="123"/>
      <c r="AP82" s="145"/>
      <c r="AQ82" s="89"/>
      <c r="AR82" s="99"/>
      <c r="AS82" s="148"/>
      <c r="AT82" s="132"/>
      <c r="AU82" s="149"/>
      <c r="AV82" s="150"/>
      <c r="AW82" s="214"/>
      <c r="AX82" s="160"/>
      <c r="AY82" s="174"/>
    </row>
    <row r="83">
      <c r="A83" s="123"/>
      <c r="B83" s="124"/>
      <c r="C83" s="125"/>
      <c r="D83" s="126"/>
      <c r="E83" s="127"/>
      <c r="F83" s="127"/>
      <c r="G83" s="128"/>
      <c r="H83" s="129"/>
      <c r="I83" s="130"/>
      <c r="J83" s="130"/>
      <c r="K83" s="124"/>
      <c r="L83" s="76"/>
      <c r="M83" s="77"/>
      <c r="N83" s="127"/>
      <c r="O83" s="126"/>
      <c r="P83" s="80"/>
      <c r="Q83" s="126"/>
      <c r="R83" s="133"/>
      <c r="S83" s="134"/>
      <c r="T83" s="127"/>
      <c r="U83" s="135"/>
      <c r="V83" s="136"/>
      <c r="W83" s="126"/>
      <c r="X83" s="108"/>
      <c r="Y83" s="134"/>
      <c r="Z83" s="158"/>
      <c r="AA83" s="126"/>
      <c r="AB83" s="113"/>
      <c r="AC83" s="126"/>
      <c r="AD83" s="114"/>
      <c r="AE83" s="137"/>
      <c r="AF83" s="154"/>
      <c r="AG83" s="138"/>
      <c r="AH83" s="139"/>
      <c r="AI83" s="138"/>
      <c r="AJ83" s="140"/>
      <c r="AK83" s="141"/>
      <c r="AL83" s="142"/>
      <c r="AM83" s="143"/>
      <c r="AN83" s="144"/>
      <c r="AO83" s="123"/>
      <c r="AP83" s="145"/>
      <c r="AQ83" s="89"/>
      <c r="AR83" s="99"/>
      <c r="AS83" s="148"/>
      <c r="AT83" s="132"/>
      <c r="AU83" s="149"/>
      <c r="AV83" s="150"/>
      <c r="AW83" s="214"/>
      <c r="AX83" s="160"/>
      <c r="AY83" s="174"/>
    </row>
    <row r="84">
      <c r="A84" s="123"/>
      <c r="B84" s="124"/>
      <c r="C84" s="125"/>
      <c r="D84" s="126"/>
      <c r="E84" s="127"/>
      <c r="F84" s="127"/>
      <c r="G84" s="128"/>
      <c r="H84" s="129"/>
      <c r="I84" s="130"/>
      <c r="J84" s="130"/>
      <c r="K84" s="124"/>
      <c r="L84" s="76"/>
      <c r="M84" s="77"/>
      <c r="N84" s="127"/>
      <c r="O84" s="126"/>
      <c r="P84" s="80"/>
      <c r="Q84" s="126"/>
      <c r="R84" s="133"/>
      <c r="S84" s="134"/>
      <c r="T84" s="127"/>
      <c r="U84" s="135"/>
      <c r="V84" s="136"/>
      <c r="W84" s="126"/>
      <c r="X84" s="108"/>
      <c r="Y84" s="134"/>
      <c r="Z84" s="158"/>
      <c r="AA84" s="126"/>
      <c r="AB84" s="113"/>
      <c r="AC84" s="126"/>
      <c r="AD84" s="114"/>
      <c r="AE84" s="137"/>
      <c r="AF84" s="154"/>
      <c r="AG84" s="138"/>
      <c r="AH84" s="139"/>
      <c r="AI84" s="138"/>
      <c r="AJ84" s="140"/>
      <c r="AK84" s="141"/>
      <c r="AL84" s="142"/>
      <c r="AM84" s="143"/>
      <c r="AN84" s="144"/>
      <c r="AO84" s="123"/>
      <c r="AP84" s="145"/>
      <c r="AQ84" s="89"/>
      <c r="AR84" s="99"/>
      <c r="AS84" s="148"/>
      <c r="AT84" s="132"/>
      <c r="AU84" s="149"/>
      <c r="AV84" s="150"/>
      <c r="AW84" s="214"/>
      <c r="AX84" s="160"/>
      <c r="AY84" s="174"/>
    </row>
    <row r="85">
      <c r="A85" s="123"/>
      <c r="B85" s="124"/>
      <c r="C85" s="125"/>
      <c r="D85" s="126"/>
      <c r="E85" s="127"/>
      <c r="F85" s="127"/>
      <c r="G85" s="128"/>
      <c r="H85" s="129"/>
      <c r="I85" s="130"/>
      <c r="J85" s="130"/>
      <c r="K85" s="124"/>
      <c r="L85" s="76"/>
      <c r="M85" s="77"/>
      <c r="N85" s="127"/>
      <c r="O85" s="126"/>
      <c r="P85" s="80"/>
      <c r="Q85" s="126"/>
      <c r="R85" s="133"/>
      <c r="S85" s="134"/>
      <c r="T85" s="127"/>
      <c r="U85" s="135"/>
      <c r="V85" s="136"/>
      <c r="W85" s="126"/>
      <c r="X85" s="108"/>
      <c r="Y85" s="134"/>
      <c r="Z85" s="158"/>
      <c r="AA85" s="126"/>
      <c r="AB85" s="113"/>
      <c r="AC85" s="126"/>
      <c r="AD85" s="114"/>
      <c r="AE85" s="137"/>
      <c r="AF85" s="154"/>
      <c r="AG85" s="138"/>
      <c r="AH85" s="139"/>
      <c r="AI85" s="138"/>
      <c r="AJ85" s="140"/>
      <c r="AK85" s="141"/>
      <c r="AL85" s="142"/>
      <c r="AM85" s="143"/>
      <c r="AN85" s="144"/>
      <c r="AO85" s="123"/>
      <c r="AP85" s="145"/>
      <c r="AQ85" s="89"/>
      <c r="AR85" s="99"/>
      <c r="AS85" s="148"/>
      <c r="AT85" s="132"/>
      <c r="AU85" s="149"/>
      <c r="AV85" s="150"/>
      <c r="AW85" s="159"/>
      <c r="AX85" s="160"/>
      <c r="AY85" s="174"/>
    </row>
    <row r="86">
      <c r="A86" s="144"/>
      <c r="B86" s="215"/>
      <c r="C86" s="125"/>
      <c r="D86" s="126"/>
      <c r="E86" s="127"/>
      <c r="F86" s="127"/>
      <c r="G86" s="128"/>
      <c r="H86" s="129"/>
      <c r="I86" s="130"/>
      <c r="J86" s="130"/>
      <c r="K86" s="124"/>
      <c r="L86" s="76"/>
      <c r="M86" s="77"/>
      <c r="N86" s="127"/>
      <c r="O86" s="126"/>
      <c r="P86" s="80"/>
      <c r="Q86" s="126"/>
      <c r="R86" s="133"/>
      <c r="S86" s="134"/>
      <c r="T86" s="127"/>
      <c r="U86" s="135"/>
      <c r="V86" s="136"/>
      <c r="W86" s="126"/>
      <c r="X86" s="133"/>
      <c r="Y86" s="134"/>
      <c r="Z86" s="158"/>
      <c r="AA86" s="126"/>
      <c r="AB86" s="113"/>
      <c r="AC86" s="126"/>
      <c r="AD86" s="114"/>
      <c r="AE86" s="89"/>
      <c r="AF86" s="154"/>
      <c r="AG86" s="138"/>
      <c r="AH86" s="139"/>
      <c r="AI86" s="138"/>
      <c r="AJ86" s="140"/>
      <c r="AK86" s="141"/>
      <c r="AL86" s="216"/>
      <c r="AM86" s="217"/>
      <c r="AN86" s="218"/>
      <c r="AO86" s="123"/>
      <c r="AP86" s="145"/>
      <c r="AQ86" s="89"/>
      <c r="AR86" s="99"/>
      <c r="AS86" s="219"/>
      <c r="AT86" s="132"/>
      <c r="AU86" s="149"/>
      <c r="AV86" s="150"/>
      <c r="AW86" s="220"/>
      <c r="AX86" s="221"/>
      <c r="AY86" s="201"/>
    </row>
    <row r="87" ht="25.5" customHeight="1">
      <c r="A87" s="222">
        <f t="array" ref="A87">SUM(IF(ISERROR(A5:A86), 0, (A5:A86&lt;&gt;"")*1))
</f>
        <v>45</v>
      </c>
      <c r="B87" s="223" t="str">
        <f t="array" ref="B87"> "Totale Vendite: " &amp; SUM(LEN(B5:B86) - LEN(SUBSTITUTE(B5:B86, ",", "")) + (B5:B86&lt;&gt;""))
</f>
        <v>Totale Vendite: 58</v>
      </c>
      <c r="C87" s="224" t="str">
        <f t="array" ref="C87"> "🆔 Totale ID: " &amp; SUM(LEN(C5:C86) - LEN(SUBSTITUTE(C5:C86, ",", "")) + (C5:C86&lt;&gt;""))
</f>
        <v>🆔 Totale ID: 44</v>
      </c>
      <c r="D87" s="225" t="str">
        <f> "📅 Totali: " &amp; COUNTIF(D5:D86, "&gt;0")
</f>
        <v>📅 Totali: 44</v>
      </c>
      <c r="E87" s="222" t="str">
        <f t="shared" ref="E87:F87" si="1"> "👤 Totale nomi: " &amp; COUNTIF(E5:E44, "&lt;&gt;")+ COUNTIF(E46:E86, "&lt;&gt;")
</f>
        <v>👤 Totale nomi: 44</v>
      </c>
      <c r="F87" s="222" t="str">
        <f t="shared" si="1"/>
        <v>👤 Totale nomi: 44</v>
      </c>
      <c r="G87" s="222" t="str">
        <f> "👤 Età valide: " &amp; COUNTIF(G5:G86, "&gt;0")
</f>
        <v>👤 Età valide: 44</v>
      </c>
      <c r="H87" s="222">
        <f>COUNTIF(H5:H86, "Donna") + COUNTIF(H5:H86, "Uomo")
</f>
        <v>44</v>
      </c>
      <c r="I87" s="222" t="str">
        <f>IFERROR(__xludf.DUMMYFUNCTION(" ""📱 Cell corretti: "" &amp; ARRAYFORMULA(SUM(IF(REGEXMATCH(TO_TEXT(I5:I86), ""^(?:\+39)?3\d{8,9}$""), 1, 0)))
"),"📱 Cell corretti: 44")</f>
        <v>📱 Cell corretti: 44</v>
      </c>
      <c r="J87" s="222" t="str">
        <f> "🧾 Totali: " &amp; COUNTIF(J5:J86, "&lt;&gt;")
</f>
        <v>🧾 Totali: 44</v>
      </c>
      <c r="K87" s="223" t="str">
        <f> "📧 Totali: " &amp; COUNTIF(K5:K86, "&lt;&gt;")
</f>
        <v>📧 Totali: 43</v>
      </c>
      <c r="L87" s="224">
        <f>COUNTIF(L5:L86,"*iscritto*")</f>
        <v>42</v>
      </c>
      <c r="M87" s="222" t="str">
        <f t="array" ref="M87"> "📋 Totale Desc Quote: " &amp; SUM(LEN(M5:M86) - LEN(SUBSTITUTE(M5:M86, ",", "")) + (M5:M86&lt;&gt;""))
</f>
        <v>📋 Totale Desc Quote: 79</v>
      </c>
      <c r="N87" s="222" t="str">
        <f t="array" ref="N87">"🔢 Totale Periodo: " &amp; SUM(LEN(N5:N86) - LEN(SUBSTITUTE(N5:N86, ",", "")) + (N5:N86&lt;&gt;""))
</f>
        <v>🔢 Totale Periodo: 44</v>
      </c>
      <c r="O87" s="226" t="str">
        <f> "📅 Totali: " &amp; COUNTIF(O5:O86, "&gt;0")
</f>
        <v>📅 Totali: 1</v>
      </c>
      <c r="P87" s="227">
        <f>SUM(P5:P86)</f>
        <v>20</v>
      </c>
      <c r="Q87" s="226" t="str">
        <f> "📅 Totali: " &amp; COUNTIF(Q5:Q86, "&gt;0")
</f>
        <v>📅 Totali: 44</v>
      </c>
      <c r="R87" s="227">
        <f>SUM(R5:R86)</f>
        <v>22280</v>
      </c>
      <c r="S87" s="222" t="str">
        <f t="array" ref="S87"> "📋 Totale Desc Quote: " &amp; SUM(LEN(S5:S86) - LEN(SUBSTITUTE(S5:S86, ",", "")) + (S5:S86&lt;&gt;""))
</f>
        <v>📋 Totale Desc Quote: 3</v>
      </c>
      <c r="T87" s="222" t="str">
        <f t="array" ref="T87">"🔢 Totale Periodo: " &amp; SUM(LEN(T5:T86) - LEN(SUBSTITUTE(T5:T86, ",", "")) + (T5:T86&lt;&gt;""))
</f>
        <v>🔢 Totale Periodo: 3</v>
      </c>
      <c r="U87" s="226" t="str">
        <f> "📅 Totali: " &amp; COUNTIF(U5:U86, "&gt;0")
</f>
        <v>📅 Totali: 0</v>
      </c>
      <c r="V87" s="227">
        <f>SUM(V5:V86)</f>
        <v>0</v>
      </c>
      <c r="W87" s="226" t="str">
        <f> "📅 Totali: " &amp; COUNTIF(W5:W86, "&gt;0")
</f>
        <v>📅 Totali: 3</v>
      </c>
      <c r="X87" s="227">
        <f>SUM(X5:X86)</f>
        <v>1150.5</v>
      </c>
      <c r="Y87" s="222" t="str">
        <f t="array" ref="Y87"> "📋 Totale Desc Quote: " &amp; SUM(LEN(Y5:Y86) - LEN(SUBSTITUTE(Y5:Y86, ",", "")) + (Y5:Y86&lt;&gt;""))
</f>
        <v>📋 Totale Desc Quote: 0</v>
      </c>
      <c r="Z87" s="222" t="str">
        <f t="array" ref="Z87">"🔢 Totale Periodo: " &amp; SUM(LEN(Z5:Z86) - LEN(SUBSTITUTE(Z5:Z86, ",", "")) + (Z5:Z86&lt;&gt;""))
</f>
        <v>🔢 Totale Periodo: 0</v>
      </c>
      <c r="AA87" s="226" t="str">
        <f> "📅 Totali: " &amp; COUNTIF(AA5:AA86, "&gt;0")
</f>
        <v>📅 Totali: 0</v>
      </c>
      <c r="AB87" s="227">
        <f>SUM(AB5:AB86)</f>
        <v>0</v>
      </c>
      <c r="AC87" s="226" t="str">
        <f> "📅 Totali: " &amp; COUNTIF(AC5:AC86, "&gt;0")
</f>
        <v>📅 Totali: 0</v>
      </c>
      <c r="AD87" s="227">
        <f>SUM(AD5:AD86)</f>
        <v>0</v>
      </c>
      <c r="AE87" s="222" t="str">
        <f t="array" ref="AE87"> "📋 Totale Desc Quote: " &amp; SUM(LEN(AE5:AE86) - LEN(SUBSTITUTE(AE5:AE86, ",", "")) + (AE5:AE86&lt;&gt;""))
</f>
        <v>📋 Totale Desc Quote: 0</v>
      </c>
      <c r="AF87" s="222" t="str">
        <f t="array" ref="AF87">"🔢 Totale Periodo: " &amp; SUM(LEN(AF5:AF86) - LEN(SUBSTITUTE(AF5:AF86, ",", "")) + (AF5:AF86&lt;&gt;""))
</f>
        <v>🔢 Totale Periodo: 0</v>
      </c>
      <c r="AG87" s="226" t="str">
        <f> "📅 Totali: " &amp; COUNTIF(AG5:AG86, "&gt;0")
</f>
        <v>📅 Totali: 0</v>
      </c>
      <c r="AH87" s="227">
        <f>SUM(AH5:AH86)</f>
        <v>0</v>
      </c>
      <c r="AI87" s="226" t="str">
        <f> "📅 Totali: " &amp; COUNTIF(AI5:AI86, "&gt;0")
</f>
        <v>📅 Totali: 0</v>
      </c>
      <c r="AJ87" s="227">
        <f t="shared" ref="AJ87:AL87" si="2">SUM(AJ5:AJ86)</f>
        <v>0</v>
      </c>
      <c r="AK87" s="228">
        <f t="shared" si="2"/>
        <v>24275.5</v>
      </c>
      <c r="AL87" s="227">
        <f t="shared" si="2"/>
        <v>0</v>
      </c>
      <c r="AM87" s="225" t="str">
        <f t="shared" ref="AM87:AN87" si="3"> "📅 Totali: " &amp; COUNTIF(AM5:AM86, "&gt;0")
</f>
        <v>📅 Totali: 44</v>
      </c>
      <c r="AN87" s="225" t="str">
        <f t="shared" si="3"/>
        <v>📅 Totali: 44</v>
      </c>
      <c r="AO87" s="222">
        <f t="array" ref="AO87">SUM(IF(ISERROR(AO5:AO86), 0, (AO5:AO86&lt;&gt;"")*1))
</f>
        <v>44</v>
      </c>
      <c r="AP87" s="223">
        <f>COUNTIF(AP5:AP86, "COMPILATA") + COUNTIF(AP5:AP86, "NON COMPILATA")
</f>
        <v>44</v>
      </c>
      <c r="AQ87" s="229" t="str">
        <f> "📅 Totali: " &amp; COUNTIF(AQ5:AQ86, "&gt;0")
</f>
        <v>📅 Totali: 42</v>
      </c>
      <c r="AR87" s="224">
        <f t="array" ref="AR87">SUM(IF(ISERROR(AR5:AR86), 0, (AR5:AR86&lt;&gt;"")*1))
</f>
        <v>0</v>
      </c>
      <c r="AS87" s="222" t="str">
        <f t="array" ref="AS87">"🔢 Totale Presenze: " &amp; SUM(LEN(AS5:AS86) - LEN(SUBSTITUTE(AS5:AS86, ",", "")) + (AS5:AS86&lt;&gt;""))
</f>
        <v>🔢 Totale Presenze: 0</v>
      </c>
      <c r="AT87" s="223" t="str">
        <f t="array" ref="AT87">"🔢 Totale Presenze: " &amp; SUM(LEN(AT5:AT86) - LEN(SUBSTITUTE(AT5:AT86, ",", "")) + (AT5:AT86&lt;&gt;""))
</f>
        <v>🔢 Totale Presenze: 0</v>
      </c>
      <c r="AU87" s="224" t="str">
        <f>"🔢 Totali esiti: " &amp; COUNTIF(AU5:AU86, "OK") + COUNTIF(AU5:AU86, "ERRORE")
</f>
        <v>🔢 Totali esiti: 44</v>
      </c>
      <c r="AV87" s="223" t="str">
        <f t="array" ref="AV87">"🔢 Totale da riempire: " &amp; SUM(LEN(AV5:AV86) - LEN(SUBSTITUTE(AV5:AV86, ",", "")) + (AV5:AV86&lt;&gt;""))
</f>
        <v>🔢 Totale da riempire: 44</v>
      </c>
      <c r="AW87" s="224">
        <f t="array" ref="AW87">SUM(IF(ISERROR(AW5:AW86), 0, (AW5:AW86&lt;&gt;"")*1))
</f>
        <v>0</v>
      </c>
      <c r="AX87" s="224">
        <f t="array" ref="AX87">SUM(IF(ISERROR(AX5:AX86), 0, (AX5:AX86&lt;&gt;"")*1))
</f>
        <v>0</v>
      </c>
      <c r="AY87" s="222"/>
    </row>
    <row r="88" ht="33.0" customHeight="1">
      <c r="A88" s="230" t="str">
        <f>"Alexandra: " &amp; COUNTIF(A5:A86,"Alexandra")</f>
        <v>Alexandra: 9</v>
      </c>
      <c r="B88" s="231" t="str">
        <f> "SEDE: " &amp; COUNTIF(B5:B86,"SEDE*")</f>
        <v>SEDE: 26</v>
      </c>
      <c r="C88" s="232"/>
      <c r="D88" s="230"/>
      <c r="E88" s="230"/>
      <c r="F88" s="230"/>
      <c r="G88" s="230" t="str">
        <f> "👶 Minorenni: " &amp; COUNTIF(G5:G86, "&lt;18")
</f>
        <v>👶 Minorenni: 0</v>
      </c>
      <c r="H88" s="230" t="str">
        <f>"Donne: " &amp; COUNTIF(H5:H86,"Donna")</f>
        <v>Donne: 20</v>
      </c>
      <c r="I88" s="230" t="str">
        <f>IFERROR(__xludf.DUMMYFUNCTION(" ""❌ Errati: "" &amp; ARRAYFORMULA(SUM((TO_TEXT(I5:I86)&lt;&gt;"""") * NOT(REGEXMATCH(TO_TEXT(I5:I86), ""^(?:\+39)?3\d{8,9}$""))))
"),"❌ Errati: 0")</f>
        <v>❌ Errati: 0</v>
      </c>
      <c r="J88" s="230" t="str">
        <f>IFERROR(__xludf.DUMMYFUNCTION(" ""❌ Errati: "" &amp; ARRAYFORMULA(SUM(IF((TO_TEXT(J5:J86) &lt;&gt; """") * NOT(REGEXMATCH(TO_TEXT(J5:J86), ""^[A-Z]{6}\d{2}[A-Z]\d{2}[A-Z]\d{3}[A-Z]$"")), 1, 0)))
"),"❌ Errati: 0")</f>
        <v>❌ Errati: 0</v>
      </c>
      <c r="K88" s="233" t="str">
        <f>IFERROR(__xludf.DUMMYFUNCTION(" ""❌ Errate: "" &amp; ARRAYFORMULA(SUM(IF((TO_TEXT(K5:K86)&lt;&gt;"""") * NOT(REGEXMATCH(TO_TEXT(K5:K86), ""^[a-zA-Z0-9._%+-]+@[a-zA-Z0-9.-]+\.[a-zA-Z]{2,}$"")), 1, 0)))
"),"❌ Errate: 0")</f>
        <v>❌ Errate: 0</v>
      </c>
      <c r="L88" s="234" t="str">
        <f> " • iscritto Donna: " &amp; COUNTIF(L3:L86,"iscritto Donna") &amp; CHAR(10) &amp;" • iscritto Uomo: " &amp; COUNTIF(L3:L86,"iscritto Uomo")</f>
        <v> • iscritto Donna: 18
 • iscritto Uomo: 24</v>
      </c>
      <c r="M88" s="235" t="str">
        <f>IFERROR(__xludf.DUMMYFUNCTION(" ""📚 CORSI: "" &amp; ARRAYFORMULA(SUM(REGEXMATCH(UPPER(TO_TEXT(M5:M86)), ""CORSO|CORSI"")*1))
"),"📚 CORSI: 40")</f>
        <v>📚 CORSI: 40</v>
      </c>
      <c r="N88" s="230"/>
      <c r="O88" s="230"/>
      <c r="P88" s="235"/>
      <c r="Q88" s="230"/>
      <c r="R88" s="231"/>
      <c r="S88" s="232" t="str">
        <f>IFERROR(__xludf.DUMMYFUNCTION(" ""📚 CORSI: "" &amp; ARRAYFORMULA(SUM(REGEXMATCH(UPPER(TO_TEXT(S5:S86)), ""CORSO|CORSI"")*1))
"),"📚 CORSI: 3")</f>
        <v>📚 CORSI: 3</v>
      </c>
      <c r="T88" s="230"/>
      <c r="U88" s="230"/>
      <c r="V88" s="231"/>
      <c r="W88" s="230"/>
      <c r="X88" s="233"/>
      <c r="Y88" s="236" t="str">
        <f>IFERROR(__xludf.DUMMYFUNCTION(" ""📚 CORSI: "" &amp; ARRAYFORMULA(SUM(REGEXMATCH(UPPER(TO_TEXT(Y5:Y86)), ""CORSO|CORSI"")*1))
"),"📚 CORSI: 0")</f>
        <v>📚 CORSI: 0</v>
      </c>
      <c r="Z88" s="237"/>
      <c r="AA88" s="238"/>
      <c r="AB88" s="230"/>
      <c r="AC88" s="239"/>
      <c r="AD88" s="231"/>
      <c r="AE88" s="240" t="str">
        <f>IFERROR(__xludf.DUMMYFUNCTION(" ""📚 CORSI: "" &amp; ARRAYFORMULA(SUM(REGEXMATCH(UPPER(TO_TEXT(AE5:AE86)), ""CORSO|CORSI"")*1))
"),"📚 CORSI: 0")</f>
        <v>📚 CORSI: 0</v>
      </c>
      <c r="AF88" s="230"/>
      <c r="AG88" s="241"/>
      <c r="AH88" s="230"/>
      <c r="AI88" s="230"/>
      <c r="AJ88" s="231"/>
      <c r="AK88" s="242"/>
      <c r="AL88" s="242"/>
      <c r="AM88" s="231"/>
      <c r="AN88" s="230" t="str">
        <f> "⛔ Scadute: " &amp; COUNTIF(AN5:AN86, "&lt;" &amp; TODAY())
</f>
        <v>⛔ Scadute: 6</v>
      </c>
      <c r="AO88" s="230"/>
      <c r="AP88" s="231" t="str">
        <f>"Compilate: " &amp; COUNTIF(AP5:AP86, "COMPILATA")
</f>
        <v>Compilate: 38</v>
      </c>
      <c r="AQ88" s="240" t="str">
        <f> "⛔ Scadute: " &amp; COUNTIF(AQ5:AQ86, "&lt;" &amp; TODAY())
</f>
        <v>⛔ Scadute: 36</v>
      </c>
      <c r="AR88" s="240"/>
      <c r="AS88" s="230"/>
      <c r="AT88" s="243"/>
      <c r="AU88" s="232" t="str">
        <f>"✅ OK: " &amp; COUNTIF(AU5:AU86, "OK")</f>
        <v>✅ OK: 43</v>
      </c>
      <c r="AV88" s="231"/>
      <c r="AW88" s="244"/>
      <c r="AX88" s="245"/>
      <c r="AY88" s="245"/>
    </row>
    <row r="89" ht="33.0" customHeight="1">
      <c r="A89" s="246" t="str">
        <f>"Giuditta: " &amp; COUNTIF(A5:A86,"Giuditta")</f>
        <v>Giuditta: 3</v>
      </c>
      <c r="B89" s="247" t="str">
        <f> "ONLINE: " &amp; COUNTIF(B5:B86, "ONLINE")</f>
        <v>ONLINE: 1</v>
      </c>
      <c r="C89" s="248"/>
      <c r="D89" s="246"/>
      <c r="E89" s="246"/>
      <c r="F89" s="246"/>
      <c r="G89" s="246" t="str">
        <f> "🧑 Maggiorenni: " &amp; COUNTIF(G5:G86, "&gt;=18")
</f>
        <v>🧑 Maggiorenni: 44</v>
      </c>
      <c r="H89" s="249" t="str">
        <f>"Uomo: " &amp; COUNTIF(H5:H86,"Uomo")</f>
        <v>Uomo: 24</v>
      </c>
      <c r="I89" s="249" t="str">
        <f>IFERROR(__xludf.DUMMYFUNCTION(" ""☎️ Fissi: "" &amp; ARRAYFORMULA(SUM(IF(REGEXMATCH(TO_TEXT(I5:I86), ""^0\d{5,}$""), 1, 0)))
"),"☎️ Fissi: 0")</f>
        <v>☎️ Fissi: 0</v>
      </c>
      <c r="J89" s="246" t="str">
        <f>IFERROR(__xludf.DUMMYFUNCTION(" ""🇮🇹 Italiani: "" &amp; ARRAYFORMULA(SUM(IF(REGEXMATCH(TO_TEXT(J5:J86), ""^[A-Z]{6}\d{2}[A-Z]\d{2}[A-Z]\d{3}[A-Z]$""), 1, 0)))
"),"🇮🇹 Italiani: 44")</f>
        <v>🇮🇹 Italiani: 44</v>
      </c>
      <c r="K89" s="250" t="str">
        <f>IFERROR(__xludf.DUMMYFUNCTION(" ""♻️ Duplicate: "" &amp; COUNTIF(K5:K86, ""&lt;&gt;"") - COUNTA(UNIQUE(FILTER(K5:K86, K5:K86&lt;&gt;"""")))
"),"♻️ Duplicate: 0")</f>
        <v>♻️ Duplicate: 0</v>
      </c>
      <c r="L89" s="248" t="str">
        <f> " • deve pagare D: " &amp; COUNTIF(L3:L86,"deve pagare D") &amp; CHAR(10) &amp;" • deve pagare U: " &amp; COUNTIF(L3:L86,"deve pagare U")</f>
        <v> • deve pagare D: 1
 • deve pagare U: 0</v>
      </c>
      <c r="M89" s="247" t="str">
        <f t="array" ref="M89"> "🟢 OPEN: " &amp; SUM((LEN(UPPER(M5:M86)) - LEN(SUBSTITUTE(UPPER(M5:M86), "OPEN", ""))) / LEN("OPEN"))
</f>
        <v>🟢 OPEN: 4</v>
      </c>
      <c r="N89" s="249"/>
      <c r="O89" s="246"/>
      <c r="P89" s="247"/>
      <c r="Q89" s="246"/>
      <c r="R89" s="247"/>
      <c r="S89" s="248" t="str">
        <f t="array" ref="S89"> "🟢 OPEN: " &amp; SUM((LEN(UPPER(S5:S86)) - LEN(SUBSTITUTE(UPPER(S5:S86), "OPEN", ""))) / LEN("OPEN"))
</f>
        <v>🟢 OPEN: 0</v>
      </c>
      <c r="T89" s="246"/>
      <c r="U89" s="246"/>
      <c r="V89" s="247"/>
      <c r="W89" s="246"/>
      <c r="X89" s="251"/>
      <c r="Y89" s="252" t="str">
        <f t="array" ref="Y89"> "🟢 OPEN: " &amp; SUM((LEN(UPPER(Y5:Y86)) - LEN(SUBSTITUTE(UPPER(Y5:Y86), "OPEN", ""))) / LEN("OPEN"))
</f>
        <v>🟢 OPEN: 0</v>
      </c>
      <c r="Z89" s="253"/>
      <c r="AA89" s="254"/>
      <c r="AB89" s="246"/>
      <c r="AC89" s="246"/>
      <c r="AD89" s="247"/>
      <c r="AE89" s="255" t="str">
        <f t="array" ref="AE89"> "🟢 OPEN: " &amp; SUM((LEN(UPPER(AE5:AE86)) - LEN(SUBSTITUTE(UPPER(AE5:AE86), "OPEN", ""))) / LEN("OPEN"))
</f>
        <v>🟢 OPEN: 0</v>
      </c>
      <c r="AF89" s="246"/>
      <c r="AG89" s="256"/>
      <c r="AH89" s="246"/>
      <c r="AI89" s="246"/>
      <c r="AJ89" s="247"/>
      <c r="AK89" s="257"/>
      <c r="AL89" s="257"/>
      <c r="AM89" s="247"/>
      <c r="AN89" s="258" t="str">
        <f> "✅ Valide: " &amp; COUNTIF(AN5:AN86, "&gt;=" &amp; TODAY())
</f>
        <v>✅ Valide: 38</v>
      </c>
      <c r="AO89" s="246"/>
      <c r="AP89" s="247" t="str">
        <f>"Non Compilate: " &amp; COUNTIF(AP5:AP86, "NON COMPILATA")
</f>
        <v>Non Compilate: 6</v>
      </c>
      <c r="AQ89" s="255" t="str">
        <f> "✅ Valide: " &amp; COUNTIF(AQ5:AQ86, "&gt;=" &amp; TODAY())
</f>
        <v>✅ Valide: 8</v>
      </c>
      <c r="AR89" s="255"/>
      <c r="AS89" s="239"/>
      <c r="AT89" s="259"/>
      <c r="AU89" s="248" t="str">
        <f>"❌ ERRORE: " &amp; COUNTIF(AU5:AU86, "ERRORE")</f>
        <v>❌ ERRORE: 1</v>
      </c>
      <c r="AV89" s="247"/>
      <c r="AW89" s="159"/>
      <c r="AX89" s="260"/>
      <c r="AY89" s="260"/>
    </row>
    <row r="90" ht="33.0" customHeight="1">
      <c r="A90" s="239" t="str">
        <f>"Nura: " &amp; COUNTIF(A5:A86,"Nura")</f>
        <v>Nura: 16</v>
      </c>
      <c r="B90" s="261" t="str">
        <f> "Email: " &amp; COUNTIF(B5:B86, "Email")</f>
        <v>Email: 1</v>
      </c>
      <c r="C90" s="262"/>
      <c r="D90" s="239"/>
      <c r="E90" s="239"/>
      <c r="F90" s="239"/>
      <c r="G90" s="239"/>
      <c r="H90" s="263"/>
      <c r="I90" s="239"/>
      <c r="J90" s="239"/>
      <c r="K90" s="251"/>
      <c r="L90" s="262" t="str">
        <f> " • Omaggio D: " &amp; COUNTIF(L3:L86,"omaggio D") &amp; CHAR(10) &amp; " • Omaggio U: " &amp; COUNTIF(L3:L86,"omaggio U")</f>
        <v> • Omaggio D: 0
 • Omaggio U: 0</v>
      </c>
      <c r="M90" s="261" t="str">
        <f>IFERROR(__xludf.DUMMYFUNCTION(" ""💳 QUOTA tessera: "" &amp; ARRAYFORMULA(SUM(REGEXMATCH(UPPER(TO_TEXT(M5:M86)), ""QUOTA TESSERA"")*1))
"),"💳 QUOTA tessera: 33")</f>
        <v>💳 QUOTA tessera: 33</v>
      </c>
      <c r="N90" s="239"/>
      <c r="O90" s="239"/>
      <c r="P90" s="261"/>
      <c r="Q90" s="239"/>
      <c r="R90" s="261"/>
      <c r="S90" s="262" t="str">
        <f>IFERROR(__xludf.DUMMYFUNCTION(" ""💳 QUOTA tessera: "" &amp; ARRAYFORMULA(SUM(REGEXMATCH(UPPER(TO_TEXT(S5:S86)), ""QUOTA TESSERA"")*1))
"),"💳 QUOTA tessera: 0")</f>
        <v>💳 QUOTA tessera: 0</v>
      </c>
      <c r="T90" s="239"/>
      <c r="U90" s="239"/>
      <c r="V90" s="261"/>
      <c r="W90" s="239"/>
      <c r="X90" s="251"/>
      <c r="Y90" s="252" t="str">
        <f>IFERROR(__xludf.DUMMYFUNCTION(" ""💳 QUOTA tessera: "" &amp; ARRAYFORMULA(SUM(REGEXMATCH(UPPER(TO_TEXT(Y5:Y86)), ""QUOTA TESSERA"")*1))
"),"💳 QUOTA tessera: 0")</f>
        <v>💳 QUOTA tessera: 0</v>
      </c>
      <c r="Z90" s="251"/>
      <c r="AA90" s="238"/>
      <c r="AB90" s="239"/>
      <c r="AC90" s="239"/>
      <c r="AD90" s="261"/>
      <c r="AE90" s="264" t="str">
        <f>IFERROR(__xludf.DUMMYFUNCTION(" ""💳 QUOTA tessera: "" &amp; ARRAYFORMULA(SUM(REGEXMATCH(UPPER(TO_TEXT(AE5:AE86)), ""QUOTA TESSERA"")*1))
"),"💳 QUOTA tessera: 0")</f>
        <v>💳 QUOTA tessera: 0</v>
      </c>
      <c r="AF90" s="239"/>
      <c r="AG90" s="265"/>
      <c r="AH90" s="239"/>
      <c r="AI90" s="239"/>
      <c r="AJ90" s="261"/>
      <c r="AK90" s="266"/>
      <c r="AL90" s="267"/>
      <c r="AM90" s="261"/>
      <c r="AN90" s="239"/>
      <c r="AO90" s="239"/>
      <c r="AP90" s="261"/>
      <c r="AQ90" s="264"/>
      <c r="AR90" s="264"/>
      <c r="AS90" s="239"/>
      <c r="AT90" s="268"/>
      <c r="AU90" s="262"/>
      <c r="AV90" s="261"/>
      <c r="AW90" s="159"/>
      <c r="AX90" s="269"/>
      <c r="AY90" s="269"/>
    </row>
    <row r="91" ht="33.0" customHeight="1">
      <c r="A91" s="246" t="str">
        <f>"Joel: " &amp; COUNTIF(A5:A86,"Joel")</f>
        <v>Joel: 4</v>
      </c>
      <c r="B91" s="261" t="str">
        <f> "Bonifico: " &amp; COUNTIF(B5:B86, "Bonifico")</f>
        <v>Bonifico: 5</v>
      </c>
      <c r="C91" s="248"/>
      <c r="D91" s="246"/>
      <c r="E91" s="246"/>
      <c r="F91" s="246"/>
      <c r="G91" s="246"/>
      <c r="H91" s="270"/>
      <c r="I91" s="246"/>
      <c r="J91" s="246"/>
      <c r="K91" s="250"/>
      <c r="L91" s="248" t="str">
        <f> " • prova Donna: " &amp; COUNTIF(L3:L86,"prova Donna") &amp; CHAR(10) &amp; " • prova Uomo: " &amp; COUNTIF(L3:L86,"prova Uomo") &amp; CHAR(10) &amp; " • lezione walfare: " &amp; COUNTIF(L3:L86,"lezione walfare")</f>
        <v> • prova Donna: 0
 • prova Uomo: 0
 • lezione walfare: 0</v>
      </c>
      <c r="M91" s="247" t="str">
        <f>IFERROR(__xludf.DUMMYFUNCTION(" ""📆 LEZIONI: "" &amp; ARRAYFORMULA(SUM(REGEXMATCH(UPPER(TO_TEXT(M5:M86)), ""LEZIONE|LEZIONI"")*1))
"),"📆 LEZIONI: 1")</f>
        <v>📆 LEZIONI: 1</v>
      </c>
      <c r="N91" s="246"/>
      <c r="O91" s="246"/>
      <c r="P91" s="247"/>
      <c r="Q91" s="246"/>
      <c r="R91" s="247"/>
      <c r="S91" s="248" t="str">
        <f>IFERROR(__xludf.DUMMYFUNCTION(" ""📆 LEZIONI: "" &amp; ARRAYFORMULA(SUM(REGEXMATCH(UPPER(TO_TEXT(S5:S86)), ""LEZIONE|LEZIONI"")*1))
"),"📆 LEZIONI: 0")</f>
        <v>📆 LEZIONI: 0</v>
      </c>
      <c r="T91" s="246"/>
      <c r="U91" s="246"/>
      <c r="V91" s="247"/>
      <c r="W91" s="246"/>
      <c r="X91" s="250"/>
      <c r="Y91" s="271" t="str">
        <f>IFERROR(__xludf.DUMMYFUNCTION(" ""📆 LEZIONI: "" &amp; ARRAYFORMULA(SUM(REGEXMATCH(UPPER(TO_TEXT(Y5:Y86)), ""LEZIONE|LEZIONI"")*1))
"),"📆 LEZIONI: 0")</f>
        <v>📆 LEZIONI: 0</v>
      </c>
      <c r="Z91" s="250"/>
      <c r="AA91" s="254"/>
      <c r="AB91" s="246"/>
      <c r="AC91" s="246"/>
      <c r="AD91" s="247"/>
      <c r="AE91" s="255" t="str">
        <f>IFERROR(__xludf.DUMMYFUNCTION(" ""📆 LEZIONI: "" &amp; ARRAYFORMULA(SUM(REGEXMATCH(UPPER(TO_TEXT(AE5:AE86)), ""LEZIONE|LEZIONI"")*1))
"),"📆 LEZIONI: 0")</f>
        <v>📆 LEZIONI: 0</v>
      </c>
      <c r="AF91" s="246"/>
      <c r="AG91" s="256"/>
      <c r="AH91" s="246"/>
      <c r="AI91" s="246"/>
      <c r="AJ91" s="247"/>
      <c r="AK91" s="257"/>
      <c r="AL91" s="272"/>
      <c r="AM91" s="247"/>
      <c r="AN91" s="246"/>
      <c r="AO91" s="246"/>
      <c r="AP91" s="247"/>
      <c r="AQ91" s="255"/>
      <c r="AR91" s="255"/>
      <c r="AS91" s="239"/>
      <c r="AT91" s="259"/>
      <c r="AU91" s="248"/>
      <c r="AV91" s="247"/>
      <c r="AW91" s="159"/>
      <c r="AX91" s="260"/>
      <c r="AY91" s="260"/>
    </row>
    <row r="92" ht="33.0" customHeight="1">
      <c r="A92" s="239" t="str">
        <f>"Estefany: " &amp; COUNTIF(A5:A86,"Estefany")</f>
        <v>Estefany: 4</v>
      </c>
      <c r="B92" s="261" t="str">
        <f> "Telefono: " &amp; COUNTIF(B5:B86, "Telefono")</f>
        <v>Telefono: 0</v>
      </c>
      <c r="C92" s="262"/>
      <c r="D92" s="239"/>
      <c r="E92" s="239"/>
      <c r="F92" s="239"/>
      <c r="G92" s="239"/>
      <c r="H92" s="263"/>
      <c r="I92" s="239"/>
      <c r="J92" s="239"/>
      <c r="K92" s="251"/>
      <c r="L92" s="262" t="str">
        <f> " • prova pagata D: " &amp; COUNTIF(L3:L86,"prova pagata D") &amp; CHAR(10) &amp; " • prova pagata U: " &amp; COUNTIF(L3:L86,"prova pagata U")</f>
        <v> • prova pagata D: 1
 • prova pagata U: 0</v>
      </c>
      <c r="M92" s="261"/>
      <c r="N92" s="239"/>
      <c r="O92" s="239"/>
      <c r="P92" s="261"/>
      <c r="Q92" s="239"/>
      <c r="R92" s="261"/>
      <c r="S92" s="262"/>
      <c r="T92" s="239"/>
      <c r="U92" s="239"/>
      <c r="V92" s="261"/>
      <c r="W92" s="239"/>
      <c r="X92" s="251"/>
      <c r="Y92" s="252"/>
      <c r="Z92" s="251"/>
      <c r="AA92" s="238"/>
      <c r="AB92" s="239"/>
      <c r="AC92" s="239"/>
      <c r="AD92" s="261"/>
      <c r="AE92" s="264"/>
      <c r="AF92" s="239"/>
      <c r="AG92" s="265"/>
      <c r="AH92" s="239"/>
      <c r="AI92" s="239"/>
      <c r="AJ92" s="261"/>
      <c r="AK92" s="266"/>
      <c r="AL92" s="267"/>
      <c r="AM92" s="261"/>
      <c r="AN92" s="239"/>
      <c r="AO92" s="239"/>
      <c r="AP92" s="261"/>
      <c r="AQ92" s="264"/>
      <c r="AR92" s="264"/>
      <c r="AS92" s="239"/>
      <c r="AT92" s="268"/>
      <c r="AU92" s="262"/>
      <c r="AV92" s="261"/>
      <c r="AW92" s="159"/>
      <c r="AX92" s="269"/>
      <c r="AY92" s="269"/>
    </row>
    <row r="93" ht="33.0" customHeight="1">
      <c r="A93" s="246" t="str">
        <f>"SITO: " &amp; COUNTIF(A5:A86,"Sito")</f>
        <v>SITO: 0</v>
      </c>
      <c r="B93" s="247"/>
      <c r="C93" s="248"/>
      <c r="D93" s="246"/>
      <c r="E93" s="246"/>
      <c r="F93" s="246"/>
      <c r="G93" s="246"/>
      <c r="H93" s="270"/>
      <c r="I93" s="246"/>
      <c r="J93" s="246"/>
      <c r="K93" s="250"/>
      <c r="L93" s="248"/>
      <c r="M93" s="247"/>
      <c r="N93" s="246"/>
      <c r="O93" s="246"/>
      <c r="P93" s="247"/>
      <c r="Q93" s="246"/>
      <c r="R93" s="247"/>
      <c r="S93" s="248"/>
      <c r="T93" s="246"/>
      <c r="U93" s="246"/>
      <c r="V93" s="247"/>
      <c r="W93" s="246"/>
      <c r="X93" s="250"/>
      <c r="Y93" s="271"/>
      <c r="Z93" s="250"/>
      <c r="AA93" s="254"/>
      <c r="AB93" s="246"/>
      <c r="AC93" s="246"/>
      <c r="AD93" s="247"/>
      <c r="AE93" s="255"/>
      <c r="AF93" s="246"/>
      <c r="AG93" s="256"/>
      <c r="AH93" s="246"/>
      <c r="AI93" s="246"/>
      <c r="AJ93" s="247"/>
      <c r="AK93" s="257"/>
      <c r="AL93" s="272"/>
      <c r="AM93" s="247"/>
      <c r="AN93" s="246"/>
      <c r="AO93" s="246"/>
      <c r="AP93" s="247"/>
      <c r="AQ93" s="255"/>
      <c r="AR93" s="255"/>
      <c r="AS93" s="239"/>
      <c r="AT93" s="259"/>
      <c r="AU93" s="248"/>
      <c r="AV93" s="247"/>
      <c r="AW93" s="159"/>
      <c r="AX93" s="260"/>
      <c r="AY93" s="260"/>
    </row>
  </sheetData>
  <mergeCells count="23">
    <mergeCell ref="AF1:AG1"/>
    <mergeCell ref="AH1:AK1"/>
    <mergeCell ref="AP1:AV1"/>
    <mergeCell ref="AL2:AP2"/>
    <mergeCell ref="AU2:AV2"/>
    <mergeCell ref="A4:B4"/>
    <mergeCell ref="G4:AY4"/>
    <mergeCell ref="A2:B2"/>
    <mergeCell ref="C2:F2"/>
    <mergeCell ref="G2:K2"/>
    <mergeCell ref="L2:R2"/>
    <mergeCell ref="S2:X2"/>
    <mergeCell ref="Y2:AD2"/>
    <mergeCell ref="AE2:AJ2"/>
    <mergeCell ref="A45:B45"/>
    <mergeCell ref="G45:AY45"/>
    <mergeCell ref="C1:D1"/>
    <mergeCell ref="E1:F1"/>
    <mergeCell ref="H1:I1"/>
    <mergeCell ref="X1:Y1"/>
    <mergeCell ref="Z1:AA1"/>
    <mergeCell ref="AB1:AC1"/>
    <mergeCell ref="AD1:AE1"/>
  </mergeCells>
  <conditionalFormatting sqref="AK5:AK86">
    <cfRule type="notContainsBlanks" dxfId="0" priority="1">
      <formula>LEN(TRIM(AK5))&gt;0</formula>
    </cfRule>
  </conditionalFormatting>
  <conditionalFormatting sqref="A5:AT86">
    <cfRule type="expression" dxfId="1" priority="2">
      <formula>OR($L5="deve pagare U",$L5="deve pagare D")</formula>
    </cfRule>
  </conditionalFormatting>
  <conditionalFormatting sqref="AQ5:AQ86">
    <cfRule type="expression" dxfId="2" priority="3">
      <formula>AND($AQ5&lt;TODAY(),$AQ5&lt;&gt;"")</formula>
    </cfRule>
  </conditionalFormatting>
  <conditionalFormatting sqref="AL5:AP86">
    <cfRule type="expression" dxfId="2" priority="4">
      <formula>AND($AN5&lt;TODAY(),$AN5&lt;&gt;"")</formula>
    </cfRule>
  </conditionalFormatting>
  <conditionalFormatting sqref="A5:AT86">
    <cfRule type="expression" dxfId="3" priority="5">
      <formula>AND(   LEN(TRIM($AL5))=0,   LEN(TRIM($AM5))=0,   LEN(TRIM($J5))&gt;0,   REGEXMATCH(TRIM($L5), "(?i)^(iscritto Donna|iscritto Uomo|deve pagare D|deve pagare U)$") )</formula>
    </cfRule>
  </conditionalFormatting>
  <conditionalFormatting sqref="I5:I86">
    <cfRule type="expression" dxfId="4" priority="6">
      <formula>AND(I5&lt;&gt;"", NOT(REGEXMATCH(I5, "^(?:\+39)?3\d{8,9}$")))</formula>
    </cfRule>
  </conditionalFormatting>
  <conditionalFormatting sqref="K5:K86">
    <cfRule type="expression" dxfId="4" priority="7">
      <formula>AND(K5&lt;&gt;"", NOT(REGEXMATCH(K5, "^[a-zA-Z0-9._%+-]+@[a-zA-Z0-9.-]+\.[a-zA-Z]{2,}$")))</formula>
    </cfRule>
  </conditionalFormatting>
  <conditionalFormatting sqref="J5:J86">
    <cfRule type="expression" dxfId="4" priority="8">
      <formula>AND(J5&lt;&gt;"", NOT(REGEXMATCH(J5, "^[A-Z]{6}[0-9]{2}[A-EHLMPRST]{1}[0-9]{2}[A-Z]{1}[0-9]{3}[A-Z]{1}$")))</formula>
    </cfRule>
  </conditionalFormatting>
  <conditionalFormatting sqref="AU5:AV86">
    <cfRule type="expression" dxfId="4" priority="9">
      <formula>$AU5="ERRORE"</formula>
    </cfRule>
  </conditionalFormatting>
  <conditionalFormatting sqref="A5:AV86">
    <cfRule type="expression" dxfId="5" priority="10">
      <formula>AND(ISBLANK(A5), ISNUMBER(FIND(ADDRESS(ROW(), COLUMN(), 4), $AT5)))</formula>
    </cfRule>
  </conditionalFormatting>
  <conditionalFormatting sqref="A5:AT86">
    <cfRule type="expression" dxfId="6" priority="11">
      <formula>OR($L5="prova pagata D", $L5="prova pagata U")</formula>
    </cfRule>
  </conditionalFormatting>
  <conditionalFormatting sqref="A5:AT86">
    <cfRule type="expression" dxfId="7" priority="12">
      <formula>$L5="lezione welfare"</formula>
    </cfRule>
  </conditionalFormatting>
  <conditionalFormatting sqref="A5:AT86">
    <cfRule type="expression" dxfId="8" priority="13">
      <formula>OR($L5="prova Donna")</formula>
    </cfRule>
  </conditionalFormatting>
  <conditionalFormatting sqref="A5:AT86">
    <cfRule type="expression" dxfId="9" priority="14">
      <formula>OR($L5="prova Uomo")</formula>
    </cfRule>
  </conditionalFormatting>
  <conditionalFormatting sqref="A5:AV86">
    <cfRule type="expression" dxfId="10" priority="15">
      <formula>$AU5="OK"</formula>
    </cfRule>
  </conditionalFormatting>
  <hyperlinks>
    <hyperlink r:id="rId1" location="gid=1856535678" ref="AO1"/>
  </hyperlinks>
  <printOptions/>
  <pageMargins bottom="0.25" footer="0.0" header="0.0" left="0.25" right="0.25" top="0.5"/>
  <pageSetup scale="72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3" width="16.29"/>
    <col customWidth="1" min="4" max="55" width="11.14"/>
    <col customWidth="1" min="56" max="56" width="16.71"/>
  </cols>
  <sheetData>
    <row r="1" ht="46.5" customHeight="1">
      <c r="A1" s="273" t="str">
        <f t="array" ref="A1:A84">LISTA!C3:C86</f>
        <v>id anagrafica (C)</v>
      </c>
      <c r="B1" s="273" t="str">
        <f t="array" ref="B1:C84">LISTA!E3:F86</f>
        <v>cognome (E)</v>
      </c>
      <c r="C1" s="273" t="s">
        <v>28</v>
      </c>
      <c r="D1" s="273" t="str">
        <f>IFERROR(__xludf.DUMMYFUNCTION("ARRAYFORMULA(IMPORTRANGE(""18iHbFEZ6msv3IU3InH0K5SEgnjM_8H0uHajc7c4fMiQ"", ""elenchi!AB2""))"),"lun - 01/09/25")</f>
        <v>lun - 01/09/25</v>
      </c>
      <c r="E1" s="274" t="str">
        <f>IFERROR(__xludf.DUMMYFUNCTION("ARRAYFORMULA(IMPORTRANGE(""18iHbFEZ6msv3IU3InH0K5SEgnjM_8H0uHajc7c4fMiQ"", ""elenchi!AB3""))"),"lun - 08/09/25
PROVA FITNESS
PROVA DANZA")</f>
        <v>lun - 08/09/25
PROVA FITNESS
PROVA DANZA</v>
      </c>
      <c r="F1" s="274" t="str">
        <f>IFERROR(__xludf.DUMMYFUNCTION("ARRAYFORMULA(IMPORTRANGE(""18iHbFEZ6msv3IU3InH0K5SEgnjM_8H0uHajc7c4fMiQ"", ""elenchi!AB4""))"),"lun - 15/09/25
PROVA BALLO
PROVA AERIAL")</f>
        <v>lun - 15/09/25
PROVA BALLO
PROVA AERIAL</v>
      </c>
      <c r="G1" s="274" t="str">
        <f>IFERROR(__xludf.DUMMYFUNCTION("ARRAYFORMULA(IMPORTRANGE(""18iHbFEZ6msv3IU3InH0K5SEgnjM_8H0uHajc7c4fMiQ"", ""elenchi!AB5""))"),"lun - 22/09/25
PROVA BAMBINI E RAGAZZI")</f>
        <v>lun - 22/09/25
PROVA BAMBINI E RAGAZZI</v>
      </c>
      <c r="H1" s="274" t="str">
        <f>IFERROR(__xludf.DUMMYFUNCTION("ARRAYFORMULA(IMPORTRANGE(""18iHbFEZ6msv3IU3InH0K5SEgnjM_8H0uHajc7c4fMiQ"", ""elenchi!AB6""))"),"lun - 29/09/25")</f>
        <v>lun - 29/09/25</v>
      </c>
      <c r="I1" s="274" t="str">
        <f>IFERROR(__xludf.DUMMYFUNCTION("ARRAYFORMULA(IMPORTRANGE(""18iHbFEZ6msv3IU3InH0K5SEgnjM_8H0uHajc7c4fMiQ"", ""elenchi!AB7""))"),"lun - 06/10/25")</f>
        <v>lun - 06/10/25</v>
      </c>
      <c r="J1" s="274" t="str">
        <f>IFERROR(__xludf.DUMMYFUNCTION("ARRAYFORMULA(IMPORTRANGE(""18iHbFEZ6msv3IU3InH0K5SEgnjM_8H0uHajc7c4fMiQ"", ""elenchi!AB8""))"),"lun - 13/10/25")</f>
        <v>lun - 13/10/25</v>
      </c>
      <c r="K1" s="274" t="str">
        <f>IFERROR(__xludf.DUMMYFUNCTION("ARRAYFORMULA(IMPORTRANGE(""18iHbFEZ6msv3IU3InH0K5SEgnjM_8H0uHajc7c4fMiQ"", ""elenchi!AB9""))"),"lun - 20/10/25")</f>
        <v>lun - 20/10/25</v>
      </c>
      <c r="L1" s="274" t="str">
        <f>IFERROR(__xludf.DUMMYFUNCTION("ARRAYFORMULA(IMPORTRANGE(""18iHbFEZ6msv3IU3InH0K5SEgnjM_8H0uHajc7c4fMiQ"", ""elenchi!AB10""))"),"lun - 27/10/25")</f>
        <v>lun - 27/10/25</v>
      </c>
      <c r="M1" s="274" t="str">
        <f>IFERROR(__xludf.DUMMYFUNCTION("ARRAYFORMULA(IMPORTRANGE(""18iHbFEZ6msv3IU3InH0K5SEgnjM_8H0uHajc7c4fMiQ"", ""elenchi!AB11""))"),"lun - 03/11/25")</f>
        <v>lun - 03/11/25</v>
      </c>
      <c r="N1" s="274" t="str">
        <f>IFERROR(__xludf.DUMMYFUNCTION("ARRAYFORMULA(IMPORTRANGE(""18iHbFEZ6msv3IU3InH0K5SEgnjM_8H0uHajc7c4fMiQ"", ""elenchi!AB12""))"),"lun - 10/11/25")</f>
        <v>lun - 10/11/25</v>
      </c>
      <c r="O1" s="274" t="str">
        <f>IFERROR(__xludf.DUMMYFUNCTION("ARRAYFORMULA(IMPORTRANGE(""18iHbFEZ6msv3IU3InH0K5SEgnjM_8H0uHajc7c4fMiQ"", ""elenchi!AB13""))"),"lun - 17/11/25")</f>
        <v>lun - 17/11/25</v>
      </c>
      <c r="P1" s="274" t="str">
        <f>IFERROR(__xludf.DUMMYFUNCTION("ARRAYFORMULA(IMPORTRANGE(""18iHbFEZ6msv3IU3InH0K5SEgnjM_8H0uHajc7c4fMiQ"", ""elenchi!AB14""))"),"lun - 24/11/25")</f>
        <v>lun - 24/11/25</v>
      </c>
      <c r="Q1" s="274" t="str">
        <f>IFERROR(__xludf.DUMMYFUNCTION("ARRAYFORMULA(IMPORTRANGE(""18iHbFEZ6msv3IU3InH0K5SEgnjM_8H0uHajc7c4fMiQ"", ""elenchi!AB15""))"),"lun - 01/12/25")</f>
        <v>lun - 01/12/25</v>
      </c>
      <c r="R1" s="274" t="str">
        <f>IFERROR(__xludf.DUMMYFUNCTION("ARRAYFORMULA(IMPORTRANGE(""18iHbFEZ6msv3IU3InH0K5SEgnjM_8H0uHajc7c4fMiQ"", ""elenchi!AB16""))"),"lun - 08/12/25
CHIUSO")</f>
        <v>lun - 08/12/25
CHIUSO</v>
      </c>
      <c r="S1" s="274" t="str">
        <f>IFERROR(__xludf.DUMMYFUNCTION("ARRAYFORMULA(IMPORTRANGE(""18iHbFEZ6msv3IU3InH0K5SEgnjM_8H0uHajc7c4fMiQ"", ""elenchi!AB17""))"),"lun - 15/12/25")</f>
        <v>lun - 15/12/25</v>
      </c>
      <c r="T1" s="274" t="str">
        <f>IFERROR(__xludf.DUMMYFUNCTION("ARRAYFORMULA(IMPORTRANGE(""18iHbFEZ6msv3IU3InH0K5SEgnjM_8H0uHajc7c4fMiQ"", ""elenchi!AB18""))"),"lun - 22/12/25
NO BAMBINI")</f>
        <v>lun - 22/12/25
NO BAMBINI</v>
      </c>
      <c r="U1" s="274" t="str">
        <f>IFERROR(__xludf.DUMMYFUNCTION("ARRAYFORMULA(IMPORTRANGE(""18iHbFEZ6msv3IU3InH0K5SEgnjM_8H0uHajc7c4fMiQ"", ""elenchi!AB19""))"),"lun - 29/12/25
NO CORSI")</f>
        <v>lun - 29/12/25
NO CORSI</v>
      </c>
      <c r="V1" s="274" t="str">
        <f>IFERROR(__xludf.DUMMYFUNCTION("ARRAYFORMULA(IMPORTRANGE(""18iHbFEZ6msv3IU3InH0K5SEgnjM_8H0uHajc7c4fMiQ"", ""elenchi!AB20""))"),"lun - 05/01/26
NO CORSI")</f>
        <v>lun - 05/01/26
NO CORSI</v>
      </c>
      <c r="W1" s="274" t="str">
        <f>IFERROR(__xludf.DUMMYFUNCTION("ARRAYFORMULA(IMPORTRANGE(""18iHbFEZ6msv3IU3InH0K5SEgnjM_8H0uHajc7c4fMiQ"", ""elenchi!AB21""))"),"lun - 12/01/26")</f>
        <v>lun - 12/01/26</v>
      </c>
      <c r="X1" s="274" t="str">
        <f>IFERROR(__xludf.DUMMYFUNCTION("ARRAYFORMULA(IMPORTRANGE(""18iHbFEZ6msv3IU3InH0K5SEgnjM_8H0uHajc7c4fMiQ"", ""elenchi!AB22""))"),"lun - 19/01/26")</f>
        <v>lun - 19/01/26</v>
      </c>
      <c r="Y1" s="274" t="str">
        <f>IFERROR(__xludf.DUMMYFUNCTION("ARRAYFORMULA(IMPORTRANGE(""18iHbFEZ6msv3IU3InH0K5SEgnjM_8H0uHajc7c4fMiQ"", ""elenchi!AB23""))"),"lun - 26/01/26")</f>
        <v>lun - 26/01/26</v>
      </c>
      <c r="Z1" s="274" t="str">
        <f>IFERROR(__xludf.DUMMYFUNCTION("ARRAYFORMULA(IMPORTRANGE(""18iHbFEZ6msv3IU3InH0K5SEgnjM_8H0uHajc7c4fMiQ"", ""elenchi!AB24""))"),"lun - 02/02/26")</f>
        <v>lun - 02/02/26</v>
      </c>
      <c r="AA1" s="274" t="str">
        <f>IFERROR(__xludf.DUMMYFUNCTION("ARRAYFORMULA(IMPORTRANGE(""18iHbFEZ6msv3IU3InH0K5SEgnjM_8H0uHajc7c4fMiQ"", ""elenchi!AB25""))"),"lun - 09/02/26")</f>
        <v>lun - 09/02/26</v>
      </c>
      <c r="AB1" s="274" t="str">
        <f>IFERROR(__xludf.DUMMYFUNCTION("ARRAYFORMULA(IMPORTRANGE(""18iHbFEZ6msv3IU3InH0K5SEgnjM_8H0uHajc7c4fMiQ"", ""elenchi!AB26""))"),"lun - 16/02/26")</f>
        <v>lun - 16/02/26</v>
      </c>
      <c r="AC1" s="274" t="str">
        <f>IFERROR(__xludf.DUMMYFUNCTION("ARRAYFORMULA(IMPORTRANGE(""18iHbFEZ6msv3IU3InH0K5SEgnjM_8H0uHajc7c4fMiQ"", ""elenchi!AB27""))"),"lun - 23/02/26")</f>
        <v>lun - 23/02/26</v>
      </c>
      <c r="AD1" s="274" t="str">
        <f>IFERROR(__xludf.DUMMYFUNCTION("ARRAYFORMULA(IMPORTRANGE(""18iHbFEZ6msv3IU3InH0K5SEgnjM_8H0uHajc7c4fMiQ"", ""elenchi!AB28""))"),"lun - 02/03/26")</f>
        <v>lun - 02/03/26</v>
      </c>
      <c r="AE1" s="274" t="str">
        <f>IFERROR(__xludf.DUMMYFUNCTION("ARRAYFORMULA(IMPORTRANGE(""18iHbFEZ6msv3IU3InH0K5SEgnjM_8H0uHajc7c4fMiQ"", ""elenchi!AB29""))"),"lun - 09/03/26")</f>
        <v>lun - 09/03/26</v>
      </c>
      <c r="AF1" s="274" t="str">
        <f>IFERROR(__xludf.DUMMYFUNCTION("ARRAYFORMULA(IMPORTRANGE(""18iHbFEZ6msv3IU3InH0K5SEgnjM_8H0uHajc7c4fMiQ"", ""elenchi!AB30""))"),"lun - 16/03/26")</f>
        <v>lun - 16/03/26</v>
      </c>
      <c r="AG1" s="274" t="str">
        <f>IFERROR(__xludf.DUMMYFUNCTION("ARRAYFORMULA(IMPORTRANGE(""18iHbFEZ6msv3IU3InH0K5SEgnjM_8H0uHajc7c4fMiQ"", ""elenchi!AB31""))"),"lun - 23/03/26")</f>
        <v>lun - 23/03/26</v>
      </c>
      <c r="AH1" s="274" t="str">
        <f>IFERROR(__xludf.DUMMYFUNCTION("ARRAYFORMULA(IMPORTRANGE(""18iHbFEZ6msv3IU3InH0K5SEgnjM_8H0uHajc7c4fMiQ"", ""elenchi!AB32""))"),"lun - 30/03/26")</f>
        <v>lun - 30/03/26</v>
      </c>
      <c r="AI1" s="274" t="str">
        <f>IFERROR(__xludf.DUMMYFUNCTION("ARRAYFORMULA(IMPORTRANGE(""18iHbFEZ6msv3IU3InH0K5SEgnjM_8H0uHajc7c4fMiQ"", ""elenchi!AB33""))"),"lun - 06/04/26
CHIUSO")</f>
        <v>lun - 06/04/26
CHIUSO</v>
      </c>
      <c r="AJ1" s="274" t="str">
        <f>IFERROR(__xludf.DUMMYFUNCTION("ARRAYFORMULA(IMPORTRANGE(""18iHbFEZ6msv3IU3InH0K5SEgnjM_8H0uHajc7c4fMiQ"", ""elenchi!AB34""))"),"lun - 13/04/26")</f>
        <v>lun - 13/04/26</v>
      </c>
      <c r="AK1" s="274" t="str">
        <f>IFERROR(__xludf.DUMMYFUNCTION("ARRAYFORMULA(IMPORTRANGE(""18iHbFEZ6msv3IU3InH0K5SEgnjM_8H0uHajc7c4fMiQ"", ""elenchi!AB35""))"),"lun - 20/04/26")</f>
        <v>lun - 20/04/26</v>
      </c>
      <c r="AL1" s="274" t="str">
        <f>IFERROR(__xludf.DUMMYFUNCTION("ARRAYFORMULA(IMPORTRANGE(""18iHbFEZ6msv3IU3InH0K5SEgnjM_8H0uHajc7c4fMiQ"", ""elenchi!AB36""))"),"lun - 27/04/26")</f>
        <v>lun - 27/04/26</v>
      </c>
      <c r="AM1" s="274" t="str">
        <f>IFERROR(__xludf.DUMMYFUNCTION("ARRAYFORMULA(IMPORTRANGE(""18iHbFEZ6msv3IU3InH0K5SEgnjM_8H0uHajc7c4fMiQ"", ""elenchi!AB37""))"),"lun - 04/05/26")</f>
        <v>lun - 04/05/26</v>
      </c>
      <c r="AN1" s="274" t="str">
        <f>IFERROR(__xludf.DUMMYFUNCTION("ARRAYFORMULA(IMPORTRANGE(""18iHbFEZ6msv3IU3InH0K5SEgnjM_8H0uHajc7c4fMiQ"", ""elenchi!AB38""))"),"lun - 11/05/26")</f>
        <v>lun - 11/05/26</v>
      </c>
      <c r="AO1" s="274" t="str">
        <f>IFERROR(__xludf.DUMMYFUNCTION("ARRAYFORMULA(IMPORTRANGE(""18iHbFEZ6msv3IU3InH0K5SEgnjM_8H0uHajc7c4fMiQ"", ""elenchi!AB39""))"),"lun - 18/05/26")</f>
        <v>lun - 18/05/26</v>
      </c>
      <c r="AP1" s="274" t="str">
        <f>IFERROR(__xludf.DUMMYFUNCTION("ARRAYFORMULA(IMPORTRANGE(""18iHbFEZ6msv3IU3InH0K5SEgnjM_8H0uHajc7c4fMiQ"", ""elenchi!AB40""))"),"lun - 25/05/26")</f>
        <v>lun - 25/05/26</v>
      </c>
      <c r="AQ1" s="274" t="str">
        <f>IFERROR(__xludf.DUMMYFUNCTION("ARRAYFORMULA(IMPORTRANGE(""18iHbFEZ6msv3IU3InH0K5SEgnjM_8H0uHajc7c4fMiQ"", ""elenchi!AB41""))"),"lun - 01/06/26
CHIUSO")</f>
        <v>lun - 01/06/26
CHIUSO</v>
      </c>
      <c r="AR1" s="274" t="str">
        <f>IFERROR(__xludf.DUMMYFUNCTION("ARRAYFORMULA(IMPORTRANGE(""18iHbFEZ6msv3IU3InH0K5SEgnjM_8H0uHajc7c4fMiQ"", ""elenchi!AB42""))"),"lun - 08/06/26
NO BAMBINI")</f>
        <v>lun - 08/06/26
NO BAMBINI</v>
      </c>
      <c r="AS1" s="274" t="str">
        <f>IFERROR(__xludf.DUMMYFUNCTION("ARRAYFORMULA(IMPORTRANGE(""18iHbFEZ6msv3IU3InH0K5SEgnjM_8H0uHajc7c4fMiQ"", ""elenchi!AB43""))"),"lun - 15/06/26
NO BAMBINI")</f>
        <v>lun - 15/06/26
NO BAMBINI</v>
      </c>
      <c r="AT1" s="274" t="str">
        <f>IFERROR(__xludf.DUMMYFUNCTION("ARRAYFORMULA(IMPORTRANGE(""18iHbFEZ6msv3IU3InH0K5SEgnjM_8H0uHajc7c4fMiQ"", ""elenchi!AB44""))"),"lun - 22/06/26
NO BAMBINI")</f>
        <v>lun - 22/06/26
NO BAMBINI</v>
      </c>
      <c r="AU1" s="274" t="str">
        <f>IFERROR(__xludf.DUMMYFUNCTION("ARRAYFORMULA(IMPORTRANGE(""18iHbFEZ6msv3IU3InH0K5SEgnjM_8H0uHajc7c4fMiQ"", ""elenchi!AB45""))"),"lun - 29/06/26
NO BAMBINI")</f>
        <v>lun - 29/06/26
NO BAMBINI</v>
      </c>
      <c r="AV1" s="275" t="str">
        <f>IFERROR(__xludf.DUMMYFUNCTION("ARRAYFORMULA(IMPORTRANGE(""18iHbFEZ6msv3IU3InH0K5SEgnjM_8H0uHajc7c4fMiQ"", ""elenchi!AB46""))"),"")</f>
        <v/>
      </c>
      <c r="AW1" s="275" t="str">
        <f>IFERROR(__xludf.DUMMYFUNCTION("ARRAYFORMULA(IMPORTRANGE(""18iHbFEZ6msv3IU3InH0K5SEgnjM_8H0uHajc7c4fMiQ"", ""elenchi!AB47""))"),"")</f>
        <v/>
      </c>
      <c r="AX1" s="275" t="str">
        <f>IFERROR(__xludf.DUMMYFUNCTION("ARRAYFORMULA(IMPORTRANGE(""18iHbFEZ6msv3IU3InH0K5SEgnjM_8H0uHajc7c4fMiQ"", ""elenchi!AB48""))"),"")</f>
        <v/>
      </c>
      <c r="AY1" s="275" t="str">
        <f>IFERROR(__xludf.DUMMYFUNCTION("ARRAYFORMULA(IMPORTRANGE(""18iHbFEZ6msv3IU3InH0K5SEgnjM_8H0uHajc7c4fMiQ"", ""elenchi!AB49""))"),"")</f>
        <v/>
      </c>
      <c r="AZ1" s="276" t="s">
        <v>434</v>
      </c>
      <c r="BA1" s="277" t="str">
        <f t="array" ref="BA1:BA84">LISTA!L3:L86</f>
        <v>dettaglio iscrizione (N)</v>
      </c>
      <c r="BB1" s="277" t="str">
        <f t="array" ref="BB1:BB84">LISTA!AK3:AK86</f>
        <v>saldo totale (BO)</v>
      </c>
      <c r="BC1" s="278" t="str">
        <f t="array" ref="BC1:BC84">LISTA!AN3:AN86</f>
        <v>data scad 
quota tessera (CB)</v>
      </c>
      <c r="BD1" s="278" t="str">
        <f t="array" ref="BD1:BD84">LISTA!AQ3:AQ86</f>
        <v>data scad cert. medico (CF)</v>
      </c>
    </row>
    <row r="2" ht="24.0" customHeight="1">
      <c r="A2" s="279"/>
      <c r="B2" s="280">
        <v>20.0</v>
      </c>
      <c r="C2" s="281" t="s">
        <v>74</v>
      </c>
      <c r="D2" s="282" t="str">
        <f>C2</f>
        <v>DONNE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4"/>
    </row>
    <row r="3" ht="24.0" customHeight="1">
      <c r="A3" s="283" t="s">
        <v>78</v>
      </c>
      <c r="B3" s="284" t="s">
        <v>79</v>
      </c>
      <c r="C3" s="284" t="s">
        <v>80</v>
      </c>
      <c r="D3" s="285" t="b">
        <v>0</v>
      </c>
      <c r="E3" s="285" t="b">
        <v>0</v>
      </c>
      <c r="F3" s="285" t="b">
        <v>0</v>
      </c>
      <c r="G3" s="285" t="b">
        <v>0</v>
      </c>
      <c r="H3" s="285" t="b">
        <v>0</v>
      </c>
      <c r="I3" s="285" t="b">
        <v>0</v>
      </c>
      <c r="J3" s="285" t="b">
        <v>0</v>
      </c>
      <c r="K3" s="285" t="b">
        <v>0</v>
      </c>
      <c r="L3" s="285" t="b">
        <v>0</v>
      </c>
      <c r="M3" s="285" t="b">
        <v>0</v>
      </c>
      <c r="N3" s="285" t="b">
        <v>0</v>
      </c>
      <c r="O3" s="285" t="b">
        <v>0</v>
      </c>
      <c r="P3" s="285" t="b">
        <v>0</v>
      </c>
      <c r="Q3" s="285" t="b">
        <v>0</v>
      </c>
      <c r="R3" s="285" t="b">
        <v>0</v>
      </c>
      <c r="S3" s="285" t="b">
        <v>0</v>
      </c>
      <c r="T3" s="285" t="b">
        <v>0</v>
      </c>
      <c r="U3" s="285" t="b">
        <v>0</v>
      </c>
      <c r="V3" s="285" t="b">
        <v>0</v>
      </c>
      <c r="W3" s="285" t="b">
        <v>0</v>
      </c>
      <c r="X3" s="285" t="b">
        <v>0</v>
      </c>
      <c r="Y3" s="285" t="b">
        <v>0</v>
      </c>
      <c r="Z3" s="285" t="b">
        <v>0</v>
      </c>
      <c r="AA3" s="285" t="b">
        <v>0</v>
      </c>
      <c r="AB3" s="285" t="b">
        <v>0</v>
      </c>
      <c r="AC3" s="285" t="b">
        <v>0</v>
      </c>
      <c r="AD3" s="285" t="b">
        <v>0</v>
      </c>
      <c r="AE3" s="285" t="b">
        <v>0</v>
      </c>
      <c r="AF3" s="285" t="b">
        <v>0</v>
      </c>
      <c r="AG3" s="285" t="b">
        <v>0</v>
      </c>
      <c r="AH3" s="285" t="b">
        <v>0</v>
      </c>
      <c r="AI3" s="285" t="b">
        <v>0</v>
      </c>
      <c r="AJ3" s="285" t="b">
        <v>0</v>
      </c>
      <c r="AK3" s="285" t="b">
        <v>0</v>
      </c>
      <c r="AL3" s="285" t="b">
        <v>0</v>
      </c>
      <c r="AM3" s="285" t="b">
        <v>0</v>
      </c>
      <c r="AN3" s="285" t="b">
        <v>0</v>
      </c>
      <c r="AO3" s="285" t="b">
        <v>0</v>
      </c>
      <c r="AP3" s="285" t="b">
        <v>0</v>
      </c>
      <c r="AQ3" s="285" t="b">
        <v>0</v>
      </c>
      <c r="AR3" s="285" t="b">
        <v>0</v>
      </c>
      <c r="AS3" s="285" t="b">
        <v>0</v>
      </c>
      <c r="AT3" s="285" t="b">
        <v>0</v>
      </c>
      <c r="AU3" s="285" t="b">
        <v>0</v>
      </c>
      <c r="AV3" s="285" t="b">
        <v>0</v>
      </c>
      <c r="AW3" s="285" t="b">
        <v>0</v>
      </c>
      <c r="AX3" s="285" t="b">
        <v>0</v>
      </c>
      <c r="AY3" s="285" t="b">
        <v>0</v>
      </c>
      <c r="AZ3" s="286">
        <f t="shared" ref="AZ3:AZ42" si="1">SUMPRODUCT(--D3:AY3)</f>
        <v>0</v>
      </c>
      <c r="BA3" s="286" t="s">
        <v>85</v>
      </c>
      <c r="BB3" s="287">
        <v>1325.0</v>
      </c>
      <c r="BC3" s="288">
        <v>46174.0</v>
      </c>
      <c r="BD3" s="288">
        <v>46218.0</v>
      </c>
    </row>
    <row r="4" ht="24.0" customHeight="1">
      <c r="A4" s="283" t="s">
        <v>93</v>
      </c>
      <c r="B4" s="284" t="s">
        <v>94</v>
      </c>
      <c r="C4" s="284" t="s">
        <v>95</v>
      </c>
      <c r="D4" s="285" t="b">
        <v>0</v>
      </c>
      <c r="E4" s="285" t="b">
        <v>1</v>
      </c>
      <c r="F4" s="285" t="b">
        <v>1</v>
      </c>
      <c r="G4" s="285" t="b">
        <v>1</v>
      </c>
      <c r="H4" s="285" t="b">
        <v>0</v>
      </c>
      <c r="I4" s="285" t="b">
        <v>1</v>
      </c>
      <c r="J4" s="285" t="b">
        <v>1</v>
      </c>
      <c r="K4" s="285" t="b">
        <v>0</v>
      </c>
      <c r="L4" s="285" t="b">
        <v>0</v>
      </c>
      <c r="M4" s="285" t="b">
        <v>0</v>
      </c>
      <c r="N4" s="285" t="b">
        <v>0</v>
      </c>
      <c r="O4" s="285" t="b">
        <v>0</v>
      </c>
      <c r="P4" s="285" t="b">
        <v>0</v>
      </c>
      <c r="Q4" s="285" t="b">
        <v>0</v>
      </c>
      <c r="R4" s="285" t="b">
        <v>0</v>
      </c>
      <c r="S4" s="285" t="b">
        <v>0</v>
      </c>
      <c r="T4" s="285" t="b">
        <v>0</v>
      </c>
      <c r="U4" s="285" t="b">
        <v>0</v>
      </c>
      <c r="V4" s="285" t="b">
        <v>0</v>
      </c>
      <c r="W4" s="285" t="b">
        <v>0</v>
      </c>
      <c r="X4" s="285" t="b">
        <v>0</v>
      </c>
      <c r="Y4" s="285" t="b">
        <v>0</v>
      </c>
      <c r="Z4" s="285" t="b">
        <v>0</v>
      </c>
      <c r="AA4" s="285" t="b">
        <v>0</v>
      </c>
      <c r="AB4" s="285" t="b">
        <v>0</v>
      </c>
      <c r="AC4" s="285" t="b">
        <v>0</v>
      </c>
      <c r="AD4" s="285" t="b">
        <v>0</v>
      </c>
      <c r="AE4" s="285" t="b">
        <v>0</v>
      </c>
      <c r="AF4" s="285" t="b">
        <v>0</v>
      </c>
      <c r="AG4" s="285" t="b">
        <v>0</v>
      </c>
      <c r="AH4" s="285" t="b">
        <v>0</v>
      </c>
      <c r="AI4" s="285" t="b">
        <v>0</v>
      </c>
      <c r="AJ4" s="285" t="b">
        <v>0</v>
      </c>
      <c r="AK4" s="285" t="b">
        <v>0</v>
      </c>
      <c r="AL4" s="285" t="b">
        <v>0</v>
      </c>
      <c r="AM4" s="285" t="b">
        <v>0</v>
      </c>
      <c r="AN4" s="285" t="b">
        <v>0</v>
      </c>
      <c r="AO4" s="285" t="b">
        <v>0</v>
      </c>
      <c r="AP4" s="285" t="b">
        <v>0</v>
      </c>
      <c r="AQ4" s="285" t="b">
        <v>0</v>
      </c>
      <c r="AR4" s="285" t="b">
        <v>0</v>
      </c>
      <c r="AS4" s="285" t="b">
        <v>0</v>
      </c>
      <c r="AT4" s="285" t="b">
        <v>0</v>
      </c>
      <c r="AU4" s="285" t="b">
        <v>0</v>
      </c>
      <c r="AV4" s="285" t="b">
        <v>0</v>
      </c>
      <c r="AW4" s="285" t="b">
        <v>0</v>
      </c>
      <c r="AX4" s="285" t="b">
        <v>0</v>
      </c>
      <c r="AY4" s="285" t="b">
        <v>0</v>
      </c>
      <c r="AZ4" s="286">
        <f t="shared" si="1"/>
        <v>5</v>
      </c>
      <c r="BA4" s="286" t="s">
        <v>85</v>
      </c>
      <c r="BB4" s="287">
        <v>705.0</v>
      </c>
      <c r="BC4" s="288">
        <v>46296.0</v>
      </c>
      <c r="BD4" s="288">
        <v>45959.0</v>
      </c>
    </row>
    <row r="5" ht="24.0" customHeight="1">
      <c r="A5" s="283"/>
      <c r="B5" s="284"/>
      <c r="C5" s="284"/>
      <c r="D5" s="285" t="b">
        <v>0</v>
      </c>
      <c r="E5" s="285" t="b">
        <v>0</v>
      </c>
      <c r="F5" s="285" t="b">
        <v>0</v>
      </c>
      <c r="G5" s="285" t="b">
        <v>0</v>
      </c>
      <c r="H5" s="285" t="b">
        <v>0</v>
      </c>
      <c r="I5" s="285" t="b">
        <v>0</v>
      </c>
      <c r="J5" s="285" t="b">
        <v>0</v>
      </c>
      <c r="K5" s="285" t="b">
        <v>0</v>
      </c>
      <c r="L5" s="285" t="b">
        <v>0</v>
      </c>
      <c r="M5" s="285" t="b">
        <v>0</v>
      </c>
      <c r="N5" s="285" t="b">
        <v>0</v>
      </c>
      <c r="O5" s="285" t="b">
        <v>0</v>
      </c>
      <c r="P5" s="285" t="b">
        <v>0</v>
      </c>
      <c r="Q5" s="285" t="b">
        <v>0</v>
      </c>
      <c r="R5" s="285" t="b">
        <v>0</v>
      </c>
      <c r="S5" s="285" t="b">
        <v>0</v>
      </c>
      <c r="T5" s="285" t="b">
        <v>0</v>
      </c>
      <c r="U5" s="285" t="b">
        <v>0</v>
      </c>
      <c r="V5" s="285" t="b">
        <v>0</v>
      </c>
      <c r="W5" s="285" t="b">
        <v>0</v>
      </c>
      <c r="X5" s="285" t="b">
        <v>0</v>
      </c>
      <c r="Y5" s="285" t="b">
        <v>0</v>
      </c>
      <c r="Z5" s="285" t="b">
        <v>0</v>
      </c>
      <c r="AA5" s="285" t="b">
        <v>0</v>
      </c>
      <c r="AB5" s="285" t="b">
        <v>0</v>
      </c>
      <c r="AC5" s="285" t="b">
        <v>0</v>
      </c>
      <c r="AD5" s="285" t="b">
        <v>0</v>
      </c>
      <c r="AE5" s="285" t="b">
        <v>0</v>
      </c>
      <c r="AF5" s="285" t="b">
        <v>0</v>
      </c>
      <c r="AG5" s="285" t="b">
        <v>0</v>
      </c>
      <c r="AH5" s="285" t="b">
        <v>0</v>
      </c>
      <c r="AI5" s="285" t="b">
        <v>0</v>
      </c>
      <c r="AJ5" s="285" t="b">
        <v>0</v>
      </c>
      <c r="AK5" s="285" t="b">
        <v>0</v>
      </c>
      <c r="AL5" s="285" t="b">
        <v>0</v>
      </c>
      <c r="AM5" s="285" t="b">
        <v>0</v>
      </c>
      <c r="AN5" s="285" t="b">
        <v>0</v>
      </c>
      <c r="AO5" s="285" t="b">
        <v>0</v>
      </c>
      <c r="AP5" s="285" t="b">
        <v>0</v>
      </c>
      <c r="AQ5" s="285" t="b">
        <v>0</v>
      </c>
      <c r="AR5" s="285" t="b">
        <v>0</v>
      </c>
      <c r="AS5" s="285" t="b">
        <v>0</v>
      </c>
      <c r="AT5" s="285" t="b">
        <v>0</v>
      </c>
      <c r="AU5" s="285" t="b">
        <v>0</v>
      </c>
      <c r="AV5" s="285" t="b">
        <v>0</v>
      </c>
      <c r="AW5" s="285" t="b">
        <v>0</v>
      </c>
      <c r="AX5" s="285" t="b">
        <v>0</v>
      </c>
      <c r="AY5" s="285" t="b">
        <v>0</v>
      </c>
      <c r="AZ5" s="286">
        <f t="shared" si="1"/>
        <v>0</v>
      </c>
      <c r="BA5" s="286"/>
      <c r="BB5" s="287"/>
      <c r="BC5" s="288"/>
      <c r="BD5" s="288"/>
    </row>
    <row r="6" ht="24.0" customHeight="1">
      <c r="A6" s="283"/>
      <c r="B6" s="284"/>
      <c r="C6" s="284"/>
      <c r="D6" s="285" t="b">
        <v>0</v>
      </c>
      <c r="E6" s="285" t="b">
        <v>0</v>
      </c>
      <c r="F6" s="285" t="b">
        <v>0</v>
      </c>
      <c r="G6" s="285" t="b">
        <v>0</v>
      </c>
      <c r="H6" s="285" t="b">
        <v>0</v>
      </c>
      <c r="I6" s="285" t="b">
        <v>0</v>
      </c>
      <c r="J6" s="285" t="b">
        <v>0</v>
      </c>
      <c r="K6" s="285" t="b">
        <v>0</v>
      </c>
      <c r="L6" s="285" t="b">
        <v>0</v>
      </c>
      <c r="M6" s="285" t="b">
        <v>0</v>
      </c>
      <c r="N6" s="285" t="b">
        <v>0</v>
      </c>
      <c r="O6" s="285" t="b">
        <v>0</v>
      </c>
      <c r="P6" s="285" t="b">
        <v>0</v>
      </c>
      <c r="Q6" s="285" t="b">
        <v>0</v>
      </c>
      <c r="R6" s="285" t="b">
        <v>0</v>
      </c>
      <c r="S6" s="285" t="b">
        <v>0</v>
      </c>
      <c r="T6" s="285" t="b">
        <v>0</v>
      </c>
      <c r="U6" s="285" t="b">
        <v>0</v>
      </c>
      <c r="V6" s="285" t="b">
        <v>0</v>
      </c>
      <c r="W6" s="285" t="b">
        <v>0</v>
      </c>
      <c r="X6" s="285" t="b">
        <v>0</v>
      </c>
      <c r="Y6" s="285" t="b">
        <v>0</v>
      </c>
      <c r="Z6" s="285" t="b">
        <v>0</v>
      </c>
      <c r="AA6" s="285" t="b">
        <v>0</v>
      </c>
      <c r="AB6" s="285" t="b">
        <v>0</v>
      </c>
      <c r="AC6" s="285" t="b">
        <v>0</v>
      </c>
      <c r="AD6" s="285" t="b">
        <v>0</v>
      </c>
      <c r="AE6" s="285" t="b">
        <v>0</v>
      </c>
      <c r="AF6" s="285" t="b">
        <v>0</v>
      </c>
      <c r="AG6" s="285" t="b">
        <v>0</v>
      </c>
      <c r="AH6" s="285" t="b">
        <v>0</v>
      </c>
      <c r="AI6" s="285" t="b">
        <v>0</v>
      </c>
      <c r="AJ6" s="285" t="b">
        <v>0</v>
      </c>
      <c r="AK6" s="285" t="b">
        <v>0</v>
      </c>
      <c r="AL6" s="285" t="b">
        <v>0</v>
      </c>
      <c r="AM6" s="285" t="b">
        <v>0</v>
      </c>
      <c r="AN6" s="285" t="b">
        <v>0</v>
      </c>
      <c r="AO6" s="285" t="b">
        <v>0</v>
      </c>
      <c r="AP6" s="285" t="b">
        <v>0</v>
      </c>
      <c r="AQ6" s="285" t="b">
        <v>0</v>
      </c>
      <c r="AR6" s="285" t="b">
        <v>0</v>
      </c>
      <c r="AS6" s="285" t="b">
        <v>0</v>
      </c>
      <c r="AT6" s="285" t="b">
        <v>0</v>
      </c>
      <c r="AU6" s="285" t="b">
        <v>0</v>
      </c>
      <c r="AV6" s="285" t="b">
        <v>0</v>
      </c>
      <c r="AW6" s="285" t="b">
        <v>0</v>
      </c>
      <c r="AX6" s="285" t="b">
        <v>0</v>
      </c>
      <c r="AY6" s="285" t="b">
        <v>0</v>
      </c>
      <c r="AZ6" s="286">
        <f t="shared" si="1"/>
        <v>0</v>
      </c>
      <c r="BA6" s="286"/>
      <c r="BB6" s="287"/>
      <c r="BC6" s="288"/>
      <c r="BD6" s="288"/>
    </row>
    <row r="7" ht="24.0" customHeight="1">
      <c r="A7" s="283"/>
      <c r="B7" s="284"/>
      <c r="C7" s="284"/>
      <c r="D7" s="285" t="b">
        <v>0</v>
      </c>
      <c r="E7" s="285" t="b">
        <v>0</v>
      </c>
      <c r="F7" s="285" t="b">
        <v>0</v>
      </c>
      <c r="G7" s="285" t="b">
        <v>0</v>
      </c>
      <c r="H7" s="285" t="b">
        <v>0</v>
      </c>
      <c r="I7" s="285" t="b">
        <v>0</v>
      </c>
      <c r="J7" s="285" t="b">
        <v>0</v>
      </c>
      <c r="K7" s="285" t="b">
        <v>0</v>
      </c>
      <c r="L7" s="285" t="b">
        <v>0</v>
      </c>
      <c r="M7" s="285" t="b">
        <v>0</v>
      </c>
      <c r="N7" s="285" t="b">
        <v>0</v>
      </c>
      <c r="O7" s="285" t="b">
        <v>0</v>
      </c>
      <c r="P7" s="285" t="b">
        <v>0</v>
      </c>
      <c r="Q7" s="285" t="b">
        <v>0</v>
      </c>
      <c r="R7" s="285" t="b">
        <v>0</v>
      </c>
      <c r="S7" s="285" t="b">
        <v>0</v>
      </c>
      <c r="T7" s="285" t="b">
        <v>0</v>
      </c>
      <c r="U7" s="285" t="b">
        <v>0</v>
      </c>
      <c r="V7" s="285" t="b">
        <v>0</v>
      </c>
      <c r="W7" s="285" t="b">
        <v>0</v>
      </c>
      <c r="X7" s="285" t="b">
        <v>0</v>
      </c>
      <c r="Y7" s="285" t="b">
        <v>0</v>
      </c>
      <c r="Z7" s="285" t="b">
        <v>0</v>
      </c>
      <c r="AA7" s="285" t="b">
        <v>0</v>
      </c>
      <c r="AB7" s="285" t="b">
        <v>0</v>
      </c>
      <c r="AC7" s="285" t="b">
        <v>0</v>
      </c>
      <c r="AD7" s="285" t="b">
        <v>0</v>
      </c>
      <c r="AE7" s="285" t="b">
        <v>0</v>
      </c>
      <c r="AF7" s="285" t="b">
        <v>0</v>
      </c>
      <c r="AG7" s="285" t="b">
        <v>0</v>
      </c>
      <c r="AH7" s="285" t="b">
        <v>0</v>
      </c>
      <c r="AI7" s="285" t="b">
        <v>0</v>
      </c>
      <c r="AJ7" s="285" t="b">
        <v>0</v>
      </c>
      <c r="AK7" s="285" t="b">
        <v>0</v>
      </c>
      <c r="AL7" s="285" t="b">
        <v>0</v>
      </c>
      <c r="AM7" s="285" t="b">
        <v>0</v>
      </c>
      <c r="AN7" s="285" t="b">
        <v>0</v>
      </c>
      <c r="AO7" s="285" t="b">
        <v>0</v>
      </c>
      <c r="AP7" s="285" t="b">
        <v>0</v>
      </c>
      <c r="AQ7" s="285" t="b">
        <v>0</v>
      </c>
      <c r="AR7" s="285" t="b">
        <v>0</v>
      </c>
      <c r="AS7" s="285" t="b">
        <v>0</v>
      </c>
      <c r="AT7" s="285" t="b">
        <v>0</v>
      </c>
      <c r="AU7" s="285" t="b">
        <v>0</v>
      </c>
      <c r="AV7" s="285" t="b">
        <v>0</v>
      </c>
      <c r="AW7" s="285" t="b">
        <v>0</v>
      </c>
      <c r="AX7" s="285" t="b">
        <v>0</v>
      </c>
      <c r="AY7" s="285" t="b">
        <v>0</v>
      </c>
      <c r="AZ7" s="286">
        <f t="shared" si="1"/>
        <v>0</v>
      </c>
      <c r="BA7" s="286"/>
      <c r="BB7" s="287"/>
      <c r="BC7" s="288"/>
      <c r="BD7" s="288"/>
    </row>
    <row r="8" ht="24.0" customHeight="1">
      <c r="A8" s="283" t="s">
        <v>103</v>
      </c>
      <c r="B8" s="284" t="s">
        <v>104</v>
      </c>
      <c r="C8" s="284" t="s">
        <v>105</v>
      </c>
      <c r="D8" s="285" t="b">
        <v>0</v>
      </c>
      <c r="E8" s="285" t="b">
        <v>0</v>
      </c>
      <c r="F8" s="285" t="b">
        <v>0</v>
      </c>
      <c r="G8" s="285" t="b">
        <v>0</v>
      </c>
      <c r="H8" s="285" t="b">
        <v>0</v>
      </c>
      <c r="I8" s="285" t="b">
        <v>0</v>
      </c>
      <c r="J8" s="285" t="b">
        <v>0</v>
      </c>
      <c r="K8" s="285" t="b">
        <v>0</v>
      </c>
      <c r="L8" s="285" t="b">
        <v>0</v>
      </c>
      <c r="M8" s="285" t="b">
        <v>0</v>
      </c>
      <c r="N8" s="285" t="b">
        <v>0</v>
      </c>
      <c r="O8" s="285" t="b">
        <v>0</v>
      </c>
      <c r="P8" s="285" t="b">
        <v>0</v>
      </c>
      <c r="Q8" s="285" t="b">
        <v>0</v>
      </c>
      <c r="R8" s="285" t="b">
        <v>0</v>
      </c>
      <c r="S8" s="285" t="b">
        <v>0</v>
      </c>
      <c r="T8" s="285" t="b">
        <v>0</v>
      </c>
      <c r="U8" s="285" t="b">
        <v>0</v>
      </c>
      <c r="V8" s="285" t="b">
        <v>0</v>
      </c>
      <c r="W8" s="285" t="b">
        <v>0</v>
      </c>
      <c r="X8" s="285" t="b">
        <v>0</v>
      </c>
      <c r="Y8" s="285" t="b">
        <v>0</v>
      </c>
      <c r="Z8" s="285" t="b">
        <v>0</v>
      </c>
      <c r="AA8" s="285" t="b">
        <v>0</v>
      </c>
      <c r="AB8" s="285" t="b">
        <v>0</v>
      </c>
      <c r="AC8" s="285" t="b">
        <v>0</v>
      </c>
      <c r="AD8" s="285" t="b">
        <v>0</v>
      </c>
      <c r="AE8" s="285" t="b">
        <v>0</v>
      </c>
      <c r="AF8" s="285" t="b">
        <v>0</v>
      </c>
      <c r="AG8" s="285" t="b">
        <v>0</v>
      </c>
      <c r="AH8" s="285" t="b">
        <v>0</v>
      </c>
      <c r="AI8" s="285" t="b">
        <v>0</v>
      </c>
      <c r="AJ8" s="285" t="b">
        <v>0</v>
      </c>
      <c r="AK8" s="285" t="b">
        <v>0</v>
      </c>
      <c r="AL8" s="285" t="b">
        <v>0</v>
      </c>
      <c r="AM8" s="285" t="b">
        <v>0</v>
      </c>
      <c r="AN8" s="285" t="b">
        <v>0</v>
      </c>
      <c r="AO8" s="285" t="b">
        <v>0</v>
      </c>
      <c r="AP8" s="285" t="b">
        <v>0</v>
      </c>
      <c r="AQ8" s="285" t="b">
        <v>0</v>
      </c>
      <c r="AR8" s="285" t="b">
        <v>0</v>
      </c>
      <c r="AS8" s="285" t="b">
        <v>0</v>
      </c>
      <c r="AT8" s="285" t="b">
        <v>0</v>
      </c>
      <c r="AU8" s="285" t="b">
        <v>0</v>
      </c>
      <c r="AV8" s="285" t="b">
        <v>0</v>
      </c>
      <c r="AW8" s="285" t="b">
        <v>0</v>
      </c>
      <c r="AX8" s="285" t="b">
        <v>0</v>
      </c>
      <c r="AY8" s="285" t="b">
        <v>0</v>
      </c>
      <c r="AZ8" s="286">
        <f t="shared" si="1"/>
        <v>0</v>
      </c>
      <c r="BA8" s="286" t="s">
        <v>85</v>
      </c>
      <c r="BB8" s="287">
        <v>337.0</v>
      </c>
      <c r="BC8" s="288">
        <v>46266.0</v>
      </c>
      <c r="BD8" s="288">
        <v>45937.0</v>
      </c>
    </row>
    <row r="9" ht="24.0" customHeight="1">
      <c r="A9" s="283" t="s">
        <v>113</v>
      </c>
      <c r="B9" s="284" t="s">
        <v>114</v>
      </c>
      <c r="C9" s="284" t="s">
        <v>115</v>
      </c>
      <c r="D9" s="285" t="b">
        <v>0</v>
      </c>
      <c r="E9" s="285" t="b">
        <v>0</v>
      </c>
      <c r="F9" s="285" t="b">
        <v>0</v>
      </c>
      <c r="G9" s="285" t="b">
        <v>0</v>
      </c>
      <c r="H9" s="285" t="b">
        <v>0</v>
      </c>
      <c r="I9" s="285" t="b">
        <v>0</v>
      </c>
      <c r="J9" s="285" t="b">
        <v>0</v>
      </c>
      <c r="K9" s="285" t="b">
        <v>0</v>
      </c>
      <c r="L9" s="285" t="b">
        <v>0</v>
      </c>
      <c r="M9" s="285" t="b">
        <v>0</v>
      </c>
      <c r="N9" s="285" t="b">
        <v>0</v>
      </c>
      <c r="O9" s="285" t="b">
        <v>0</v>
      </c>
      <c r="P9" s="285" t="b">
        <v>0</v>
      </c>
      <c r="Q9" s="285" t="b">
        <v>0</v>
      </c>
      <c r="R9" s="285" t="b">
        <v>0</v>
      </c>
      <c r="S9" s="285" t="b">
        <v>0</v>
      </c>
      <c r="T9" s="285" t="b">
        <v>0</v>
      </c>
      <c r="U9" s="285" t="b">
        <v>0</v>
      </c>
      <c r="V9" s="285" t="b">
        <v>0</v>
      </c>
      <c r="W9" s="285" t="b">
        <v>0</v>
      </c>
      <c r="X9" s="285" t="b">
        <v>0</v>
      </c>
      <c r="Y9" s="285" t="b">
        <v>0</v>
      </c>
      <c r="Z9" s="285" t="b">
        <v>0</v>
      </c>
      <c r="AA9" s="285" t="b">
        <v>0</v>
      </c>
      <c r="AB9" s="285" t="b">
        <v>0</v>
      </c>
      <c r="AC9" s="285" t="b">
        <v>0</v>
      </c>
      <c r="AD9" s="285" t="b">
        <v>0</v>
      </c>
      <c r="AE9" s="285" t="b">
        <v>0</v>
      </c>
      <c r="AF9" s="285" t="b">
        <v>0</v>
      </c>
      <c r="AG9" s="285" t="b">
        <v>0</v>
      </c>
      <c r="AH9" s="285" t="b">
        <v>0</v>
      </c>
      <c r="AI9" s="285" t="b">
        <v>0</v>
      </c>
      <c r="AJ9" s="285" t="b">
        <v>0</v>
      </c>
      <c r="AK9" s="285" t="b">
        <v>0</v>
      </c>
      <c r="AL9" s="285" t="b">
        <v>0</v>
      </c>
      <c r="AM9" s="285" t="b">
        <v>0</v>
      </c>
      <c r="AN9" s="285" t="b">
        <v>0</v>
      </c>
      <c r="AO9" s="285" t="b">
        <v>0</v>
      </c>
      <c r="AP9" s="285" t="b">
        <v>0</v>
      </c>
      <c r="AQ9" s="285" t="b">
        <v>0</v>
      </c>
      <c r="AR9" s="285" t="b">
        <v>0</v>
      </c>
      <c r="AS9" s="285" t="b">
        <v>0</v>
      </c>
      <c r="AT9" s="285" t="b">
        <v>0</v>
      </c>
      <c r="AU9" s="285" t="b">
        <v>0</v>
      </c>
      <c r="AV9" s="285" t="b">
        <v>0</v>
      </c>
      <c r="AW9" s="285" t="b">
        <v>0</v>
      </c>
      <c r="AX9" s="285" t="b">
        <v>0</v>
      </c>
      <c r="AY9" s="285" t="b">
        <v>0</v>
      </c>
      <c r="AZ9" s="286">
        <f t="shared" si="1"/>
        <v>0</v>
      </c>
      <c r="BA9" s="286" t="s">
        <v>85</v>
      </c>
      <c r="BB9" s="287">
        <v>1325.0</v>
      </c>
      <c r="BC9" s="288">
        <v>46174.0</v>
      </c>
      <c r="BD9" s="288">
        <v>46211.0</v>
      </c>
    </row>
    <row r="10" ht="24.0" customHeight="1">
      <c r="A10" s="283" t="s">
        <v>123</v>
      </c>
      <c r="B10" s="284" t="s">
        <v>124</v>
      </c>
      <c r="C10" s="284" t="s">
        <v>125</v>
      </c>
      <c r="D10" s="285" t="b">
        <v>0</v>
      </c>
      <c r="E10" s="285" t="b">
        <v>1</v>
      </c>
      <c r="F10" s="285" t="b">
        <v>1</v>
      </c>
      <c r="G10" s="285" t="b">
        <v>1</v>
      </c>
      <c r="H10" s="285" t="b">
        <v>1</v>
      </c>
      <c r="I10" s="285" t="b">
        <v>1</v>
      </c>
      <c r="J10" s="285" t="b">
        <v>0</v>
      </c>
      <c r="K10" s="285" t="b">
        <v>0</v>
      </c>
      <c r="L10" s="285" t="b">
        <v>0</v>
      </c>
      <c r="M10" s="285" t="b">
        <v>0</v>
      </c>
      <c r="N10" s="285" t="b">
        <v>0</v>
      </c>
      <c r="O10" s="285" t="b">
        <v>0</v>
      </c>
      <c r="P10" s="285" t="b">
        <v>0</v>
      </c>
      <c r="Q10" s="285" t="b">
        <v>0</v>
      </c>
      <c r="R10" s="285" t="b">
        <v>0</v>
      </c>
      <c r="S10" s="285" t="b">
        <v>0</v>
      </c>
      <c r="T10" s="285" t="b">
        <v>0</v>
      </c>
      <c r="U10" s="285" t="b">
        <v>0</v>
      </c>
      <c r="V10" s="285" t="b">
        <v>0</v>
      </c>
      <c r="W10" s="285" t="b">
        <v>0</v>
      </c>
      <c r="X10" s="285" t="b">
        <v>0</v>
      </c>
      <c r="Y10" s="285" t="b">
        <v>0</v>
      </c>
      <c r="Z10" s="285" t="b">
        <v>0</v>
      </c>
      <c r="AA10" s="285" t="b">
        <v>0</v>
      </c>
      <c r="AB10" s="285" t="b">
        <v>0</v>
      </c>
      <c r="AC10" s="285" t="b">
        <v>0</v>
      </c>
      <c r="AD10" s="285" t="b">
        <v>0</v>
      </c>
      <c r="AE10" s="285" t="b">
        <v>0</v>
      </c>
      <c r="AF10" s="285" t="b">
        <v>0</v>
      </c>
      <c r="AG10" s="285" t="b">
        <v>0</v>
      </c>
      <c r="AH10" s="285" t="b">
        <v>0</v>
      </c>
      <c r="AI10" s="285" t="b">
        <v>0</v>
      </c>
      <c r="AJ10" s="285" t="b">
        <v>0</v>
      </c>
      <c r="AK10" s="285" t="b">
        <v>0</v>
      </c>
      <c r="AL10" s="285" t="b">
        <v>0</v>
      </c>
      <c r="AM10" s="285" t="b">
        <v>0</v>
      </c>
      <c r="AN10" s="285" t="b">
        <v>0</v>
      </c>
      <c r="AO10" s="285" t="b">
        <v>0</v>
      </c>
      <c r="AP10" s="285" t="b">
        <v>0</v>
      </c>
      <c r="AQ10" s="285" t="b">
        <v>0</v>
      </c>
      <c r="AR10" s="285" t="b">
        <v>0</v>
      </c>
      <c r="AS10" s="285" t="b">
        <v>0</v>
      </c>
      <c r="AT10" s="285" t="b">
        <v>0</v>
      </c>
      <c r="AU10" s="285" t="b">
        <v>0</v>
      </c>
      <c r="AV10" s="285" t="b">
        <v>0</v>
      </c>
      <c r="AW10" s="285" t="b">
        <v>0</v>
      </c>
      <c r="AX10" s="285" t="b">
        <v>0</v>
      </c>
      <c r="AY10" s="285" t="b">
        <v>0</v>
      </c>
      <c r="AZ10" s="286">
        <f t="shared" si="1"/>
        <v>5</v>
      </c>
      <c r="BA10" s="286" t="s">
        <v>85</v>
      </c>
      <c r="BB10" s="287">
        <v>415.0</v>
      </c>
      <c r="BC10" s="288">
        <v>46266.0</v>
      </c>
      <c r="BD10" s="288">
        <v>36526.0</v>
      </c>
    </row>
    <row r="11" ht="24.0" customHeight="1">
      <c r="A11" s="283" t="s">
        <v>132</v>
      </c>
      <c r="B11" s="284" t="s">
        <v>133</v>
      </c>
      <c r="C11" s="284" t="s">
        <v>134</v>
      </c>
      <c r="D11" s="285" t="b">
        <v>0</v>
      </c>
      <c r="E11" s="285" t="b">
        <v>0</v>
      </c>
      <c r="F11" s="285" t="b">
        <v>1</v>
      </c>
      <c r="G11" s="285" t="b">
        <v>1</v>
      </c>
      <c r="H11" s="285" t="b">
        <v>1</v>
      </c>
      <c r="I11" s="285" t="b">
        <v>1</v>
      </c>
      <c r="J11" s="285" t="b">
        <v>0</v>
      </c>
      <c r="K11" s="285" t="b">
        <v>1</v>
      </c>
      <c r="L11" s="285" t="b">
        <v>1</v>
      </c>
      <c r="M11" s="285" t="b">
        <v>0</v>
      </c>
      <c r="N11" s="285" t="b">
        <v>0</v>
      </c>
      <c r="O11" s="285" t="b">
        <v>0</v>
      </c>
      <c r="P11" s="285" t="b">
        <v>0</v>
      </c>
      <c r="Q11" s="285" t="b">
        <v>0</v>
      </c>
      <c r="R11" s="285" t="b">
        <v>0</v>
      </c>
      <c r="S11" s="285" t="b">
        <v>0</v>
      </c>
      <c r="T11" s="285" t="b">
        <v>0</v>
      </c>
      <c r="U11" s="285" t="b">
        <v>0</v>
      </c>
      <c r="V11" s="285" t="b">
        <v>0</v>
      </c>
      <c r="W11" s="285" t="b">
        <v>0</v>
      </c>
      <c r="X11" s="285" t="b">
        <v>0</v>
      </c>
      <c r="Y11" s="285" t="b">
        <v>0</v>
      </c>
      <c r="Z11" s="285" t="b">
        <v>0</v>
      </c>
      <c r="AA11" s="285" t="b">
        <v>0</v>
      </c>
      <c r="AB11" s="285" t="b">
        <v>0</v>
      </c>
      <c r="AC11" s="285" t="b">
        <v>0</v>
      </c>
      <c r="AD11" s="285" t="b">
        <v>0</v>
      </c>
      <c r="AE11" s="285" t="b">
        <v>0</v>
      </c>
      <c r="AF11" s="285" t="b">
        <v>0</v>
      </c>
      <c r="AG11" s="285" t="b">
        <v>0</v>
      </c>
      <c r="AH11" s="285" t="b">
        <v>0</v>
      </c>
      <c r="AI11" s="285" t="b">
        <v>0</v>
      </c>
      <c r="AJ11" s="285" t="b">
        <v>0</v>
      </c>
      <c r="AK11" s="285" t="b">
        <v>0</v>
      </c>
      <c r="AL11" s="285" t="b">
        <v>0</v>
      </c>
      <c r="AM11" s="285" t="b">
        <v>0</v>
      </c>
      <c r="AN11" s="285" t="b">
        <v>0</v>
      </c>
      <c r="AO11" s="285" t="b">
        <v>0</v>
      </c>
      <c r="AP11" s="285" t="b">
        <v>0</v>
      </c>
      <c r="AQ11" s="285" t="b">
        <v>0</v>
      </c>
      <c r="AR11" s="285" t="b">
        <v>0</v>
      </c>
      <c r="AS11" s="285" t="b">
        <v>0</v>
      </c>
      <c r="AT11" s="285" t="b">
        <v>0</v>
      </c>
      <c r="AU11" s="285" t="b">
        <v>0</v>
      </c>
      <c r="AV11" s="285" t="b">
        <v>0</v>
      </c>
      <c r="AW11" s="285" t="b">
        <v>0</v>
      </c>
      <c r="AX11" s="285" t="b">
        <v>0</v>
      </c>
      <c r="AY11" s="285" t="b">
        <v>0</v>
      </c>
      <c r="AZ11" s="286">
        <f t="shared" si="1"/>
        <v>6</v>
      </c>
      <c r="BA11" s="286" t="s">
        <v>138</v>
      </c>
      <c r="BB11" s="287">
        <v>390.0</v>
      </c>
      <c r="BC11" s="288">
        <v>46174.0</v>
      </c>
      <c r="BD11" s="288">
        <v>46197.0</v>
      </c>
    </row>
    <row r="12" ht="24.0" customHeight="1">
      <c r="A12" s="283" t="s">
        <v>143</v>
      </c>
      <c r="B12" s="284" t="s">
        <v>144</v>
      </c>
      <c r="C12" s="284" t="s">
        <v>145</v>
      </c>
      <c r="D12" s="285" t="b">
        <v>1</v>
      </c>
      <c r="E12" s="285" t="b">
        <v>1</v>
      </c>
      <c r="F12" s="285" t="b">
        <v>1</v>
      </c>
      <c r="G12" s="285" t="b">
        <v>0</v>
      </c>
      <c r="H12" s="285" t="b">
        <v>0</v>
      </c>
      <c r="I12" s="285" t="b">
        <v>1</v>
      </c>
      <c r="J12" s="285" t="b">
        <v>0</v>
      </c>
      <c r="K12" s="285" t="b">
        <v>0</v>
      </c>
      <c r="L12" s="285" t="b">
        <v>0</v>
      </c>
      <c r="M12" s="285" t="b">
        <v>0</v>
      </c>
      <c r="N12" s="285" t="b">
        <v>0</v>
      </c>
      <c r="O12" s="285" t="b">
        <v>0</v>
      </c>
      <c r="P12" s="285" t="b">
        <v>0</v>
      </c>
      <c r="Q12" s="285" t="b">
        <v>0</v>
      </c>
      <c r="R12" s="285" t="b">
        <v>0</v>
      </c>
      <c r="S12" s="285" t="b">
        <v>0</v>
      </c>
      <c r="T12" s="285" t="b">
        <v>0</v>
      </c>
      <c r="U12" s="285" t="b">
        <v>0</v>
      </c>
      <c r="V12" s="285" t="b">
        <v>0</v>
      </c>
      <c r="W12" s="285" t="b">
        <v>0</v>
      </c>
      <c r="X12" s="285" t="b">
        <v>0</v>
      </c>
      <c r="Y12" s="285" t="b">
        <v>0</v>
      </c>
      <c r="Z12" s="285" t="b">
        <v>0</v>
      </c>
      <c r="AA12" s="285" t="b">
        <v>0</v>
      </c>
      <c r="AB12" s="285" t="b">
        <v>0</v>
      </c>
      <c r="AC12" s="285" t="b">
        <v>0</v>
      </c>
      <c r="AD12" s="285" t="b">
        <v>0</v>
      </c>
      <c r="AE12" s="285" t="b">
        <v>0</v>
      </c>
      <c r="AF12" s="285" t="b">
        <v>0</v>
      </c>
      <c r="AG12" s="285" t="b">
        <v>0</v>
      </c>
      <c r="AH12" s="285" t="b">
        <v>0</v>
      </c>
      <c r="AI12" s="285" t="b">
        <v>0</v>
      </c>
      <c r="AJ12" s="285" t="b">
        <v>0</v>
      </c>
      <c r="AK12" s="285" t="b">
        <v>0</v>
      </c>
      <c r="AL12" s="285" t="b">
        <v>0</v>
      </c>
      <c r="AM12" s="285" t="b">
        <v>0</v>
      </c>
      <c r="AN12" s="285" t="b">
        <v>0</v>
      </c>
      <c r="AO12" s="285" t="b">
        <v>0</v>
      </c>
      <c r="AP12" s="285" t="b">
        <v>0</v>
      </c>
      <c r="AQ12" s="285" t="b">
        <v>0</v>
      </c>
      <c r="AR12" s="285" t="b">
        <v>0</v>
      </c>
      <c r="AS12" s="285" t="b">
        <v>0</v>
      </c>
      <c r="AT12" s="285" t="b">
        <v>0</v>
      </c>
      <c r="AU12" s="285" t="b">
        <v>0</v>
      </c>
      <c r="AV12" s="285" t="b">
        <v>0</v>
      </c>
      <c r="AW12" s="285" t="b">
        <v>0</v>
      </c>
      <c r="AX12" s="285" t="b">
        <v>0</v>
      </c>
      <c r="AY12" s="285" t="b">
        <v>0</v>
      </c>
      <c r="AZ12" s="286">
        <f t="shared" si="1"/>
        <v>4</v>
      </c>
      <c r="BA12" s="286" t="s">
        <v>85</v>
      </c>
      <c r="BB12" s="287">
        <v>707.5</v>
      </c>
      <c r="BC12" s="288">
        <v>46296.0</v>
      </c>
      <c r="BD12" s="288">
        <v>45974.0</v>
      </c>
    </row>
    <row r="13" ht="24.0" customHeight="1">
      <c r="A13" s="283"/>
      <c r="B13" s="284"/>
      <c r="C13" s="284"/>
      <c r="D13" s="285" t="b">
        <v>0</v>
      </c>
      <c r="E13" s="285" t="b">
        <v>0</v>
      </c>
      <c r="F13" s="285" t="b">
        <v>0</v>
      </c>
      <c r="G13" s="285" t="b">
        <v>0</v>
      </c>
      <c r="H13" s="285" t="b">
        <v>0</v>
      </c>
      <c r="I13" s="285" t="b">
        <v>0</v>
      </c>
      <c r="J13" s="285" t="b">
        <v>0</v>
      </c>
      <c r="K13" s="285" t="b">
        <v>0</v>
      </c>
      <c r="L13" s="285" t="b">
        <v>0</v>
      </c>
      <c r="M13" s="285" t="b">
        <v>0</v>
      </c>
      <c r="N13" s="285" t="b">
        <v>0</v>
      </c>
      <c r="O13" s="285" t="b">
        <v>0</v>
      </c>
      <c r="P13" s="285" t="b">
        <v>0</v>
      </c>
      <c r="Q13" s="285" t="b">
        <v>0</v>
      </c>
      <c r="R13" s="285" t="b">
        <v>0</v>
      </c>
      <c r="S13" s="285" t="b">
        <v>0</v>
      </c>
      <c r="T13" s="285" t="b">
        <v>0</v>
      </c>
      <c r="U13" s="285" t="b">
        <v>0</v>
      </c>
      <c r="V13" s="285" t="b">
        <v>0</v>
      </c>
      <c r="W13" s="285" t="b">
        <v>0</v>
      </c>
      <c r="X13" s="285" t="b">
        <v>0</v>
      </c>
      <c r="Y13" s="285" t="b">
        <v>0</v>
      </c>
      <c r="Z13" s="285" t="b">
        <v>0</v>
      </c>
      <c r="AA13" s="285" t="b">
        <v>0</v>
      </c>
      <c r="AB13" s="285" t="b">
        <v>0</v>
      </c>
      <c r="AC13" s="285" t="b">
        <v>0</v>
      </c>
      <c r="AD13" s="285" t="b">
        <v>0</v>
      </c>
      <c r="AE13" s="285" t="b">
        <v>0</v>
      </c>
      <c r="AF13" s="285" t="b">
        <v>0</v>
      </c>
      <c r="AG13" s="285" t="b">
        <v>0</v>
      </c>
      <c r="AH13" s="285" t="b">
        <v>0</v>
      </c>
      <c r="AI13" s="285" t="b">
        <v>0</v>
      </c>
      <c r="AJ13" s="285" t="b">
        <v>0</v>
      </c>
      <c r="AK13" s="285" t="b">
        <v>0</v>
      </c>
      <c r="AL13" s="285" t="b">
        <v>0</v>
      </c>
      <c r="AM13" s="285" t="b">
        <v>0</v>
      </c>
      <c r="AN13" s="285" t="b">
        <v>0</v>
      </c>
      <c r="AO13" s="285" t="b">
        <v>0</v>
      </c>
      <c r="AP13" s="285" t="b">
        <v>0</v>
      </c>
      <c r="AQ13" s="285" t="b">
        <v>0</v>
      </c>
      <c r="AR13" s="285" t="b">
        <v>0</v>
      </c>
      <c r="AS13" s="285" t="b">
        <v>0</v>
      </c>
      <c r="AT13" s="285" t="b">
        <v>0</v>
      </c>
      <c r="AU13" s="285" t="b">
        <v>0</v>
      </c>
      <c r="AV13" s="285" t="b">
        <v>0</v>
      </c>
      <c r="AW13" s="285" t="b">
        <v>0</v>
      </c>
      <c r="AX13" s="285" t="b">
        <v>0</v>
      </c>
      <c r="AY13" s="285" t="b">
        <v>0</v>
      </c>
      <c r="AZ13" s="286">
        <f t="shared" si="1"/>
        <v>0</v>
      </c>
      <c r="BA13" s="286"/>
      <c r="BB13" s="287"/>
      <c r="BC13" s="288"/>
      <c r="BD13" s="288"/>
    </row>
    <row r="14" ht="24.0" customHeight="1">
      <c r="A14" s="283" t="s">
        <v>152</v>
      </c>
      <c r="B14" s="284" t="s">
        <v>153</v>
      </c>
      <c r="C14" s="284" t="s">
        <v>154</v>
      </c>
      <c r="D14" s="285" t="b">
        <v>1</v>
      </c>
      <c r="E14" s="285" t="b">
        <v>1</v>
      </c>
      <c r="F14" s="285" t="b">
        <v>1</v>
      </c>
      <c r="G14" s="285" t="b">
        <v>1</v>
      </c>
      <c r="H14" s="285" t="b">
        <v>1</v>
      </c>
      <c r="I14" s="285" t="b">
        <v>1</v>
      </c>
      <c r="J14" s="285" t="b">
        <v>1</v>
      </c>
      <c r="K14" s="285" t="b">
        <v>1</v>
      </c>
      <c r="L14" s="285" t="b">
        <v>1</v>
      </c>
      <c r="M14" s="285" t="b">
        <v>0</v>
      </c>
      <c r="N14" s="285" t="b">
        <v>0</v>
      </c>
      <c r="O14" s="285" t="b">
        <v>0</v>
      </c>
      <c r="P14" s="285" t="b">
        <v>0</v>
      </c>
      <c r="Q14" s="285" t="b">
        <v>0</v>
      </c>
      <c r="R14" s="285" t="b">
        <v>0</v>
      </c>
      <c r="S14" s="285" t="b">
        <v>0</v>
      </c>
      <c r="T14" s="285" t="b">
        <v>0</v>
      </c>
      <c r="U14" s="285" t="b">
        <v>0</v>
      </c>
      <c r="V14" s="285" t="b">
        <v>0</v>
      </c>
      <c r="W14" s="285" t="b">
        <v>0</v>
      </c>
      <c r="X14" s="285" t="b">
        <v>0</v>
      </c>
      <c r="Y14" s="285" t="b">
        <v>0</v>
      </c>
      <c r="Z14" s="285" t="b">
        <v>0</v>
      </c>
      <c r="AA14" s="285" t="b">
        <v>0</v>
      </c>
      <c r="AB14" s="285" t="b">
        <v>0</v>
      </c>
      <c r="AC14" s="285" t="b">
        <v>0</v>
      </c>
      <c r="AD14" s="285" t="b">
        <v>0</v>
      </c>
      <c r="AE14" s="285" t="b">
        <v>0</v>
      </c>
      <c r="AF14" s="285" t="b">
        <v>0</v>
      </c>
      <c r="AG14" s="285" t="b">
        <v>0</v>
      </c>
      <c r="AH14" s="285" t="b">
        <v>0</v>
      </c>
      <c r="AI14" s="285" t="b">
        <v>0</v>
      </c>
      <c r="AJ14" s="285" t="b">
        <v>0</v>
      </c>
      <c r="AK14" s="285" t="b">
        <v>0</v>
      </c>
      <c r="AL14" s="285" t="b">
        <v>0</v>
      </c>
      <c r="AM14" s="285" t="b">
        <v>0</v>
      </c>
      <c r="AN14" s="285" t="b">
        <v>0</v>
      </c>
      <c r="AO14" s="285" t="b">
        <v>0</v>
      </c>
      <c r="AP14" s="285" t="b">
        <v>0</v>
      </c>
      <c r="AQ14" s="285" t="b">
        <v>0</v>
      </c>
      <c r="AR14" s="285" t="b">
        <v>0</v>
      </c>
      <c r="AS14" s="285" t="b">
        <v>0</v>
      </c>
      <c r="AT14" s="285" t="b">
        <v>0</v>
      </c>
      <c r="AU14" s="285" t="b">
        <v>0</v>
      </c>
      <c r="AV14" s="285" t="b">
        <v>0</v>
      </c>
      <c r="AW14" s="285" t="b">
        <v>0</v>
      </c>
      <c r="AX14" s="285" t="b">
        <v>0</v>
      </c>
      <c r="AY14" s="285" t="b">
        <v>0</v>
      </c>
      <c r="AZ14" s="286">
        <f t="shared" si="1"/>
        <v>9</v>
      </c>
      <c r="BA14" s="286" t="s">
        <v>158</v>
      </c>
      <c r="BB14" s="287">
        <v>727.0</v>
      </c>
      <c r="BC14" s="288">
        <v>46174.0</v>
      </c>
      <c r="BD14" s="288">
        <v>46293.0</v>
      </c>
    </row>
    <row r="15" ht="24.0" customHeight="1">
      <c r="A15" s="283"/>
      <c r="B15" s="284"/>
      <c r="C15" s="284"/>
      <c r="D15" s="285" t="b">
        <v>0</v>
      </c>
      <c r="E15" s="285" t="b">
        <v>0</v>
      </c>
      <c r="F15" s="285" t="b">
        <v>0</v>
      </c>
      <c r="G15" s="285" t="b">
        <v>0</v>
      </c>
      <c r="H15" s="285" t="b">
        <v>0</v>
      </c>
      <c r="I15" s="285" t="b">
        <v>0</v>
      </c>
      <c r="J15" s="285" t="b">
        <v>0</v>
      </c>
      <c r="K15" s="285" t="b">
        <v>0</v>
      </c>
      <c r="L15" s="285" t="b">
        <v>0</v>
      </c>
      <c r="M15" s="285" t="b">
        <v>0</v>
      </c>
      <c r="N15" s="285" t="b">
        <v>0</v>
      </c>
      <c r="O15" s="285" t="b">
        <v>0</v>
      </c>
      <c r="P15" s="285" t="b">
        <v>0</v>
      </c>
      <c r="Q15" s="285" t="b">
        <v>0</v>
      </c>
      <c r="R15" s="285" t="b">
        <v>0</v>
      </c>
      <c r="S15" s="285" t="b">
        <v>0</v>
      </c>
      <c r="T15" s="285" t="b">
        <v>0</v>
      </c>
      <c r="U15" s="285" t="b">
        <v>0</v>
      </c>
      <c r="V15" s="285" t="b">
        <v>0</v>
      </c>
      <c r="W15" s="285" t="b">
        <v>0</v>
      </c>
      <c r="X15" s="285" t="b">
        <v>0</v>
      </c>
      <c r="Y15" s="285" t="b">
        <v>0</v>
      </c>
      <c r="Z15" s="285" t="b">
        <v>0</v>
      </c>
      <c r="AA15" s="285" t="b">
        <v>0</v>
      </c>
      <c r="AB15" s="285" t="b">
        <v>0</v>
      </c>
      <c r="AC15" s="285" t="b">
        <v>0</v>
      </c>
      <c r="AD15" s="285" t="b">
        <v>0</v>
      </c>
      <c r="AE15" s="285" t="b">
        <v>0</v>
      </c>
      <c r="AF15" s="285" t="b">
        <v>0</v>
      </c>
      <c r="AG15" s="285" t="b">
        <v>0</v>
      </c>
      <c r="AH15" s="285" t="b">
        <v>0</v>
      </c>
      <c r="AI15" s="285" t="b">
        <v>0</v>
      </c>
      <c r="AJ15" s="285" t="b">
        <v>0</v>
      </c>
      <c r="AK15" s="285" t="b">
        <v>0</v>
      </c>
      <c r="AL15" s="285" t="b">
        <v>0</v>
      </c>
      <c r="AM15" s="285" t="b">
        <v>0</v>
      </c>
      <c r="AN15" s="285" t="b">
        <v>0</v>
      </c>
      <c r="AO15" s="285" t="b">
        <v>0</v>
      </c>
      <c r="AP15" s="285" t="b">
        <v>0</v>
      </c>
      <c r="AQ15" s="285" t="b">
        <v>0</v>
      </c>
      <c r="AR15" s="285" t="b">
        <v>0</v>
      </c>
      <c r="AS15" s="285" t="b">
        <v>0</v>
      </c>
      <c r="AT15" s="285" t="b">
        <v>0</v>
      </c>
      <c r="AU15" s="285" t="b">
        <v>0</v>
      </c>
      <c r="AV15" s="285" t="b">
        <v>0</v>
      </c>
      <c r="AW15" s="285" t="b">
        <v>0</v>
      </c>
      <c r="AX15" s="285" t="b">
        <v>0</v>
      </c>
      <c r="AY15" s="285" t="b">
        <v>0</v>
      </c>
      <c r="AZ15" s="286">
        <f t="shared" si="1"/>
        <v>0</v>
      </c>
      <c r="BA15" s="286"/>
      <c r="BB15" s="287"/>
      <c r="BC15" s="288"/>
      <c r="BD15" s="288"/>
    </row>
    <row r="16" ht="19.5" customHeight="1">
      <c r="A16" s="283"/>
      <c r="B16" s="284"/>
      <c r="C16" s="284"/>
      <c r="D16" s="285" t="b">
        <v>0</v>
      </c>
      <c r="E16" s="285" t="b">
        <v>0</v>
      </c>
      <c r="F16" s="285" t="b">
        <v>0</v>
      </c>
      <c r="G16" s="285" t="b">
        <v>0</v>
      </c>
      <c r="H16" s="285" t="b">
        <v>0</v>
      </c>
      <c r="I16" s="285" t="b">
        <v>0</v>
      </c>
      <c r="J16" s="285" t="b">
        <v>0</v>
      </c>
      <c r="K16" s="285" t="b">
        <v>0</v>
      </c>
      <c r="L16" s="285" t="b">
        <v>0</v>
      </c>
      <c r="M16" s="285" t="b">
        <v>0</v>
      </c>
      <c r="N16" s="285" t="b">
        <v>0</v>
      </c>
      <c r="O16" s="285" t="b">
        <v>0</v>
      </c>
      <c r="P16" s="285" t="b">
        <v>0</v>
      </c>
      <c r="Q16" s="285" t="b">
        <v>0</v>
      </c>
      <c r="R16" s="285" t="b">
        <v>0</v>
      </c>
      <c r="S16" s="285" t="b">
        <v>0</v>
      </c>
      <c r="T16" s="285" t="b">
        <v>0</v>
      </c>
      <c r="U16" s="285" t="b">
        <v>0</v>
      </c>
      <c r="V16" s="285" t="b">
        <v>0</v>
      </c>
      <c r="W16" s="285" t="b">
        <v>0</v>
      </c>
      <c r="X16" s="285" t="b">
        <v>0</v>
      </c>
      <c r="Y16" s="285" t="b">
        <v>0</v>
      </c>
      <c r="Z16" s="285" t="b">
        <v>0</v>
      </c>
      <c r="AA16" s="285" t="b">
        <v>0</v>
      </c>
      <c r="AB16" s="285" t="b">
        <v>0</v>
      </c>
      <c r="AC16" s="285" t="b">
        <v>0</v>
      </c>
      <c r="AD16" s="285" t="b">
        <v>0</v>
      </c>
      <c r="AE16" s="285" t="b">
        <v>0</v>
      </c>
      <c r="AF16" s="285" t="b">
        <v>0</v>
      </c>
      <c r="AG16" s="285" t="b">
        <v>0</v>
      </c>
      <c r="AH16" s="285" t="b">
        <v>0</v>
      </c>
      <c r="AI16" s="285" t="b">
        <v>0</v>
      </c>
      <c r="AJ16" s="285" t="b">
        <v>0</v>
      </c>
      <c r="AK16" s="285" t="b">
        <v>0</v>
      </c>
      <c r="AL16" s="285" t="b">
        <v>0</v>
      </c>
      <c r="AM16" s="285" t="b">
        <v>0</v>
      </c>
      <c r="AN16" s="285" t="b">
        <v>0</v>
      </c>
      <c r="AO16" s="285" t="b">
        <v>0</v>
      </c>
      <c r="AP16" s="285" t="b">
        <v>0</v>
      </c>
      <c r="AQ16" s="285" t="b">
        <v>0</v>
      </c>
      <c r="AR16" s="285" t="b">
        <v>0</v>
      </c>
      <c r="AS16" s="285" t="b">
        <v>0</v>
      </c>
      <c r="AT16" s="285" t="b">
        <v>0</v>
      </c>
      <c r="AU16" s="285" t="b">
        <v>0</v>
      </c>
      <c r="AV16" s="285" t="b">
        <v>0</v>
      </c>
      <c r="AW16" s="285" t="b">
        <v>0</v>
      </c>
      <c r="AX16" s="285" t="b">
        <v>0</v>
      </c>
      <c r="AY16" s="285" t="b">
        <v>0</v>
      </c>
      <c r="AZ16" s="286">
        <f t="shared" si="1"/>
        <v>0</v>
      </c>
      <c r="BA16" s="286"/>
      <c r="BB16" s="287"/>
      <c r="BC16" s="288"/>
      <c r="BD16" s="288"/>
    </row>
    <row r="17" ht="19.5" customHeight="1">
      <c r="A17" s="283"/>
      <c r="B17" s="284"/>
      <c r="C17" s="284"/>
      <c r="D17" s="285" t="b">
        <v>0</v>
      </c>
      <c r="E17" s="285" t="b">
        <v>0</v>
      </c>
      <c r="F17" s="285" t="b">
        <v>0</v>
      </c>
      <c r="G17" s="285" t="b">
        <v>0</v>
      </c>
      <c r="H17" s="285" t="b">
        <v>0</v>
      </c>
      <c r="I17" s="285" t="b">
        <v>0</v>
      </c>
      <c r="J17" s="285" t="b">
        <v>0</v>
      </c>
      <c r="K17" s="285" t="b">
        <v>0</v>
      </c>
      <c r="L17" s="285" t="b">
        <v>0</v>
      </c>
      <c r="M17" s="285" t="b">
        <v>0</v>
      </c>
      <c r="N17" s="285" t="b">
        <v>0</v>
      </c>
      <c r="O17" s="285" t="b">
        <v>0</v>
      </c>
      <c r="P17" s="285" t="b">
        <v>0</v>
      </c>
      <c r="Q17" s="285" t="b">
        <v>0</v>
      </c>
      <c r="R17" s="285" t="b">
        <v>0</v>
      </c>
      <c r="S17" s="285" t="b">
        <v>0</v>
      </c>
      <c r="T17" s="285" t="b">
        <v>0</v>
      </c>
      <c r="U17" s="285" t="b">
        <v>0</v>
      </c>
      <c r="V17" s="285" t="b">
        <v>0</v>
      </c>
      <c r="W17" s="285" t="b">
        <v>0</v>
      </c>
      <c r="X17" s="285" t="b">
        <v>0</v>
      </c>
      <c r="Y17" s="285" t="b">
        <v>0</v>
      </c>
      <c r="Z17" s="285" t="b">
        <v>0</v>
      </c>
      <c r="AA17" s="285" t="b">
        <v>0</v>
      </c>
      <c r="AB17" s="285" t="b">
        <v>0</v>
      </c>
      <c r="AC17" s="285" t="b">
        <v>0</v>
      </c>
      <c r="AD17" s="285" t="b">
        <v>0</v>
      </c>
      <c r="AE17" s="285" t="b">
        <v>0</v>
      </c>
      <c r="AF17" s="285" t="b">
        <v>0</v>
      </c>
      <c r="AG17" s="285" t="b">
        <v>0</v>
      </c>
      <c r="AH17" s="285" t="b">
        <v>0</v>
      </c>
      <c r="AI17" s="285" t="b">
        <v>0</v>
      </c>
      <c r="AJ17" s="285" t="b">
        <v>0</v>
      </c>
      <c r="AK17" s="285" t="b">
        <v>0</v>
      </c>
      <c r="AL17" s="285" t="b">
        <v>0</v>
      </c>
      <c r="AM17" s="285" t="b">
        <v>0</v>
      </c>
      <c r="AN17" s="285" t="b">
        <v>0</v>
      </c>
      <c r="AO17" s="285" t="b">
        <v>0</v>
      </c>
      <c r="AP17" s="285" t="b">
        <v>0</v>
      </c>
      <c r="AQ17" s="285" t="b">
        <v>0</v>
      </c>
      <c r="AR17" s="285" t="b">
        <v>0</v>
      </c>
      <c r="AS17" s="285" t="b">
        <v>0</v>
      </c>
      <c r="AT17" s="285" t="b">
        <v>0</v>
      </c>
      <c r="AU17" s="285" t="b">
        <v>0</v>
      </c>
      <c r="AV17" s="285" t="b">
        <v>0</v>
      </c>
      <c r="AW17" s="285" t="b">
        <v>0</v>
      </c>
      <c r="AX17" s="285" t="b">
        <v>0</v>
      </c>
      <c r="AY17" s="285" t="b">
        <v>0</v>
      </c>
      <c r="AZ17" s="286">
        <f t="shared" si="1"/>
        <v>0</v>
      </c>
      <c r="BA17" s="286"/>
      <c r="BB17" s="287"/>
      <c r="BC17" s="288"/>
      <c r="BD17" s="288"/>
    </row>
    <row r="18" ht="19.5" customHeight="1">
      <c r="A18" s="283"/>
      <c r="B18" s="284"/>
      <c r="C18" s="284"/>
      <c r="D18" s="285" t="b">
        <v>0</v>
      </c>
      <c r="E18" s="285" t="b">
        <v>0</v>
      </c>
      <c r="F18" s="285" t="b">
        <v>0</v>
      </c>
      <c r="G18" s="285" t="b">
        <v>0</v>
      </c>
      <c r="H18" s="285" t="b">
        <v>0</v>
      </c>
      <c r="I18" s="285" t="b">
        <v>0</v>
      </c>
      <c r="J18" s="285" t="b">
        <v>0</v>
      </c>
      <c r="K18" s="285" t="b">
        <v>0</v>
      </c>
      <c r="L18" s="285" t="b">
        <v>0</v>
      </c>
      <c r="M18" s="285" t="b">
        <v>0</v>
      </c>
      <c r="N18" s="285" t="b">
        <v>0</v>
      </c>
      <c r="O18" s="285" t="b">
        <v>0</v>
      </c>
      <c r="P18" s="285" t="b">
        <v>0</v>
      </c>
      <c r="Q18" s="285" t="b">
        <v>0</v>
      </c>
      <c r="R18" s="285" t="b">
        <v>0</v>
      </c>
      <c r="S18" s="285" t="b">
        <v>0</v>
      </c>
      <c r="T18" s="285" t="b">
        <v>0</v>
      </c>
      <c r="U18" s="285" t="b">
        <v>0</v>
      </c>
      <c r="V18" s="285" t="b">
        <v>0</v>
      </c>
      <c r="W18" s="285" t="b">
        <v>0</v>
      </c>
      <c r="X18" s="285" t="b">
        <v>0</v>
      </c>
      <c r="Y18" s="285" t="b">
        <v>0</v>
      </c>
      <c r="Z18" s="285" t="b">
        <v>0</v>
      </c>
      <c r="AA18" s="285" t="b">
        <v>0</v>
      </c>
      <c r="AB18" s="285" t="b">
        <v>0</v>
      </c>
      <c r="AC18" s="285" t="b">
        <v>0</v>
      </c>
      <c r="AD18" s="285" t="b">
        <v>0</v>
      </c>
      <c r="AE18" s="285" t="b">
        <v>0</v>
      </c>
      <c r="AF18" s="285" t="b">
        <v>0</v>
      </c>
      <c r="AG18" s="285" t="b">
        <v>0</v>
      </c>
      <c r="AH18" s="285" t="b">
        <v>0</v>
      </c>
      <c r="AI18" s="285" t="b">
        <v>0</v>
      </c>
      <c r="AJ18" s="285" t="b">
        <v>0</v>
      </c>
      <c r="AK18" s="285" t="b">
        <v>0</v>
      </c>
      <c r="AL18" s="285" t="b">
        <v>0</v>
      </c>
      <c r="AM18" s="285" t="b">
        <v>0</v>
      </c>
      <c r="AN18" s="285" t="b">
        <v>0</v>
      </c>
      <c r="AO18" s="285" t="b">
        <v>0</v>
      </c>
      <c r="AP18" s="285" t="b">
        <v>0</v>
      </c>
      <c r="AQ18" s="285" t="b">
        <v>0</v>
      </c>
      <c r="AR18" s="285" t="b">
        <v>0</v>
      </c>
      <c r="AS18" s="285" t="b">
        <v>0</v>
      </c>
      <c r="AT18" s="285" t="b">
        <v>0</v>
      </c>
      <c r="AU18" s="285" t="b">
        <v>0</v>
      </c>
      <c r="AV18" s="285" t="b">
        <v>0</v>
      </c>
      <c r="AW18" s="285" t="b">
        <v>0</v>
      </c>
      <c r="AX18" s="285" t="b">
        <v>0</v>
      </c>
      <c r="AY18" s="285" t="b">
        <v>0</v>
      </c>
      <c r="AZ18" s="286">
        <f t="shared" si="1"/>
        <v>0</v>
      </c>
      <c r="BA18" s="286"/>
      <c r="BB18" s="287"/>
      <c r="BC18" s="288"/>
      <c r="BD18" s="288"/>
    </row>
    <row r="19" ht="19.5" customHeight="1">
      <c r="A19" s="283" t="s">
        <v>162</v>
      </c>
      <c r="B19" s="284" t="s">
        <v>163</v>
      </c>
      <c r="C19" s="284" t="s">
        <v>164</v>
      </c>
      <c r="D19" s="285" t="b">
        <v>0</v>
      </c>
      <c r="E19" s="285" t="b">
        <v>0</v>
      </c>
      <c r="F19" s="285" t="b">
        <v>0</v>
      </c>
      <c r="G19" s="285" t="b">
        <v>0</v>
      </c>
      <c r="H19" s="285" t="b">
        <v>0</v>
      </c>
      <c r="I19" s="285" t="b">
        <v>0</v>
      </c>
      <c r="J19" s="285" t="b">
        <v>0</v>
      </c>
      <c r="K19" s="285" t="b">
        <v>0</v>
      </c>
      <c r="L19" s="285" t="b">
        <v>0</v>
      </c>
      <c r="M19" s="285" t="b">
        <v>0</v>
      </c>
      <c r="N19" s="285" t="b">
        <v>0</v>
      </c>
      <c r="O19" s="285" t="b">
        <v>0</v>
      </c>
      <c r="P19" s="285" t="b">
        <v>0</v>
      </c>
      <c r="Q19" s="285" t="b">
        <v>0</v>
      </c>
      <c r="R19" s="285" t="b">
        <v>0</v>
      </c>
      <c r="S19" s="285" t="b">
        <v>0</v>
      </c>
      <c r="T19" s="285" t="b">
        <v>0</v>
      </c>
      <c r="U19" s="285" t="b">
        <v>0</v>
      </c>
      <c r="V19" s="285" t="b">
        <v>0</v>
      </c>
      <c r="W19" s="285" t="b">
        <v>0</v>
      </c>
      <c r="X19" s="285" t="b">
        <v>0</v>
      </c>
      <c r="Y19" s="285" t="b">
        <v>0</v>
      </c>
      <c r="Z19" s="285" t="b">
        <v>0</v>
      </c>
      <c r="AA19" s="285" t="b">
        <v>0</v>
      </c>
      <c r="AB19" s="285" t="b">
        <v>0</v>
      </c>
      <c r="AC19" s="285" t="b">
        <v>0</v>
      </c>
      <c r="AD19" s="285" t="b">
        <v>0</v>
      </c>
      <c r="AE19" s="285" t="b">
        <v>0</v>
      </c>
      <c r="AF19" s="285" t="b">
        <v>0</v>
      </c>
      <c r="AG19" s="285" t="b">
        <v>0</v>
      </c>
      <c r="AH19" s="285" t="b">
        <v>0</v>
      </c>
      <c r="AI19" s="285" t="b">
        <v>0</v>
      </c>
      <c r="AJ19" s="285" t="b">
        <v>0</v>
      </c>
      <c r="AK19" s="285" t="b">
        <v>0</v>
      </c>
      <c r="AL19" s="285" t="b">
        <v>0</v>
      </c>
      <c r="AM19" s="285" t="b">
        <v>0</v>
      </c>
      <c r="AN19" s="285" t="b">
        <v>0</v>
      </c>
      <c r="AO19" s="285" t="b">
        <v>0</v>
      </c>
      <c r="AP19" s="285" t="b">
        <v>0</v>
      </c>
      <c r="AQ19" s="285" t="b">
        <v>0</v>
      </c>
      <c r="AR19" s="285" t="b">
        <v>0</v>
      </c>
      <c r="AS19" s="285" t="b">
        <v>0</v>
      </c>
      <c r="AT19" s="285" t="b">
        <v>0</v>
      </c>
      <c r="AU19" s="285" t="b">
        <v>0</v>
      </c>
      <c r="AV19" s="285" t="b">
        <v>0</v>
      </c>
      <c r="AW19" s="285" t="b">
        <v>0</v>
      </c>
      <c r="AX19" s="285" t="b">
        <v>0</v>
      </c>
      <c r="AY19" s="285" t="b">
        <v>0</v>
      </c>
      <c r="AZ19" s="286">
        <f t="shared" si="1"/>
        <v>0</v>
      </c>
      <c r="BA19" s="286" t="s">
        <v>85</v>
      </c>
      <c r="BB19" s="287">
        <v>337.0</v>
      </c>
      <c r="BC19" s="288">
        <v>46174.0</v>
      </c>
      <c r="BD19" s="288">
        <v>46104.0</v>
      </c>
    </row>
    <row r="20" ht="19.5" customHeight="1">
      <c r="A20" s="283" t="s">
        <v>171</v>
      </c>
      <c r="B20" s="284" t="s">
        <v>172</v>
      </c>
      <c r="C20" s="284" t="s">
        <v>173</v>
      </c>
      <c r="D20" s="285" t="b">
        <v>0</v>
      </c>
      <c r="E20" s="285" t="b">
        <v>0</v>
      </c>
      <c r="F20" s="285" t="b">
        <v>0</v>
      </c>
      <c r="G20" s="285" t="b">
        <v>0</v>
      </c>
      <c r="H20" s="285" t="b">
        <v>0</v>
      </c>
      <c r="I20" s="285" t="b">
        <v>0</v>
      </c>
      <c r="J20" s="285" t="b">
        <v>0</v>
      </c>
      <c r="K20" s="285" t="b">
        <v>0</v>
      </c>
      <c r="L20" s="285" t="b">
        <v>0</v>
      </c>
      <c r="M20" s="285" t="b">
        <v>0</v>
      </c>
      <c r="N20" s="285" t="b">
        <v>0</v>
      </c>
      <c r="O20" s="285" t="b">
        <v>0</v>
      </c>
      <c r="P20" s="285" t="b">
        <v>0</v>
      </c>
      <c r="Q20" s="285" t="b">
        <v>0</v>
      </c>
      <c r="R20" s="285" t="b">
        <v>0</v>
      </c>
      <c r="S20" s="285" t="b">
        <v>0</v>
      </c>
      <c r="T20" s="285" t="b">
        <v>0</v>
      </c>
      <c r="U20" s="285" t="b">
        <v>0</v>
      </c>
      <c r="V20" s="285" t="b">
        <v>0</v>
      </c>
      <c r="W20" s="285" t="b">
        <v>0</v>
      </c>
      <c r="X20" s="285" t="b">
        <v>0</v>
      </c>
      <c r="Y20" s="285" t="b">
        <v>0</v>
      </c>
      <c r="Z20" s="285" t="b">
        <v>0</v>
      </c>
      <c r="AA20" s="285" t="b">
        <v>0</v>
      </c>
      <c r="AB20" s="285" t="b">
        <v>0</v>
      </c>
      <c r="AC20" s="285" t="b">
        <v>0</v>
      </c>
      <c r="AD20" s="285" t="b">
        <v>0</v>
      </c>
      <c r="AE20" s="285" t="b">
        <v>0</v>
      </c>
      <c r="AF20" s="285" t="b">
        <v>0</v>
      </c>
      <c r="AG20" s="285" t="b">
        <v>0</v>
      </c>
      <c r="AH20" s="285" t="b">
        <v>0</v>
      </c>
      <c r="AI20" s="285" t="b">
        <v>0</v>
      </c>
      <c r="AJ20" s="285" t="b">
        <v>0</v>
      </c>
      <c r="AK20" s="285" t="b">
        <v>0</v>
      </c>
      <c r="AL20" s="285" t="b">
        <v>0</v>
      </c>
      <c r="AM20" s="285" t="b">
        <v>0</v>
      </c>
      <c r="AN20" s="285" t="b">
        <v>0</v>
      </c>
      <c r="AO20" s="285" t="b">
        <v>0</v>
      </c>
      <c r="AP20" s="285" t="b">
        <v>0</v>
      </c>
      <c r="AQ20" s="285" t="b">
        <v>0</v>
      </c>
      <c r="AR20" s="285" t="b">
        <v>0</v>
      </c>
      <c r="AS20" s="285" t="b">
        <v>0</v>
      </c>
      <c r="AT20" s="285" t="b">
        <v>0</v>
      </c>
      <c r="AU20" s="285" t="b">
        <v>0</v>
      </c>
      <c r="AV20" s="285" t="b">
        <v>0</v>
      </c>
      <c r="AW20" s="285" t="b">
        <v>0</v>
      </c>
      <c r="AX20" s="285" t="b">
        <v>0</v>
      </c>
      <c r="AY20" s="285" t="b">
        <v>0</v>
      </c>
      <c r="AZ20" s="286">
        <f t="shared" si="1"/>
        <v>0</v>
      </c>
      <c r="BA20" s="286" t="s">
        <v>85</v>
      </c>
      <c r="BB20" s="287">
        <v>390.0</v>
      </c>
      <c r="BC20" s="288">
        <v>46023.0</v>
      </c>
      <c r="BD20" s="288">
        <v>46097.0</v>
      </c>
    </row>
    <row r="21" ht="19.5" customHeight="1">
      <c r="A21" s="283" t="s">
        <v>179</v>
      </c>
      <c r="B21" s="284" t="s">
        <v>180</v>
      </c>
      <c r="C21" s="284" t="s">
        <v>181</v>
      </c>
      <c r="D21" s="285" t="b">
        <v>0</v>
      </c>
      <c r="E21" s="285" t="b">
        <v>0</v>
      </c>
      <c r="F21" s="285" t="b">
        <v>0</v>
      </c>
      <c r="G21" s="285" t="b">
        <v>0</v>
      </c>
      <c r="H21" s="285" t="b">
        <v>0</v>
      </c>
      <c r="I21" s="285" t="b">
        <v>0</v>
      </c>
      <c r="J21" s="285" t="b">
        <v>0</v>
      </c>
      <c r="K21" s="285" t="b">
        <v>0</v>
      </c>
      <c r="L21" s="285" t="b">
        <v>0</v>
      </c>
      <c r="M21" s="285" t="b">
        <v>0</v>
      </c>
      <c r="N21" s="285" t="b">
        <v>0</v>
      </c>
      <c r="O21" s="285" t="b">
        <v>0</v>
      </c>
      <c r="P21" s="285" t="b">
        <v>0</v>
      </c>
      <c r="Q21" s="285" t="b">
        <v>0</v>
      </c>
      <c r="R21" s="285" t="b">
        <v>0</v>
      </c>
      <c r="S21" s="285" t="b">
        <v>0</v>
      </c>
      <c r="T21" s="285" t="b">
        <v>0</v>
      </c>
      <c r="U21" s="285" t="b">
        <v>0</v>
      </c>
      <c r="V21" s="285" t="b">
        <v>0</v>
      </c>
      <c r="W21" s="285" t="b">
        <v>0</v>
      </c>
      <c r="X21" s="285" t="b">
        <v>0</v>
      </c>
      <c r="Y21" s="285" t="b">
        <v>0</v>
      </c>
      <c r="Z21" s="285" t="b">
        <v>0</v>
      </c>
      <c r="AA21" s="285" t="b">
        <v>0</v>
      </c>
      <c r="AB21" s="285" t="b">
        <v>0</v>
      </c>
      <c r="AC21" s="285" t="b">
        <v>0</v>
      </c>
      <c r="AD21" s="285" t="b">
        <v>0</v>
      </c>
      <c r="AE21" s="285" t="b">
        <v>0</v>
      </c>
      <c r="AF21" s="285" t="b">
        <v>0</v>
      </c>
      <c r="AG21" s="285" t="b">
        <v>0</v>
      </c>
      <c r="AH21" s="285" t="b">
        <v>0</v>
      </c>
      <c r="AI21" s="285" t="b">
        <v>0</v>
      </c>
      <c r="AJ21" s="285" t="b">
        <v>0</v>
      </c>
      <c r="AK21" s="285" t="b">
        <v>0</v>
      </c>
      <c r="AL21" s="285" t="b">
        <v>0</v>
      </c>
      <c r="AM21" s="285" t="b">
        <v>0</v>
      </c>
      <c r="AN21" s="285" t="b">
        <v>0</v>
      </c>
      <c r="AO21" s="285" t="b">
        <v>0</v>
      </c>
      <c r="AP21" s="285" t="b">
        <v>0</v>
      </c>
      <c r="AQ21" s="285" t="b">
        <v>0</v>
      </c>
      <c r="AR21" s="285" t="b">
        <v>0</v>
      </c>
      <c r="AS21" s="285" t="b">
        <v>0</v>
      </c>
      <c r="AT21" s="285" t="b">
        <v>0</v>
      </c>
      <c r="AU21" s="285" t="b">
        <v>0</v>
      </c>
      <c r="AV21" s="285" t="b">
        <v>0</v>
      </c>
      <c r="AW21" s="285" t="b">
        <v>0</v>
      </c>
      <c r="AX21" s="285" t="b">
        <v>0</v>
      </c>
      <c r="AY21" s="285" t="b">
        <v>0</v>
      </c>
      <c r="AZ21" s="286">
        <f t="shared" si="1"/>
        <v>0</v>
      </c>
      <c r="BA21" s="286" t="s">
        <v>85</v>
      </c>
      <c r="BB21" s="287">
        <v>415.0</v>
      </c>
      <c r="BC21" s="288">
        <v>46266.0</v>
      </c>
      <c r="BD21" s="288">
        <v>45985.0</v>
      </c>
    </row>
    <row r="22" ht="24.0" customHeight="1">
      <c r="A22" s="283" t="s">
        <v>186</v>
      </c>
      <c r="B22" s="284" t="s">
        <v>187</v>
      </c>
      <c r="C22" s="284" t="s">
        <v>125</v>
      </c>
      <c r="D22" s="285" t="b">
        <v>0</v>
      </c>
      <c r="E22" s="285" t="b">
        <v>0</v>
      </c>
      <c r="F22" s="285" t="b">
        <v>0</v>
      </c>
      <c r="G22" s="285" t="b">
        <v>0</v>
      </c>
      <c r="H22" s="285" t="b">
        <v>0</v>
      </c>
      <c r="I22" s="285" t="b">
        <v>0</v>
      </c>
      <c r="J22" s="285" t="b">
        <v>0</v>
      </c>
      <c r="K22" s="285" t="b">
        <v>0</v>
      </c>
      <c r="L22" s="285" t="b">
        <v>0</v>
      </c>
      <c r="M22" s="285" t="b">
        <v>0</v>
      </c>
      <c r="N22" s="285" t="b">
        <v>0</v>
      </c>
      <c r="O22" s="285" t="b">
        <v>0</v>
      </c>
      <c r="P22" s="285" t="b">
        <v>0</v>
      </c>
      <c r="Q22" s="285" t="b">
        <v>0</v>
      </c>
      <c r="R22" s="285" t="b">
        <v>0</v>
      </c>
      <c r="S22" s="285" t="b">
        <v>0</v>
      </c>
      <c r="T22" s="285" t="b">
        <v>0</v>
      </c>
      <c r="U22" s="285" t="b">
        <v>0</v>
      </c>
      <c r="V22" s="285" t="b">
        <v>0</v>
      </c>
      <c r="W22" s="285" t="b">
        <v>0</v>
      </c>
      <c r="X22" s="285" t="b">
        <v>0</v>
      </c>
      <c r="Y22" s="285" t="b">
        <v>0</v>
      </c>
      <c r="Z22" s="285" t="b">
        <v>0</v>
      </c>
      <c r="AA22" s="285" t="b">
        <v>0</v>
      </c>
      <c r="AB22" s="285" t="b">
        <v>0</v>
      </c>
      <c r="AC22" s="285" t="b">
        <v>0</v>
      </c>
      <c r="AD22" s="285" t="b">
        <v>0</v>
      </c>
      <c r="AE22" s="285" t="b">
        <v>0</v>
      </c>
      <c r="AF22" s="285" t="b">
        <v>0</v>
      </c>
      <c r="AG22" s="285" t="b">
        <v>0</v>
      </c>
      <c r="AH22" s="285" t="b">
        <v>0</v>
      </c>
      <c r="AI22" s="285" t="b">
        <v>0</v>
      </c>
      <c r="AJ22" s="285" t="b">
        <v>0</v>
      </c>
      <c r="AK22" s="285" t="b">
        <v>0</v>
      </c>
      <c r="AL22" s="285" t="b">
        <v>0</v>
      </c>
      <c r="AM22" s="285" t="b">
        <v>0</v>
      </c>
      <c r="AN22" s="285" t="b">
        <v>0</v>
      </c>
      <c r="AO22" s="285" t="b">
        <v>0</v>
      </c>
      <c r="AP22" s="285" t="b">
        <v>0</v>
      </c>
      <c r="AQ22" s="285" t="b">
        <v>0</v>
      </c>
      <c r="AR22" s="285" t="b">
        <v>0</v>
      </c>
      <c r="AS22" s="285" t="b">
        <v>0</v>
      </c>
      <c r="AT22" s="285" t="b">
        <v>0</v>
      </c>
      <c r="AU22" s="285" t="b">
        <v>0</v>
      </c>
      <c r="AV22" s="285" t="b">
        <v>0</v>
      </c>
      <c r="AW22" s="285" t="b">
        <v>0</v>
      </c>
      <c r="AX22" s="285" t="b">
        <v>0</v>
      </c>
      <c r="AY22" s="285" t="b">
        <v>0</v>
      </c>
      <c r="AZ22" s="286">
        <f t="shared" si="1"/>
        <v>0</v>
      </c>
      <c r="BA22" s="286" t="s">
        <v>85</v>
      </c>
      <c r="BB22" s="287">
        <v>351.0</v>
      </c>
      <c r="BC22" s="288">
        <v>45658.0</v>
      </c>
      <c r="BD22" s="288">
        <v>45825.0</v>
      </c>
    </row>
    <row r="23" ht="24.0" customHeight="1">
      <c r="A23" s="283" t="s">
        <v>192</v>
      </c>
      <c r="B23" s="284" t="s">
        <v>187</v>
      </c>
      <c r="C23" s="284" t="s">
        <v>193</v>
      </c>
      <c r="D23" s="285" t="b">
        <v>0</v>
      </c>
      <c r="E23" s="285" t="b">
        <v>0</v>
      </c>
      <c r="F23" s="285" t="b">
        <v>0</v>
      </c>
      <c r="G23" s="285" t="b">
        <v>0</v>
      </c>
      <c r="H23" s="285" t="b">
        <v>0</v>
      </c>
      <c r="I23" s="285" t="b">
        <v>0</v>
      </c>
      <c r="J23" s="285" t="b">
        <v>0</v>
      </c>
      <c r="K23" s="285" t="b">
        <v>0</v>
      </c>
      <c r="L23" s="285" t="b">
        <v>0</v>
      </c>
      <c r="M23" s="285" t="b">
        <v>0</v>
      </c>
      <c r="N23" s="285" t="b">
        <v>0</v>
      </c>
      <c r="O23" s="285" t="b">
        <v>0</v>
      </c>
      <c r="P23" s="285" t="b">
        <v>0</v>
      </c>
      <c r="Q23" s="285" t="b">
        <v>0</v>
      </c>
      <c r="R23" s="285" t="b">
        <v>0</v>
      </c>
      <c r="S23" s="285" t="b">
        <v>0</v>
      </c>
      <c r="T23" s="285" t="b">
        <v>0</v>
      </c>
      <c r="U23" s="285" t="b">
        <v>0</v>
      </c>
      <c r="V23" s="285" t="b">
        <v>0</v>
      </c>
      <c r="W23" s="285" t="b">
        <v>0</v>
      </c>
      <c r="X23" s="285" t="b">
        <v>0</v>
      </c>
      <c r="Y23" s="285" t="b">
        <v>0</v>
      </c>
      <c r="Z23" s="285" t="b">
        <v>0</v>
      </c>
      <c r="AA23" s="285" t="b">
        <v>0</v>
      </c>
      <c r="AB23" s="285" t="b">
        <v>0</v>
      </c>
      <c r="AC23" s="285" t="b">
        <v>0</v>
      </c>
      <c r="AD23" s="285" t="b">
        <v>0</v>
      </c>
      <c r="AE23" s="285" t="b">
        <v>0</v>
      </c>
      <c r="AF23" s="285" t="b">
        <v>0</v>
      </c>
      <c r="AG23" s="285" t="b">
        <v>0</v>
      </c>
      <c r="AH23" s="285" t="b">
        <v>0</v>
      </c>
      <c r="AI23" s="285" t="b">
        <v>0</v>
      </c>
      <c r="AJ23" s="285" t="b">
        <v>0</v>
      </c>
      <c r="AK23" s="285" t="b">
        <v>0</v>
      </c>
      <c r="AL23" s="285" t="b">
        <v>0</v>
      </c>
      <c r="AM23" s="285" t="b">
        <v>0</v>
      </c>
      <c r="AN23" s="285" t="b">
        <v>0</v>
      </c>
      <c r="AO23" s="285" t="b">
        <v>0</v>
      </c>
      <c r="AP23" s="285" t="b">
        <v>0</v>
      </c>
      <c r="AQ23" s="285" t="b">
        <v>0</v>
      </c>
      <c r="AR23" s="285" t="b">
        <v>0</v>
      </c>
      <c r="AS23" s="285" t="b">
        <v>0</v>
      </c>
      <c r="AT23" s="285" t="b">
        <v>0</v>
      </c>
      <c r="AU23" s="285" t="b">
        <v>0</v>
      </c>
      <c r="AV23" s="285" t="b">
        <v>0</v>
      </c>
      <c r="AW23" s="285" t="b">
        <v>0</v>
      </c>
      <c r="AX23" s="285" t="b">
        <v>0</v>
      </c>
      <c r="AY23" s="285" t="b">
        <v>0</v>
      </c>
      <c r="AZ23" s="286">
        <f t="shared" si="1"/>
        <v>0</v>
      </c>
      <c r="BA23" s="286" t="s">
        <v>85</v>
      </c>
      <c r="BB23" s="287">
        <v>376.0</v>
      </c>
      <c r="BC23" s="288">
        <v>46204.0</v>
      </c>
      <c r="BD23" s="288">
        <v>36526.0</v>
      </c>
    </row>
    <row r="24" ht="24.0" customHeight="1">
      <c r="A24" s="283" t="s">
        <v>198</v>
      </c>
      <c r="B24" s="284" t="s">
        <v>199</v>
      </c>
      <c r="C24" s="284" t="s">
        <v>200</v>
      </c>
      <c r="D24" s="285" t="b">
        <v>0</v>
      </c>
      <c r="E24" s="285" t="b">
        <v>0</v>
      </c>
      <c r="F24" s="285" t="b">
        <v>0</v>
      </c>
      <c r="G24" s="285" t="b">
        <v>0</v>
      </c>
      <c r="H24" s="285" t="b">
        <v>0</v>
      </c>
      <c r="I24" s="285" t="b">
        <v>0</v>
      </c>
      <c r="J24" s="285" t="b">
        <v>0</v>
      </c>
      <c r="K24" s="285" t="b">
        <v>0</v>
      </c>
      <c r="L24" s="285" t="b">
        <v>0</v>
      </c>
      <c r="M24" s="285" t="b">
        <v>0</v>
      </c>
      <c r="N24" s="285" t="b">
        <v>0</v>
      </c>
      <c r="O24" s="285" t="b">
        <v>0</v>
      </c>
      <c r="P24" s="285" t="b">
        <v>0</v>
      </c>
      <c r="Q24" s="285" t="b">
        <v>0</v>
      </c>
      <c r="R24" s="285" t="b">
        <v>0</v>
      </c>
      <c r="S24" s="285" t="b">
        <v>0</v>
      </c>
      <c r="T24" s="285" t="b">
        <v>0</v>
      </c>
      <c r="U24" s="285" t="b">
        <v>0</v>
      </c>
      <c r="V24" s="285" t="b">
        <v>0</v>
      </c>
      <c r="W24" s="285" t="b">
        <v>0</v>
      </c>
      <c r="X24" s="285" t="b">
        <v>0</v>
      </c>
      <c r="Y24" s="285" t="b">
        <v>0</v>
      </c>
      <c r="Z24" s="285" t="b">
        <v>0</v>
      </c>
      <c r="AA24" s="285" t="b">
        <v>0</v>
      </c>
      <c r="AB24" s="285" t="b">
        <v>0</v>
      </c>
      <c r="AC24" s="285" t="b">
        <v>0</v>
      </c>
      <c r="AD24" s="285" t="b">
        <v>0</v>
      </c>
      <c r="AE24" s="285" t="b">
        <v>0</v>
      </c>
      <c r="AF24" s="285" t="b">
        <v>0</v>
      </c>
      <c r="AG24" s="285" t="b">
        <v>0</v>
      </c>
      <c r="AH24" s="285" t="b">
        <v>0</v>
      </c>
      <c r="AI24" s="285" t="b">
        <v>0</v>
      </c>
      <c r="AJ24" s="285" t="b">
        <v>0</v>
      </c>
      <c r="AK24" s="285" t="b">
        <v>0</v>
      </c>
      <c r="AL24" s="285" t="b">
        <v>0</v>
      </c>
      <c r="AM24" s="285" t="b">
        <v>0</v>
      </c>
      <c r="AN24" s="285" t="b">
        <v>0</v>
      </c>
      <c r="AO24" s="285" t="b">
        <v>0</v>
      </c>
      <c r="AP24" s="285" t="b">
        <v>0</v>
      </c>
      <c r="AQ24" s="285" t="b">
        <v>0</v>
      </c>
      <c r="AR24" s="285" t="b">
        <v>0</v>
      </c>
      <c r="AS24" s="285" t="b">
        <v>0</v>
      </c>
      <c r="AT24" s="285" t="b">
        <v>0</v>
      </c>
      <c r="AU24" s="285" t="b">
        <v>0</v>
      </c>
      <c r="AV24" s="285" t="b">
        <v>0</v>
      </c>
      <c r="AW24" s="285" t="b">
        <v>0</v>
      </c>
      <c r="AX24" s="285" t="b">
        <v>0</v>
      </c>
      <c r="AY24" s="285" t="b">
        <v>0</v>
      </c>
      <c r="AZ24" s="286">
        <f t="shared" si="1"/>
        <v>0</v>
      </c>
      <c r="BA24" s="286" t="s">
        <v>85</v>
      </c>
      <c r="BB24" s="287">
        <v>889.0</v>
      </c>
      <c r="BC24" s="288">
        <v>46174.0</v>
      </c>
      <c r="BD24" s="288">
        <v>45936.0</v>
      </c>
    </row>
    <row r="25" ht="24.0" customHeight="1">
      <c r="A25" s="283" t="s">
        <v>206</v>
      </c>
      <c r="B25" s="284" t="s">
        <v>207</v>
      </c>
      <c r="C25" s="284" t="s">
        <v>208</v>
      </c>
      <c r="D25" s="285" t="b">
        <v>1</v>
      </c>
      <c r="E25" s="285" t="b">
        <v>1</v>
      </c>
      <c r="F25" s="285" t="b">
        <v>0</v>
      </c>
      <c r="G25" s="285" t="b">
        <v>0</v>
      </c>
      <c r="H25" s="285" t="b">
        <v>0</v>
      </c>
      <c r="I25" s="285" t="b">
        <v>0</v>
      </c>
      <c r="J25" s="285" t="b">
        <v>0</v>
      </c>
      <c r="K25" s="285" t="b">
        <v>0</v>
      </c>
      <c r="L25" s="285" t="b">
        <v>0</v>
      </c>
      <c r="M25" s="285" t="b">
        <v>0</v>
      </c>
      <c r="N25" s="285" t="b">
        <v>0</v>
      </c>
      <c r="O25" s="285" t="b">
        <v>0</v>
      </c>
      <c r="P25" s="285" t="b">
        <v>0</v>
      </c>
      <c r="Q25" s="285" t="b">
        <v>0</v>
      </c>
      <c r="R25" s="285" t="b">
        <v>0</v>
      </c>
      <c r="S25" s="285" t="b">
        <v>0</v>
      </c>
      <c r="T25" s="285" t="b">
        <v>0</v>
      </c>
      <c r="U25" s="285" t="b">
        <v>0</v>
      </c>
      <c r="V25" s="285" t="b">
        <v>0</v>
      </c>
      <c r="W25" s="285" t="b">
        <v>0</v>
      </c>
      <c r="X25" s="285" t="b">
        <v>0</v>
      </c>
      <c r="Y25" s="285" t="b">
        <v>0</v>
      </c>
      <c r="Z25" s="285" t="b">
        <v>0</v>
      </c>
      <c r="AA25" s="285" t="b">
        <v>0</v>
      </c>
      <c r="AB25" s="285" t="b">
        <v>0</v>
      </c>
      <c r="AC25" s="285" t="b">
        <v>0</v>
      </c>
      <c r="AD25" s="285" t="b">
        <v>0</v>
      </c>
      <c r="AE25" s="285" t="b">
        <v>0</v>
      </c>
      <c r="AF25" s="285" t="b">
        <v>0</v>
      </c>
      <c r="AG25" s="285" t="b">
        <v>0</v>
      </c>
      <c r="AH25" s="285" t="b">
        <v>0</v>
      </c>
      <c r="AI25" s="285" t="b">
        <v>0</v>
      </c>
      <c r="AJ25" s="285" t="b">
        <v>0</v>
      </c>
      <c r="AK25" s="285" t="b">
        <v>0</v>
      </c>
      <c r="AL25" s="285" t="b">
        <v>0</v>
      </c>
      <c r="AM25" s="285" t="b">
        <v>0</v>
      </c>
      <c r="AN25" s="285" t="b">
        <v>0</v>
      </c>
      <c r="AO25" s="285" t="b">
        <v>0</v>
      </c>
      <c r="AP25" s="285" t="b">
        <v>0</v>
      </c>
      <c r="AQ25" s="285" t="b">
        <v>0</v>
      </c>
      <c r="AR25" s="285" t="b">
        <v>0</v>
      </c>
      <c r="AS25" s="285" t="b">
        <v>0</v>
      </c>
      <c r="AT25" s="285" t="b">
        <v>0</v>
      </c>
      <c r="AU25" s="285" t="b">
        <v>0</v>
      </c>
      <c r="AV25" s="285" t="b">
        <v>0</v>
      </c>
      <c r="AW25" s="285" t="b">
        <v>0</v>
      </c>
      <c r="AX25" s="285" t="b">
        <v>0</v>
      </c>
      <c r="AY25" s="285" t="b">
        <v>0</v>
      </c>
      <c r="AZ25" s="286">
        <f t="shared" si="1"/>
        <v>2</v>
      </c>
      <c r="BA25" s="286" t="s">
        <v>85</v>
      </c>
      <c r="BB25" s="287">
        <v>637.0</v>
      </c>
      <c r="BC25" s="288">
        <v>46266.0</v>
      </c>
      <c r="BD25" s="288">
        <v>45969.0</v>
      </c>
    </row>
    <row r="26" ht="24.0" customHeight="1">
      <c r="A26" s="283" t="s">
        <v>216</v>
      </c>
      <c r="B26" s="284" t="s">
        <v>217</v>
      </c>
      <c r="C26" s="284" t="s">
        <v>218</v>
      </c>
      <c r="D26" s="285" t="b">
        <v>0</v>
      </c>
      <c r="E26" s="285" t="b">
        <v>0</v>
      </c>
      <c r="F26" s="285" t="b">
        <v>0</v>
      </c>
      <c r="G26" s="285" t="b">
        <v>0</v>
      </c>
      <c r="H26" s="285" t="b">
        <v>0</v>
      </c>
      <c r="I26" s="285" t="b">
        <v>0</v>
      </c>
      <c r="J26" s="285" t="b">
        <v>0</v>
      </c>
      <c r="K26" s="285" t="b">
        <v>0</v>
      </c>
      <c r="L26" s="285" t="b">
        <v>0</v>
      </c>
      <c r="M26" s="285" t="b">
        <v>0</v>
      </c>
      <c r="N26" s="285" t="b">
        <v>0</v>
      </c>
      <c r="O26" s="285" t="b">
        <v>0</v>
      </c>
      <c r="P26" s="285" t="b">
        <v>0</v>
      </c>
      <c r="Q26" s="285" t="b">
        <v>0</v>
      </c>
      <c r="R26" s="285" t="b">
        <v>0</v>
      </c>
      <c r="S26" s="285" t="b">
        <v>0</v>
      </c>
      <c r="T26" s="285" t="b">
        <v>0</v>
      </c>
      <c r="U26" s="285" t="b">
        <v>0</v>
      </c>
      <c r="V26" s="285" t="b">
        <v>0</v>
      </c>
      <c r="W26" s="285" t="b">
        <v>0</v>
      </c>
      <c r="X26" s="285" t="b">
        <v>0</v>
      </c>
      <c r="Y26" s="285" t="b">
        <v>0</v>
      </c>
      <c r="Z26" s="285" t="b">
        <v>0</v>
      </c>
      <c r="AA26" s="285" t="b">
        <v>0</v>
      </c>
      <c r="AB26" s="285" t="b">
        <v>0</v>
      </c>
      <c r="AC26" s="285" t="b">
        <v>0</v>
      </c>
      <c r="AD26" s="285" t="b">
        <v>0</v>
      </c>
      <c r="AE26" s="285" t="b">
        <v>0</v>
      </c>
      <c r="AF26" s="285" t="b">
        <v>0</v>
      </c>
      <c r="AG26" s="285" t="b">
        <v>0</v>
      </c>
      <c r="AH26" s="285" t="b">
        <v>0</v>
      </c>
      <c r="AI26" s="285" t="b">
        <v>0</v>
      </c>
      <c r="AJ26" s="285" t="b">
        <v>0</v>
      </c>
      <c r="AK26" s="285" t="b">
        <v>0</v>
      </c>
      <c r="AL26" s="285" t="b">
        <v>0</v>
      </c>
      <c r="AM26" s="285" t="b">
        <v>0</v>
      </c>
      <c r="AN26" s="285" t="b">
        <v>0</v>
      </c>
      <c r="AO26" s="285" t="b">
        <v>0</v>
      </c>
      <c r="AP26" s="285" t="b">
        <v>0</v>
      </c>
      <c r="AQ26" s="285" t="b">
        <v>0</v>
      </c>
      <c r="AR26" s="285" t="b">
        <v>0</v>
      </c>
      <c r="AS26" s="285" t="b">
        <v>0</v>
      </c>
      <c r="AT26" s="285" t="b">
        <v>0</v>
      </c>
      <c r="AU26" s="285" t="b">
        <v>0</v>
      </c>
      <c r="AV26" s="285" t="b">
        <v>0</v>
      </c>
      <c r="AW26" s="285" t="b">
        <v>0</v>
      </c>
      <c r="AX26" s="285" t="b">
        <v>0</v>
      </c>
      <c r="AY26" s="285" t="b">
        <v>0</v>
      </c>
      <c r="AZ26" s="286">
        <f t="shared" si="1"/>
        <v>0</v>
      </c>
      <c r="BA26" s="286" t="s">
        <v>85</v>
      </c>
      <c r="BB26" s="287">
        <v>280.0</v>
      </c>
      <c r="BC26" s="288">
        <v>46082.0</v>
      </c>
      <c r="BD26" s="288">
        <v>46126.0</v>
      </c>
    </row>
    <row r="27" ht="24.0" customHeight="1">
      <c r="A27" s="283" t="s">
        <v>225</v>
      </c>
      <c r="B27" s="284" t="s">
        <v>226</v>
      </c>
      <c r="C27" s="284" t="s">
        <v>227</v>
      </c>
      <c r="D27" s="285" t="b">
        <v>0</v>
      </c>
      <c r="E27" s="285" t="b">
        <v>0</v>
      </c>
      <c r="F27" s="285" t="b">
        <v>0</v>
      </c>
      <c r="G27" s="285" t="b">
        <v>0</v>
      </c>
      <c r="H27" s="285" t="b">
        <v>0</v>
      </c>
      <c r="I27" s="285" t="b">
        <v>0</v>
      </c>
      <c r="J27" s="285" t="b">
        <v>0</v>
      </c>
      <c r="K27" s="285" t="b">
        <v>0</v>
      </c>
      <c r="L27" s="285" t="b">
        <v>0</v>
      </c>
      <c r="M27" s="285" t="b">
        <v>0</v>
      </c>
      <c r="N27" s="285" t="b">
        <v>0</v>
      </c>
      <c r="O27" s="285" t="b">
        <v>0</v>
      </c>
      <c r="P27" s="285" t="b">
        <v>0</v>
      </c>
      <c r="Q27" s="285" t="b">
        <v>0</v>
      </c>
      <c r="R27" s="285" t="b">
        <v>0</v>
      </c>
      <c r="S27" s="285" t="b">
        <v>0</v>
      </c>
      <c r="T27" s="285" t="b">
        <v>0</v>
      </c>
      <c r="U27" s="285" t="b">
        <v>0</v>
      </c>
      <c r="V27" s="285" t="b">
        <v>0</v>
      </c>
      <c r="W27" s="285" t="b">
        <v>0</v>
      </c>
      <c r="X27" s="285" t="b">
        <v>0</v>
      </c>
      <c r="Y27" s="285" t="b">
        <v>0</v>
      </c>
      <c r="Z27" s="285" t="b">
        <v>0</v>
      </c>
      <c r="AA27" s="285" t="b">
        <v>0</v>
      </c>
      <c r="AB27" s="285" t="b">
        <v>0</v>
      </c>
      <c r="AC27" s="285" t="b">
        <v>0</v>
      </c>
      <c r="AD27" s="285" t="b">
        <v>0</v>
      </c>
      <c r="AE27" s="285" t="b">
        <v>0</v>
      </c>
      <c r="AF27" s="285" t="b">
        <v>0</v>
      </c>
      <c r="AG27" s="285" t="b">
        <v>0</v>
      </c>
      <c r="AH27" s="285" t="b">
        <v>0</v>
      </c>
      <c r="AI27" s="285" t="b">
        <v>0</v>
      </c>
      <c r="AJ27" s="285" t="b">
        <v>0</v>
      </c>
      <c r="AK27" s="285" t="b">
        <v>0</v>
      </c>
      <c r="AL27" s="285" t="b">
        <v>0</v>
      </c>
      <c r="AM27" s="285" t="b">
        <v>0</v>
      </c>
      <c r="AN27" s="285" t="b">
        <v>0</v>
      </c>
      <c r="AO27" s="285" t="b">
        <v>0</v>
      </c>
      <c r="AP27" s="285" t="b">
        <v>0</v>
      </c>
      <c r="AQ27" s="285" t="b">
        <v>0</v>
      </c>
      <c r="AR27" s="285" t="b">
        <v>0</v>
      </c>
      <c r="AS27" s="285" t="b">
        <v>0</v>
      </c>
      <c r="AT27" s="285" t="b">
        <v>0</v>
      </c>
      <c r="AU27" s="285" t="b">
        <v>0</v>
      </c>
      <c r="AV27" s="285" t="b">
        <v>0</v>
      </c>
      <c r="AW27" s="285" t="b">
        <v>0</v>
      </c>
      <c r="AX27" s="285" t="b">
        <v>0</v>
      </c>
      <c r="AY27" s="285" t="b">
        <v>0</v>
      </c>
      <c r="AZ27" s="286">
        <f t="shared" si="1"/>
        <v>0</v>
      </c>
      <c r="BA27" s="286" t="s">
        <v>85</v>
      </c>
      <c r="BB27" s="287">
        <v>280.0</v>
      </c>
      <c r="BC27" s="288">
        <v>46054.0</v>
      </c>
      <c r="BD27" s="288">
        <v>45985.0</v>
      </c>
    </row>
    <row r="28" ht="24.0" customHeight="1">
      <c r="A28" s="283"/>
      <c r="B28" s="284"/>
      <c r="C28" s="284"/>
      <c r="D28" s="285" t="b">
        <v>0</v>
      </c>
      <c r="E28" s="285" t="b">
        <v>0</v>
      </c>
      <c r="F28" s="285" t="b">
        <v>0</v>
      </c>
      <c r="G28" s="285" t="b">
        <v>0</v>
      </c>
      <c r="H28" s="285" t="b">
        <v>0</v>
      </c>
      <c r="I28" s="285" t="b">
        <v>0</v>
      </c>
      <c r="J28" s="285" t="b">
        <v>0</v>
      </c>
      <c r="K28" s="285" t="b">
        <v>0</v>
      </c>
      <c r="L28" s="285" t="b">
        <v>0</v>
      </c>
      <c r="M28" s="285" t="b">
        <v>0</v>
      </c>
      <c r="N28" s="285" t="b">
        <v>0</v>
      </c>
      <c r="O28" s="285" t="b">
        <v>0</v>
      </c>
      <c r="P28" s="285" t="b">
        <v>0</v>
      </c>
      <c r="Q28" s="285" t="b">
        <v>0</v>
      </c>
      <c r="R28" s="285" t="b">
        <v>0</v>
      </c>
      <c r="S28" s="285" t="b">
        <v>0</v>
      </c>
      <c r="T28" s="285" t="b">
        <v>0</v>
      </c>
      <c r="U28" s="285" t="b">
        <v>0</v>
      </c>
      <c r="V28" s="285" t="b">
        <v>0</v>
      </c>
      <c r="W28" s="285" t="b">
        <v>0</v>
      </c>
      <c r="X28" s="285" t="b">
        <v>0</v>
      </c>
      <c r="Y28" s="285" t="b">
        <v>0</v>
      </c>
      <c r="Z28" s="285" t="b">
        <v>0</v>
      </c>
      <c r="AA28" s="285" t="b">
        <v>0</v>
      </c>
      <c r="AB28" s="285" t="b">
        <v>0</v>
      </c>
      <c r="AC28" s="285" t="b">
        <v>0</v>
      </c>
      <c r="AD28" s="285" t="b">
        <v>0</v>
      </c>
      <c r="AE28" s="285" t="b">
        <v>0</v>
      </c>
      <c r="AF28" s="285" t="b">
        <v>0</v>
      </c>
      <c r="AG28" s="285" t="b">
        <v>0</v>
      </c>
      <c r="AH28" s="285" t="b">
        <v>0</v>
      </c>
      <c r="AI28" s="285" t="b">
        <v>0</v>
      </c>
      <c r="AJ28" s="285" t="b">
        <v>0</v>
      </c>
      <c r="AK28" s="285" t="b">
        <v>0</v>
      </c>
      <c r="AL28" s="285" t="b">
        <v>0</v>
      </c>
      <c r="AM28" s="285" t="b">
        <v>0</v>
      </c>
      <c r="AN28" s="285" t="b">
        <v>0</v>
      </c>
      <c r="AO28" s="285" t="b">
        <v>0</v>
      </c>
      <c r="AP28" s="285" t="b">
        <v>0</v>
      </c>
      <c r="AQ28" s="285" t="b">
        <v>0</v>
      </c>
      <c r="AR28" s="285" t="b">
        <v>0</v>
      </c>
      <c r="AS28" s="285" t="b">
        <v>0</v>
      </c>
      <c r="AT28" s="285" t="b">
        <v>0</v>
      </c>
      <c r="AU28" s="285" t="b">
        <v>0</v>
      </c>
      <c r="AV28" s="285" t="b">
        <v>0</v>
      </c>
      <c r="AW28" s="285" t="b">
        <v>0</v>
      </c>
      <c r="AX28" s="285" t="b">
        <v>0</v>
      </c>
      <c r="AY28" s="285" t="b">
        <v>0</v>
      </c>
      <c r="AZ28" s="286">
        <f t="shared" si="1"/>
        <v>0</v>
      </c>
      <c r="BA28" s="286"/>
      <c r="BB28" s="287"/>
      <c r="BC28" s="288"/>
      <c r="BD28" s="288"/>
    </row>
    <row r="29" ht="24.0" customHeight="1">
      <c r="A29" s="283" t="s">
        <v>233</v>
      </c>
      <c r="B29" s="284" t="s">
        <v>234</v>
      </c>
      <c r="C29" s="284" t="s">
        <v>235</v>
      </c>
      <c r="D29" s="285" t="b">
        <v>0</v>
      </c>
      <c r="E29" s="285" t="b">
        <v>0</v>
      </c>
      <c r="F29" s="285" t="b">
        <v>0</v>
      </c>
      <c r="G29" s="285" t="b">
        <v>0</v>
      </c>
      <c r="H29" s="285" t="b">
        <v>0</v>
      </c>
      <c r="I29" s="285" t="b">
        <v>0</v>
      </c>
      <c r="J29" s="285" t="b">
        <v>0</v>
      </c>
      <c r="K29" s="285" t="b">
        <v>0</v>
      </c>
      <c r="L29" s="285" t="b">
        <v>0</v>
      </c>
      <c r="M29" s="285" t="b">
        <v>0</v>
      </c>
      <c r="N29" s="285" t="b">
        <v>0</v>
      </c>
      <c r="O29" s="285" t="b">
        <v>0</v>
      </c>
      <c r="P29" s="285" t="b">
        <v>0</v>
      </c>
      <c r="Q29" s="285" t="b">
        <v>0</v>
      </c>
      <c r="R29" s="285" t="b">
        <v>0</v>
      </c>
      <c r="S29" s="285" t="b">
        <v>0</v>
      </c>
      <c r="T29" s="285" t="b">
        <v>0</v>
      </c>
      <c r="U29" s="285" t="b">
        <v>0</v>
      </c>
      <c r="V29" s="285" t="b">
        <v>0</v>
      </c>
      <c r="W29" s="285" t="b">
        <v>0</v>
      </c>
      <c r="X29" s="285" t="b">
        <v>0</v>
      </c>
      <c r="Y29" s="285" t="b">
        <v>0</v>
      </c>
      <c r="Z29" s="285" t="b">
        <v>0</v>
      </c>
      <c r="AA29" s="285" t="b">
        <v>0</v>
      </c>
      <c r="AB29" s="285" t="b">
        <v>0</v>
      </c>
      <c r="AC29" s="285" t="b">
        <v>0</v>
      </c>
      <c r="AD29" s="285" t="b">
        <v>0</v>
      </c>
      <c r="AE29" s="285" t="b">
        <v>0</v>
      </c>
      <c r="AF29" s="285" t="b">
        <v>0</v>
      </c>
      <c r="AG29" s="285" t="b">
        <v>0</v>
      </c>
      <c r="AH29" s="285" t="b">
        <v>0</v>
      </c>
      <c r="AI29" s="285" t="b">
        <v>0</v>
      </c>
      <c r="AJ29" s="285" t="b">
        <v>0</v>
      </c>
      <c r="AK29" s="285" t="b">
        <v>0</v>
      </c>
      <c r="AL29" s="285" t="b">
        <v>0</v>
      </c>
      <c r="AM29" s="285" t="b">
        <v>0</v>
      </c>
      <c r="AN29" s="285" t="b">
        <v>0</v>
      </c>
      <c r="AO29" s="285" t="b">
        <v>0</v>
      </c>
      <c r="AP29" s="285" t="b">
        <v>0</v>
      </c>
      <c r="AQ29" s="285" t="b">
        <v>0</v>
      </c>
      <c r="AR29" s="285" t="b">
        <v>0</v>
      </c>
      <c r="AS29" s="285" t="b">
        <v>0</v>
      </c>
      <c r="AT29" s="285" t="b">
        <v>0</v>
      </c>
      <c r="AU29" s="285" t="b">
        <v>0</v>
      </c>
      <c r="AV29" s="285" t="b">
        <v>0</v>
      </c>
      <c r="AW29" s="285" t="b">
        <v>0</v>
      </c>
      <c r="AX29" s="285" t="b">
        <v>0</v>
      </c>
      <c r="AY29" s="285" t="b">
        <v>0</v>
      </c>
      <c r="AZ29" s="286">
        <f t="shared" si="1"/>
        <v>0</v>
      </c>
      <c r="BA29" s="286" t="s">
        <v>85</v>
      </c>
      <c r="BB29" s="287">
        <v>415.0</v>
      </c>
      <c r="BC29" s="288">
        <v>46266.0</v>
      </c>
      <c r="BD29" s="288" t="s">
        <v>240</v>
      </c>
    </row>
    <row r="30" ht="24.0" customHeight="1">
      <c r="A30" s="283"/>
      <c r="B30" s="284"/>
      <c r="C30" s="284"/>
      <c r="D30" s="285" t="b">
        <v>0</v>
      </c>
      <c r="E30" s="285" t="b">
        <v>0</v>
      </c>
      <c r="F30" s="285" t="b">
        <v>0</v>
      </c>
      <c r="G30" s="285" t="b">
        <v>0</v>
      </c>
      <c r="H30" s="285" t="b">
        <v>0</v>
      </c>
      <c r="I30" s="285" t="b">
        <v>0</v>
      </c>
      <c r="J30" s="285" t="b">
        <v>0</v>
      </c>
      <c r="K30" s="285" t="b">
        <v>0</v>
      </c>
      <c r="L30" s="285" t="b">
        <v>0</v>
      </c>
      <c r="M30" s="285" t="b">
        <v>0</v>
      </c>
      <c r="N30" s="285" t="b">
        <v>0</v>
      </c>
      <c r="O30" s="285" t="b">
        <v>0</v>
      </c>
      <c r="P30" s="285" t="b">
        <v>0</v>
      </c>
      <c r="Q30" s="285" t="b">
        <v>0</v>
      </c>
      <c r="R30" s="285" t="b">
        <v>0</v>
      </c>
      <c r="S30" s="285" t="b">
        <v>0</v>
      </c>
      <c r="T30" s="285" t="b">
        <v>0</v>
      </c>
      <c r="U30" s="285" t="b">
        <v>0</v>
      </c>
      <c r="V30" s="285" t="b">
        <v>0</v>
      </c>
      <c r="W30" s="285" t="b">
        <v>0</v>
      </c>
      <c r="X30" s="285" t="b">
        <v>0</v>
      </c>
      <c r="Y30" s="285" t="b">
        <v>0</v>
      </c>
      <c r="Z30" s="285" t="b">
        <v>0</v>
      </c>
      <c r="AA30" s="285" t="b">
        <v>0</v>
      </c>
      <c r="AB30" s="285" t="b">
        <v>0</v>
      </c>
      <c r="AC30" s="285" t="b">
        <v>0</v>
      </c>
      <c r="AD30" s="285" t="b">
        <v>0</v>
      </c>
      <c r="AE30" s="285" t="b">
        <v>0</v>
      </c>
      <c r="AF30" s="285" t="b">
        <v>0</v>
      </c>
      <c r="AG30" s="285" t="b">
        <v>0</v>
      </c>
      <c r="AH30" s="285" t="b">
        <v>0</v>
      </c>
      <c r="AI30" s="285" t="b">
        <v>0</v>
      </c>
      <c r="AJ30" s="285" t="b">
        <v>0</v>
      </c>
      <c r="AK30" s="285" t="b">
        <v>0</v>
      </c>
      <c r="AL30" s="285" t="b">
        <v>0</v>
      </c>
      <c r="AM30" s="285" t="b">
        <v>0</v>
      </c>
      <c r="AN30" s="285" t="b">
        <v>0</v>
      </c>
      <c r="AO30" s="285" t="b">
        <v>0</v>
      </c>
      <c r="AP30" s="285" t="b">
        <v>0</v>
      </c>
      <c r="AQ30" s="285" t="b">
        <v>0</v>
      </c>
      <c r="AR30" s="285" t="b">
        <v>0</v>
      </c>
      <c r="AS30" s="285" t="b">
        <v>0</v>
      </c>
      <c r="AT30" s="285" t="b">
        <v>0</v>
      </c>
      <c r="AU30" s="285" t="b">
        <v>0</v>
      </c>
      <c r="AV30" s="285" t="b">
        <v>0</v>
      </c>
      <c r="AW30" s="285" t="b">
        <v>0</v>
      </c>
      <c r="AX30" s="285" t="b">
        <v>0</v>
      </c>
      <c r="AY30" s="285" t="b">
        <v>0</v>
      </c>
      <c r="AZ30" s="286">
        <f t="shared" si="1"/>
        <v>0</v>
      </c>
      <c r="BA30" s="286"/>
      <c r="BB30" s="287"/>
      <c r="BC30" s="288"/>
      <c r="BD30" s="288"/>
    </row>
    <row r="31" ht="20.25" customHeight="1">
      <c r="A31" s="283" t="s">
        <v>241</v>
      </c>
      <c r="B31" s="284" t="s">
        <v>242</v>
      </c>
      <c r="C31" s="284" t="s">
        <v>243</v>
      </c>
      <c r="D31" s="285" t="b">
        <v>0</v>
      </c>
      <c r="E31" s="285" t="b">
        <v>0</v>
      </c>
      <c r="F31" s="285" t="b">
        <v>0</v>
      </c>
      <c r="G31" s="285" t="b">
        <v>0</v>
      </c>
      <c r="H31" s="285" t="b">
        <v>0</v>
      </c>
      <c r="I31" s="285" t="b">
        <v>0</v>
      </c>
      <c r="J31" s="285" t="b">
        <v>0</v>
      </c>
      <c r="K31" s="285" t="b">
        <v>0</v>
      </c>
      <c r="L31" s="285" t="b">
        <v>0</v>
      </c>
      <c r="M31" s="285" t="b">
        <v>0</v>
      </c>
      <c r="N31" s="285" t="b">
        <v>0</v>
      </c>
      <c r="O31" s="285" t="b">
        <v>0</v>
      </c>
      <c r="P31" s="285" t="b">
        <v>0</v>
      </c>
      <c r="Q31" s="285" t="b">
        <v>0</v>
      </c>
      <c r="R31" s="285" t="b">
        <v>0</v>
      </c>
      <c r="S31" s="285" t="b">
        <v>0</v>
      </c>
      <c r="T31" s="285" t="b">
        <v>0</v>
      </c>
      <c r="U31" s="285" t="b">
        <v>0</v>
      </c>
      <c r="V31" s="285" t="b">
        <v>0</v>
      </c>
      <c r="W31" s="285" t="b">
        <v>0</v>
      </c>
      <c r="X31" s="285" t="b">
        <v>0</v>
      </c>
      <c r="Y31" s="285" t="b">
        <v>0</v>
      </c>
      <c r="Z31" s="285" t="b">
        <v>0</v>
      </c>
      <c r="AA31" s="285" t="b">
        <v>0</v>
      </c>
      <c r="AB31" s="285" t="b">
        <v>0</v>
      </c>
      <c r="AC31" s="285" t="b">
        <v>0</v>
      </c>
      <c r="AD31" s="285" t="b">
        <v>0</v>
      </c>
      <c r="AE31" s="285" t="b">
        <v>0</v>
      </c>
      <c r="AF31" s="285" t="b">
        <v>0</v>
      </c>
      <c r="AG31" s="285" t="b">
        <v>0</v>
      </c>
      <c r="AH31" s="285" t="b">
        <v>0</v>
      </c>
      <c r="AI31" s="285" t="b">
        <v>0</v>
      </c>
      <c r="AJ31" s="285" t="b">
        <v>0</v>
      </c>
      <c r="AK31" s="285" t="b">
        <v>0</v>
      </c>
      <c r="AL31" s="285" t="b">
        <v>0</v>
      </c>
      <c r="AM31" s="285" t="b">
        <v>0</v>
      </c>
      <c r="AN31" s="285" t="b">
        <v>0</v>
      </c>
      <c r="AO31" s="285" t="b">
        <v>0</v>
      </c>
      <c r="AP31" s="285" t="b">
        <v>0</v>
      </c>
      <c r="AQ31" s="285" t="b">
        <v>0</v>
      </c>
      <c r="AR31" s="285" t="b">
        <v>0</v>
      </c>
      <c r="AS31" s="285" t="b">
        <v>0</v>
      </c>
      <c r="AT31" s="285" t="b">
        <v>0</v>
      </c>
      <c r="AU31" s="285" t="b">
        <v>0</v>
      </c>
      <c r="AV31" s="285" t="b">
        <v>0</v>
      </c>
      <c r="AW31" s="285" t="b">
        <v>0</v>
      </c>
      <c r="AX31" s="285" t="b">
        <v>0</v>
      </c>
      <c r="AY31" s="285" t="b">
        <v>0</v>
      </c>
      <c r="AZ31" s="286">
        <f t="shared" si="1"/>
        <v>0</v>
      </c>
      <c r="BA31" s="286" t="s">
        <v>85</v>
      </c>
      <c r="BB31" s="287">
        <v>415.0</v>
      </c>
      <c r="BC31" s="288">
        <v>46296.0</v>
      </c>
      <c r="BD31" s="288">
        <v>46100.0</v>
      </c>
    </row>
    <row r="32" ht="19.5" customHeight="1">
      <c r="A32" s="283" t="s">
        <v>248</v>
      </c>
      <c r="B32" s="284" t="s">
        <v>249</v>
      </c>
      <c r="C32" s="284" t="s">
        <v>250</v>
      </c>
      <c r="D32" s="285" t="b">
        <v>0</v>
      </c>
      <c r="E32" s="285" t="b">
        <v>0</v>
      </c>
      <c r="F32" s="285" t="b">
        <v>0</v>
      </c>
      <c r="G32" s="285" t="b">
        <v>0</v>
      </c>
      <c r="H32" s="285" t="b">
        <v>0</v>
      </c>
      <c r="I32" s="285" t="b">
        <v>0</v>
      </c>
      <c r="J32" s="285" t="b">
        <v>0</v>
      </c>
      <c r="K32" s="285" t="b">
        <v>0</v>
      </c>
      <c r="L32" s="285" t="b">
        <v>0</v>
      </c>
      <c r="M32" s="285" t="b">
        <v>0</v>
      </c>
      <c r="N32" s="285" t="b">
        <v>0</v>
      </c>
      <c r="O32" s="285" t="b">
        <v>0</v>
      </c>
      <c r="P32" s="285" t="b">
        <v>0</v>
      </c>
      <c r="Q32" s="285" t="b">
        <v>0</v>
      </c>
      <c r="R32" s="285" t="b">
        <v>0</v>
      </c>
      <c r="S32" s="285" t="b">
        <v>0</v>
      </c>
      <c r="T32" s="285" t="b">
        <v>0</v>
      </c>
      <c r="U32" s="285" t="b">
        <v>0</v>
      </c>
      <c r="V32" s="285" t="b">
        <v>0</v>
      </c>
      <c r="W32" s="285" t="b">
        <v>0</v>
      </c>
      <c r="X32" s="285" t="b">
        <v>0</v>
      </c>
      <c r="Y32" s="285" t="b">
        <v>0</v>
      </c>
      <c r="Z32" s="285" t="b">
        <v>0</v>
      </c>
      <c r="AA32" s="285" t="b">
        <v>0</v>
      </c>
      <c r="AB32" s="285" t="b">
        <v>0</v>
      </c>
      <c r="AC32" s="285" t="b">
        <v>0</v>
      </c>
      <c r="AD32" s="285" t="b">
        <v>0</v>
      </c>
      <c r="AE32" s="285" t="b">
        <v>0</v>
      </c>
      <c r="AF32" s="285" t="b">
        <v>0</v>
      </c>
      <c r="AG32" s="285" t="b">
        <v>0</v>
      </c>
      <c r="AH32" s="285" t="b">
        <v>0</v>
      </c>
      <c r="AI32" s="285" t="b">
        <v>0</v>
      </c>
      <c r="AJ32" s="285" t="b">
        <v>0</v>
      </c>
      <c r="AK32" s="285" t="b">
        <v>0</v>
      </c>
      <c r="AL32" s="285" t="b">
        <v>0</v>
      </c>
      <c r="AM32" s="285" t="b">
        <v>0</v>
      </c>
      <c r="AN32" s="285" t="b">
        <v>0</v>
      </c>
      <c r="AO32" s="285" t="b">
        <v>0</v>
      </c>
      <c r="AP32" s="285" t="b">
        <v>0</v>
      </c>
      <c r="AQ32" s="285" t="b">
        <v>0</v>
      </c>
      <c r="AR32" s="285" t="b">
        <v>0</v>
      </c>
      <c r="AS32" s="285" t="b">
        <v>0</v>
      </c>
      <c r="AT32" s="285" t="b">
        <v>0</v>
      </c>
      <c r="AU32" s="285" t="b">
        <v>0</v>
      </c>
      <c r="AV32" s="285" t="b">
        <v>0</v>
      </c>
      <c r="AW32" s="285" t="b">
        <v>0</v>
      </c>
      <c r="AX32" s="285" t="b">
        <v>0</v>
      </c>
      <c r="AY32" s="285" t="b">
        <v>0</v>
      </c>
      <c r="AZ32" s="286">
        <f t="shared" si="1"/>
        <v>0</v>
      </c>
      <c r="BA32" s="286" t="s">
        <v>85</v>
      </c>
      <c r="BB32" s="287">
        <v>312.0</v>
      </c>
      <c r="BC32" s="288">
        <v>46143.0</v>
      </c>
      <c r="BD32" s="288">
        <v>45953.0</v>
      </c>
    </row>
    <row r="33" ht="19.5" customHeight="1">
      <c r="A33" s="283"/>
      <c r="B33" s="284"/>
      <c r="C33" s="284"/>
      <c r="D33" s="285" t="b">
        <v>0</v>
      </c>
      <c r="E33" s="285" t="b">
        <v>0</v>
      </c>
      <c r="F33" s="285" t="b">
        <v>0</v>
      </c>
      <c r="G33" s="285" t="b">
        <v>0</v>
      </c>
      <c r="H33" s="285" t="b">
        <v>0</v>
      </c>
      <c r="I33" s="285" t="b">
        <v>0</v>
      </c>
      <c r="J33" s="285" t="b">
        <v>0</v>
      </c>
      <c r="K33" s="285" t="b">
        <v>0</v>
      </c>
      <c r="L33" s="285" t="b">
        <v>0</v>
      </c>
      <c r="M33" s="285" t="b">
        <v>0</v>
      </c>
      <c r="N33" s="285" t="b">
        <v>0</v>
      </c>
      <c r="O33" s="285" t="b">
        <v>0</v>
      </c>
      <c r="P33" s="285" t="b">
        <v>0</v>
      </c>
      <c r="Q33" s="285" t="b">
        <v>0</v>
      </c>
      <c r="R33" s="285" t="b">
        <v>0</v>
      </c>
      <c r="S33" s="285" t="b">
        <v>0</v>
      </c>
      <c r="T33" s="285" t="b">
        <v>0</v>
      </c>
      <c r="U33" s="285" t="b">
        <v>0</v>
      </c>
      <c r="V33" s="285" t="b">
        <v>0</v>
      </c>
      <c r="W33" s="285" t="b">
        <v>0</v>
      </c>
      <c r="X33" s="285" t="b">
        <v>0</v>
      </c>
      <c r="Y33" s="285" t="b">
        <v>0</v>
      </c>
      <c r="Z33" s="285" t="b">
        <v>0</v>
      </c>
      <c r="AA33" s="285" t="b">
        <v>0</v>
      </c>
      <c r="AB33" s="285" t="b">
        <v>0</v>
      </c>
      <c r="AC33" s="285" t="b">
        <v>0</v>
      </c>
      <c r="AD33" s="285" t="b">
        <v>0</v>
      </c>
      <c r="AE33" s="285" t="b">
        <v>0</v>
      </c>
      <c r="AF33" s="285" t="b">
        <v>0</v>
      </c>
      <c r="AG33" s="285" t="b">
        <v>0</v>
      </c>
      <c r="AH33" s="285" t="b">
        <v>0</v>
      </c>
      <c r="AI33" s="285" t="b">
        <v>0</v>
      </c>
      <c r="AJ33" s="285" t="b">
        <v>0</v>
      </c>
      <c r="AK33" s="285" t="b">
        <v>0</v>
      </c>
      <c r="AL33" s="285" t="b">
        <v>0</v>
      </c>
      <c r="AM33" s="285" t="b">
        <v>0</v>
      </c>
      <c r="AN33" s="285" t="b">
        <v>0</v>
      </c>
      <c r="AO33" s="285" t="b">
        <v>0</v>
      </c>
      <c r="AP33" s="285" t="b">
        <v>0</v>
      </c>
      <c r="AQ33" s="285" t="b">
        <v>0</v>
      </c>
      <c r="AR33" s="285" t="b">
        <v>0</v>
      </c>
      <c r="AS33" s="285" t="b">
        <v>0</v>
      </c>
      <c r="AT33" s="285" t="b">
        <v>0</v>
      </c>
      <c r="AU33" s="285" t="b">
        <v>0</v>
      </c>
      <c r="AV33" s="285" t="b">
        <v>0</v>
      </c>
      <c r="AW33" s="285" t="b">
        <v>0</v>
      </c>
      <c r="AX33" s="285" t="b">
        <v>0</v>
      </c>
      <c r="AY33" s="285" t="b">
        <v>0</v>
      </c>
      <c r="AZ33" s="286">
        <f t="shared" si="1"/>
        <v>0</v>
      </c>
      <c r="BA33" s="286"/>
      <c r="BB33" s="287"/>
      <c r="BC33" s="288"/>
      <c r="BD33" s="288"/>
    </row>
    <row r="34" ht="19.5" customHeight="1">
      <c r="A34" s="283"/>
      <c r="B34" s="284"/>
      <c r="C34" s="284"/>
      <c r="D34" s="285" t="b">
        <v>0</v>
      </c>
      <c r="E34" s="285" t="b">
        <v>0</v>
      </c>
      <c r="F34" s="285" t="b">
        <v>0</v>
      </c>
      <c r="G34" s="285" t="b">
        <v>0</v>
      </c>
      <c r="H34" s="285" t="b">
        <v>0</v>
      </c>
      <c r="I34" s="285" t="b">
        <v>0</v>
      </c>
      <c r="J34" s="285" t="b">
        <v>0</v>
      </c>
      <c r="K34" s="285" t="b">
        <v>0</v>
      </c>
      <c r="L34" s="285" t="b">
        <v>0</v>
      </c>
      <c r="M34" s="285" t="b">
        <v>0</v>
      </c>
      <c r="N34" s="285" t="b">
        <v>0</v>
      </c>
      <c r="O34" s="285" t="b">
        <v>0</v>
      </c>
      <c r="P34" s="285" t="b">
        <v>0</v>
      </c>
      <c r="Q34" s="285" t="b">
        <v>0</v>
      </c>
      <c r="R34" s="285" t="b">
        <v>0</v>
      </c>
      <c r="S34" s="285" t="b">
        <v>0</v>
      </c>
      <c r="T34" s="285" t="b">
        <v>0</v>
      </c>
      <c r="U34" s="285" t="b">
        <v>0</v>
      </c>
      <c r="V34" s="285" t="b">
        <v>0</v>
      </c>
      <c r="W34" s="285" t="b">
        <v>0</v>
      </c>
      <c r="X34" s="285" t="b">
        <v>0</v>
      </c>
      <c r="Y34" s="285" t="b">
        <v>0</v>
      </c>
      <c r="Z34" s="285" t="b">
        <v>0</v>
      </c>
      <c r="AA34" s="285" t="b">
        <v>0</v>
      </c>
      <c r="AB34" s="285" t="b">
        <v>0</v>
      </c>
      <c r="AC34" s="285" t="b">
        <v>0</v>
      </c>
      <c r="AD34" s="285" t="b">
        <v>0</v>
      </c>
      <c r="AE34" s="285" t="b">
        <v>0</v>
      </c>
      <c r="AF34" s="285" t="b">
        <v>0</v>
      </c>
      <c r="AG34" s="285" t="b">
        <v>0</v>
      </c>
      <c r="AH34" s="285" t="b">
        <v>0</v>
      </c>
      <c r="AI34" s="285" t="b">
        <v>0</v>
      </c>
      <c r="AJ34" s="285" t="b">
        <v>0</v>
      </c>
      <c r="AK34" s="285" t="b">
        <v>0</v>
      </c>
      <c r="AL34" s="285" t="b">
        <v>0</v>
      </c>
      <c r="AM34" s="285" t="b">
        <v>0</v>
      </c>
      <c r="AN34" s="285" t="b">
        <v>0</v>
      </c>
      <c r="AO34" s="285" t="b">
        <v>0</v>
      </c>
      <c r="AP34" s="285" t="b">
        <v>0</v>
      </c>
      <c r="AQ34" s="285" t="b">
        <v>0</v>
      </c>
      <c r="AR34" s="285" t="b">
        <v>0</v>
      </c>
      <c r="AS34" s="285" t="b">
        <v>0</v>
      </c>
      <c r="AT34" s="285" t="b">
        <v>0</v>
      </c>
      <c r="AU34" s="285" t="b">
        <v>0</v>
      </c>
      <c r="AV34" s="285" t="b">
        <v>0</v>
      </c>
      <c r="AW34" s="285" t="b">
        <v>0</v>
      </c>
      <c r="AX34" s="285" t="b">
        <v>0</v>
      </c>
      <c r="AY34" s="285" t="b">
        <v>0</v>
      </c>
      <c r="AZ34" s="286">
        <f t="shared" si="1"/>
        <v>0</v>
      </c>
      <c r="BA34" s="286"/>
      <c r="BB34" s="287"/>
      <c r="BC34" s="288"/>
      <c r="BD34" s="288"/>
    </row>
    <row r="35" ht="19.5" customHeight="1">
      <c r="A35" s="283"/>
      <c r="B35" s="284"/>
      <c r="C35" s="284"/>
      <c r="D35" s="285" t="b">
        <v>0</v>
      </c>
      <c r="E35" s="285" t="b">
        <v>0</v>
      </c>
      <c r="F35" s="285" t="b">
        <v>0</v>
      </c>
      <c r="G35" s="285" t="b">
        <v>0</v>
      </c>
      <c r="H35" s="285" t="b">
        <v>0</v>
      </c>
      <c r="I35" s="285" t="b">
        <v>0</v>
      </c>
      <c r="J35" s="285" t="b">
        <v>0</v>
      </c>
      <c r="K35" s="285" t="b">
        <v>0</v>
      </c>
      <c r="L35" s="285" t="b">
        <v>0</v>
      </c>
      <c r="M35" s="285" t="b">
        <v>0</v>
      </c>
      <c r="N35" s="285" t="b">
        <v>0</v>
      </c>
      <c r="O35" s="285" t="b">
        <v>0</v>
      </c>
      <c r="P35" s="285" t="b">
        <v>0</v>
      </c>
      <c r="Q35" s="285" t="b">
        <v>0</v>
      </c>
      <c r="R35" s="285" t="b">
        <v>0</v>
      </c>
      <c r="S35" s="285" t="b">
        <v>0</v>
      </c>
      <c r="T35" s="285" t="b">
        <v>0</v>
      </c>
      <c r="U35" s="285" t="b">
        <v>0</v>
      </c>
      <c r="V35" s="285" t="b">
        <v>0</v>
      </c>
      <c r="W35" s="285" t="b">
        <v>0</v>
      </c>
      <c r="X35" s="285" t="b">
        <v>0</v>
      </c>
      <c r="Y35" s="285" t="b">
        <v>0</v>
      </c>
      <c r="Z35" s="285" t="b">
        <v>0</v>
      </c>
      <c r="AA35" s="285" t="b">
        <v>0</v>
      </c>
      <c r="AB35" s="285" t="b">
        <v>0</v>
      </c>
      <c r="AC35" s="285" t="b">
        <v>0</v>
      </c>
      <c r="AD35" s="285" t="b">
        <v>0</v>
      </c>
      <c r="AE35" s="285" t="b">
        <v>0</v>
      </c>
      <c r="AF35" s="285" t="b">
        <v>0</v>
      </c>
      <c r="AG35" s="285" t="b">
        <v>0</v>
      </c>
      <c r="AH35" s="285" t="b">
        <v>0</v>
      </c>
      <c r="AI35" s="285" t="b">
        <v>0</v>
      </c>
      <c r="AJ35" s="285" t="b">
        <v>0</v>
      </c>
      <c r="AK35" s="285" t="b">
        <v>0</v>
      </c>
      <c r="AL35" s="285" t="b">
        <v>0</v>
      </c>
      <c r="AM35" s="285" t="b">
        <v>0</v>
      </c>
      <c r="AN35" s="285" t="b">
        <v>0</v>
      </c>
      <c r="AO35" s="285" t="b">
        <v>0</v>
      </c>
      <c r="AP35" s="285" t="b">
        <v>0</v>
      </c>
      <c r="AQ35" s="285" t="b">
        <v>0</v>
      </c>
      <c r="AR35" s="285" t="b">
        <v>0</v>
      </c>
      <c r="AS35" s="285" t="b">
        <v>0</v>
      </c>
      <c r="AT35" s="285" t="b">
        <v>0</v>
      </c>
      <c r="AU35" s="285" t="b">
        <v>0</v>
      </c>
      <c r="AV35" s="285" t="b">
        <v>0</v>
      </c>
      <c r="AW35" s="285" t="b">
        <v>0</v>
      </c>
      <c r="AX35" s="285" t="b">
        <v>0</v>
      </c>
      <c r="AY35" s="285" t="b">
        <v>0</v>
      </c>
      <c r="AZ35" s="286">
        <f t="shared" si="1"/>
        <v>0</v>
      </c>
      <c r="BA35" s="286"/>
      <c r="BB35" s="287"/>
      <c r="BC35" s="288"/>
      <c r="BD35" s="288"/>
    </row>
    <row r="36" ht="19.5" customHeight="1">
      <c r="A36" s="283"/>
      <c r="B36" s="284"/>
      <c r="C36" s="284"/>
      <c r="D36" s="285" t="b">
        <v>0</v>
      </c>
      <c r="E36" s="285" t="b">
        <v>0</v>
      </c>
      <c r="F36" s="285" t="b">
        <v>0</v>
      </c>
      <c r="G36" s="285" t="b">
        <v>0</v>
      </c>
      <c r="H36" s="285" t="b">
        <v>0</v>
      </c>
      <c r="I36" s="285" t="b">
        <v>0</v>
      </c>
      <c r="J36" s="285" t="b">
        <v>0</v>
      </c>
      <c r="K36" s="285" t="b">
        <v>0</v>
      </c>
      <c r="L36" s="285" t="b">
        <v>0</v>
      </c>
      <c r="M36" s="285" t="b">
        <v>0</v>
      </c>
      <c r="N36" s="285" t="b">
        <v>0</v>
      </c>
      <c r="O36" s="285" t="b">
        <v>0</v>
      </c>
      <c r="P36" s="285" t="b">
        <v>0</v>
      </c>
      <c r="Q36" s="285" t="b">
        <v>0</v>
      </c>
      <c r="R36" s="285" t="b">
        <v>0</v>
      </c>
      <c r="S36" s="285" t="b">
        <v>0</v>
      </c>
      <c r="T36" s="285" t="b">
        <v>0</v>
      </c>
      <c r="U36" s="285" t="b">
        <v>0</v>
      </c>
      <c r="V36" s="285" t="b">
        <v>0</v>
      </c>
      <c r="W36" s="285" t="b">
        <v>0</v>
      </c>
      <c r="X36" s="285" t="b">
        <v>0</v>
      </c>
      <c r="Y36" s="285" t="b">
        <v>0</v>
      </c>
      <c r="Z36" s="285" t="b">
        <v>0</v>
      </c>
      <c r="AA36" s="285" t="b">
        <v>0</v>
      </c>
      <c r="AB36" s="285" t="b">
        <v>0</v>
      </c>
      <c r="AC36" s="285" t="b">
        <v>0</v>
      </c>
      <c r="AD36" s="285" t="b">
        <v>0</v>
      </c>
      <c r="AE36" s="285" t="b">
        <v>0</v>
      </c>
      <c r="AF36" s="285" t="b">
        <v>0</v>
      </c>
      <c r="AG36" s="285" t="b">
        <v>0</v>
      </c>
      <c r="AH36" s="285" t="b">
        <v>0</v>
      </c>
      <c r="AI36" s="285" t="b">
        <v>0</v>
      </c>
      <c r="AJ36" s="285" t="b">
        <v>0</v>
      </c>
      <c r="AK36" s="285" t="b">
        <v>0</v>
      </c>
      <c r="AL36" s="285" t="b">
        <v>0</v>
      </c>
      <c r="AM36" s="285" t="b">
        <v>0</v>
      </c>
      <c r="AN36" s="285" t="b">
        <v>0</v>
      </c>
      <c r="AO36" s="285" t="b">
        <v>0</v>
      </c>
      <c r="AP36" s="285" t="b">
        <v>0</v>
      </c>
      <c r="AQ36" s="285" t="b">
        <v>0</v>
      </c>
      <c r="AR36" s="285" t="b">
        <v>0</v>
      </c>
      <c r="AS36" s="285" t="b">
        <v>0</v>
      </c>
      <c r="AT36" s="285" t="b">
        <v>0</v>
      </c>
      <c r="AU36" s="285" t="b">
        <v>0</v>
      </c>
      <c r="AV36" s="285" t="b">
        <v>0</v>
      </c>
      <c r="AW36" s="285" t="b">
        <v>0</v>
      </c>
      <c r="AX36" s="285" t="b">
        <v>0</v>
      </c>
      <c r="AY36" s="285" t="b">
        <v>0</v>
      </c>
      <c r="AZ36" s="286">
        <f t="shared" si="1"/>
        <v>0</v>
      </c>
      <c r="BA36" s="286"/>
      <c r="BB36" s="287"/>
      <c r="BC36" s="288"/>
      <c r="BD36" s="288"/>
    </row>
    <row r="37" ht="19.5" customHeight="1">
      <c r="A37" s="283"/>
      <c r="B37" s="284"/>
      <c r="C37" s="284"/>
      <c r="D37" s="285" t="b">
        <v>0</v>
      </c>
      <c r="E37" s="285" t="b">
        <v>0</v>
      </c>
      <c r="F37" s="285" t="b">
        <v>0</v>
      </c>
      <c r="G37" s="285" t="b">
        <v>0</v>
      </c>
      <c r="H37" s="285" t="b">
        <v>0</v>
      </c>
      <c r="I37" s="285" t="b">
        <v>0</v>
      </c>
      <c r="J37" s="285" t="b">
        <v>0</v>
      </c>
      <c r="K37" s="285" t="b">
        <v>0</v>
      </c>
      <c r="L37" s="285" t="b">
        <v>0</v>
      </c>
      <c r="M37" s="285" t="b">
        <v>0</v>
      </c>
      <c r="N37" s="285" t="b">
        <v>0</v>
      </c>
      <c r="O37" s="285" t="b">
        <v>0</v>
      </c>
      <c r="P37" s="285" t="b">
        <v>0</v>
      </c>
      <c r="Q37" s="285" t="b">
        <v>0</v>
      </c>
      <c r="R37" s="285" t="b">
        <v>0</v>
      </c>
      <c r="S37" s="285" t="b">
        <v>0</v>
      </c>
      <c r="T37" s="285" t="b">
        <v>0</v>
      </c>
      <c r="U37" s="285" t="b">
        <v>0</v>
      </c>
      <c r="V37" s="285" t="b">
        <v>0</v>
      </c>
      <c r="W37" s="285" t="b">
        <v>0</v>
      </c>
      <c r="X37" s="285" t="b">
        <v>0</v>
      </c>
      <c r="Y37" s="285" t="b">
        <v>0</v>
      </c>
      <c r="Z37" s="285" t="b">
        <v>0</v>
      </c>
      <c r="AA37" s="285" t="b">
        <v>0</v>
      </c>
      <c r="AB37" s="285" t="b">
        <v>0</v>
      </c>
      <c r="AC37" s="285" t="b">
        <v>0</v>
      </c>
      <c r="AD37" s="285" t="b">
        <v>0</v>
      </c>
      <c r="AE37" s="285" t="b">
        <v>0</v>
      </c>
      <c r="AF37" s="285" t="b">
        <v>0</v>
      </c>
      <c r="AG37" s="285" t="b">
        <v>0</v>
      </c>
      <c r="AH37" s="285" t="b">
        <v>0</v>
      </c>
      <c r="AI37" s="285" t="b">
        <v>0</v>
      </c>
      <c r="AJ37" s="285" t="b">
        <v>0</v>
      </c>
      <c r="AK37" s="285" t="b">
        <v>0</v>
      </c>
      <c r="AL37" s="285" t="b">
        <v>0</v>
      </c>
      <c r="AM37" s="285" t="b">
        <v>0</v>
      </c>
      <c r="AN37" s="285" t="b">
        <v>0</v>
      </c>
      <c r="AO37" s="285" t="b">
        <v>0</v>
      </c>
      <c r="AP37" s="285" t="b">
        <v>0</v>
      </c>
      <c r="AQ37" s="285" t="b">
        <v>0</v>
      </c>
      <c r="AR37" s="285" t="b">
        <v>0</v>
      </c>
      <c r="AS37" s="285" t="b">
        <v>0</v>
      </c>
      <c r="AT37" s="285" t="b">
        <v>0</v>
      </c>
      <c r="AU37" s="285" t="b">
        <v>0</v>
      </c>
      <c r="AV37" s="285" t="b">
        <v>0</v>
      </c>
      <c r="AW37" s="285" t="b">
        <v>0</v>
      </c>
      <c r="AX37" s="285" t="b">
        <v>0</v>
      </c>
      <c r="AY37" s="285" t="b">
        <v>0</v>
      </c>
      <c r="AZ37" s="286">
        <f t="shared" si="1"/>
        <v>0</v>
      </c>
      <c r="BA37" s="286"/>
      <c r="BB37" s="287"/>
      <c r="BC37" s="288"/>
      <c r="BD37" s="288"/>
    </row>
    <row r="38" ht="19.5" customHeight="1">
      <c r="A38" s="283"/>
      <c r="B38" s="284"/>
      <c r="C38" s="284"/>
      <c r="D38" s="285" t="b">
        <v>0</v>
      </c>
      <c r="E38" s="285" t="b">
        <v>0</v>
      </c>
      <c r="F38" s="285" t="b">
        <v>0</v>
      </c>
      <c r="G38" s="285" t="b">
        <v>0</v>
      </c>
      <c r="H38" s="285" t="b">
        <v>0</v>
      </c>
      <c r="I38" s="285" t="b">
        <v>0</v>
      </c>
      <c r="J38" s="285" t="b">
        <v>0</v>
      </c>
      <c r="K38" s="285" t="b">
        <v>0</v>
      </c>
      <c r="L38" s="285" t="b">
        <v>0</v>
      </c>
      <c r="M38" s="285" t="b">
        <v>0</v>
      </c>
      <c r="N38" s="285" t="b">
        <v>0</v>
      </c>
      <c r="O38" s="285" t="b">
        <v>0</v>
      </c>
      <c r="P38" s="285" t="b">
        <v>0</v>
      </c>
      <c r="Q38" s="285" t="b">
        <v>0</v>
      </c>
      <c r="R38" s="285" t="b">
        <v>0</v>
      </c>
      <c r="S38" s="285" t="b">
        <v>0</v>
      </c>
      <c r="T38" s="285" t="b">
        <v>0</v>
      </c>
      <c r="U38" s="285" t="b">
        <v>0</v>
      </c>
      <c r="V38" s="285" t="b">
        <v>0</v>
      </c>
      <c r="W38" s="285" t="b">
        <v>0</v>
      </c>
      <c r="X38" s="285" t="b">
        <v>0</v>
      </c>
      <c r="Y38" s="285" t="b">
        <v>0</v>
      </c>
      <c r="Z38" s="285" t="b">
        <v>0</v>
      </c>
      <c r="AA38" s="285" t="b">
        <v>0</v>
      </c>
      <c r="AB38" s="285" t="b">
        <v>0</v>
      </c>
      <c r="AC38" s="285" t="b">
        <v>0</v>
      </c>
      <c r="AD38" s="285" t="b">
        <v>0</v>
      </c>
      <c r="AE38" s="285" t="b">
        <v>0</v>
      </c>
      <c r="AF38" s="285" t="b">
        <v>0</v>
      </c>
      <c r="AG38" s="285" t="b">
        <v>0</v>
      </c>
      <c r="AH38" s="285" t="b">
        <v>0</v>
      </c>
      <c r="AI38" s="285" t="b">
        <v>0</v>
      </c>
      <c r="AJ38" s="285" t="b">
        <v>0</v>
      </c>
      <c r="AK38" s="285" t="b">
        <v>0</v>
      </c>
      <c r="AL38" s="285" t="b">
        <v>0</v>
      </c>
      <c r="AM38" s="285" t="b">
        <v>0</v>
      </c>
      <c r="AN38" s="285" t="b">
        <v>0</v>
      </c>
      <c r="AO38" s="285" t="b">
        <v>0</v>
      </c>
      <c r="AP38" s="285" t="b">
        <v>0</v>
      </c>
      <c r="AQ38" s="285" t="b">
        <v>0</v>
      </c>
      <c r="AR38" s="285" t="b">
        <v>0</v>
      </c>
      <c r="AS38" s="285" t="b">
        <v>0</v>
      </c>
      <c r="AT38" s="285" t="b">
        <v>0</v>
      </c>
      <c r="AU38" s="285" t="b">
        <v>0</v>
      </c>
      <c r="AV38" s="285" t="b">
        <v>0</v>
      </c>
      <c r="AW38" s="285" t="b">
        <v>0</v>
      </c>
      <c r="AX38" s="285" t="b">
        <v>0</v>
      </c>
      <c r="AY38" s="285" t="b">
        <v>0</v>
      </c>
      <c r="AZ38" s="286">
        <f t="shared" si="1"/>
        <v>0</v>
      </c>
      <c r="BA38" s="286"/>
      <c r="BB38" s="287"/>
      <c r="BC38" s="288"/>
      <c r="BD38" s="288"/>
    </row>
    <row r="39" ht="19.5" customHeight="1">
      <c r="A39" s="283"/>
      <c r="B39" s="284"/>
      <c r="C39" s="284"/>
      <c r="D39" s="285" t="b">
        <v>0</v>
      </c>
      <c r="E39" s="285" t="b">
        <v>0</v>
      </c>
      <c r="F39" s="285" t="b">
        <v>0</v>
      </c>
      <c r="G39" s="285" t="b">
        <v>0</v>
      </c>
      <c r="H39" s="285" t="b">
        <v>0</v>
      </c>
      <c r="I39" s="285" t="b">
        <v>0</v>
      </c>
      <c r="J39" s="285" t="b">
        <v>0</v>
      </c>
      <c r="K39" s="285" t="b">
        <v>0</v>
      </c>
      <c r="L39" s="285" t="b">
        <v>0</v>
      </c>
      <c r="M39" s="285" t="b">
        <v>0</v>
      </c>
      <c r="N39" s="285" t="b">
        <v>0</v>
      </c>
      <c r="O39" s="285" t="b">
        <v>0</v>
      </c>
      <c r="P39" s="285" t="b">
        <v>0</v>
      </c>
      <c r="Q39" s="285" t="b">
        <v>0</v>
      </c>
      <c r="R39" s="285" t="b">
        <v>0</v>
      </c>
      <c r="S39" s="285" t="b">
        <v>0</v>
      </c>
      <c r="T39" s="285" t="b">
        <v>0</v>
      </c>
      <c r="U39" s="285" t="b">
        <v>0</v>
      </c>
      <c r="V39" s="285" t="b">
        <v>0</v>
      </c>
      <c r="W39" s="285" t="b">
        <v>0</v>
      </c>
      <c r="X39" s="285" t="b">
        <v>0</v>
      </c>
      <c r="Y39" s="285" t="b">
        <v>0</v>
      </c>
      <c r="Z39" s="285" t="b">
        <v>0</v>
      </c>
      <c r="AA39" s="285" t="b">
        <v>0</v>
      </c>
      <c r="AB39" s="285" t="b">
        <v>0</v>
      </c>
      <c r="AC39" s="285" t="b">
        <v>0</v>
      </c>
      <c r="AD39" s="285" t="b">
        <v>0</v>
      </c>
      <c r="AE39" s="285" t="b">
        <v>0</v>
      </c>
      <c r="AF39" s="285" t="b">
        <v>0</v>
      </c>
      <c r="AG39" s="285" t="b">
        <v>0</v>
      </c>
      <c r="AH39" s="285" t="b">
        <v>0</v>
      </c>
      <c r="AI39" s="285" t="b">
        <v>0</v>
      </c>
      <c r="AJ39" s="285" t="b">
        <v>0</v>
      </c>
      <c r="AK39" s="285" t="b">
        <v>0</v>
      </c>
      <c r="AL39" s="285" t="b">
        <v>0</v>
      </c>
      <c r="AM39" s="285" t="b">
        <v>0</v>
      </c>
      <c r="AN39" s="285" t="b">
        <v>0</v>
      </c>
      <c r="AO39" s="285" t="b">
        <v>0</v>
      </c>
      <c r="AP39" s="285" t="b">
        <v>0</v>
      </c>
      <c r="AQ39" s="285" t="b">
        <v>0</v>
      </c>
      <c r="AR39" s="285" t="b">
        <v>0</v>
      </c>
      <c r="AS39" s="285" t="b">
        <v>0</v>
      </c>
      <c r="AT39" s="285" t="b">
        <v>0</v>
      </c>
      <c r="AU39" s="285" t="b">
        <v>0</v>
      </c>
      <c r="AV39" s="285" t="b">
        <v>0</v>
      </c>
      <c r="AW39" s="285" t="b">
        <v>0</v>
      </c>
      <c r="AX39" s="285" t="b">
        <v>0</v>
      </c>
      <c r="AY39" s="285" t="b">
        <v>0</v>
      </c>
      <c r="AZ39" s="286">
        <f t="shared" si="1"/>
        <v>0</v>
      </c>
      <c r="BA39" s="286"/>
      <c r="BB39" s="287"/>
      <c r="BC39" s="288"/>
      <c r="BD39" s="288"/>
    </row>
    <row r="40" ht="19.5" customHeight="1">
      <c r="A40" s="283"/>
      <c r="B40" s="284"/>
      <c r="C40" s="284"/>
      <c r="D40" s="285" t="b">
        <v>0</v>
      </c>
      <c r="E40" s="285" t="b">
        <v>0</v>
      </c>
      <c r="F40" s="285" t="b">
        <v>0</v>
      </c>
      <c r="G40" s="285" t="b">
        <v>0</v>
      </c>
      <c r="H40" s="285" t="b">
        <v>0</v>
      </c>
      <c r="I40" s="285" t="b">
        <v>0</v>
      </c>
      <c r="J40" s="285" t="b">
        <v>0</v>
      </c>
      <c r="K40" s="285" t="b">
        <v>0</v>
      </c>
      <c r="L40" s="285" t="b">
        <v>0</v>
      </c>
      <c r="M40" s="285" t="b">
        <v>0</v>
      </c>
      <c r="N40" s="285" t="b">
        <v>0</v>
      </c>
      <c r="O40" s="285" t="b">
        <v>0</v>
      </c>
      <c r="P40" s="285" t="b">
        <v>0</v>
      </c>
      <c r="Q40" s="285" t="b">
        <v>0</v>
      </c>
      <c r="R40" s="285" t="b">
        <v>0</v>
      </c>
      <c r="S40" s="285" t="b">
        <v>0</v>
      </c>
      <c r="T40" s="285" t="b">
        <v>0</v>
      </c>
      <c r="U40" s="285" t="b">
        <v>0</v>
      </c>
      <c r="V40" s="285" t="b">
        <v>0</v>
      </c>
      <c r="W40" s="285" t="b">
        <v>0</v>
      </c>
      <c r="X40" s="285" t="b">
        <v>0</v>
      </c>
      <c r="Y40" s="285" t="b">
        <v>0</v>
      </c>
      <c r="Z40" s="285" t="b">
        <v>0</v>
      </c>
      <c r="AA40" s="285" t="b">
        <v>0</v>
      </c>
      <c r="AB40" s="285" t="b">
        <v>0</v>
      </c>
      <c r="AC40" s="285" t="b">
        <v>0</v>
      </c>
      <c r="AD40" s="285" t="b">
        <v>0</v>
      </c>
      <c r="AE40" s="285" t="b">
        <v>0</v>
      </c>
      <c r="AF40" s="285" t="b">
        <v>0</v>
      </c>
      <c r="AG40" s="285" t="b">
        <v>0</v>
      </c>
      <c r="AH40" s="285" t="b">
        <v>0</v>
      </c>
      <c r="AI40" s="285" t="b">
        <v>0</v>
      </c>
      <c r="AJ40" s="285" t="b">
        <v>0</v>
      </c>
      <c r="AK40" s="285" t="b">
        <v>0</v>
      </c>
      <c r="AL40" s="285" t="b">
        <v>0</v>
      </c>
      <c r="AM40" s="285" t="b">
        <v>0</v>
      </c>
      <c r="AN40" s="285" t="b">
        <v>0</v>
      </c>
      <c r="AO40" s="285" t="b">
        <v>0</v>
      </c>
      <c r="AP40" s="285" t="b">
        <v>0</v>
      </c>
      <c r="AQ40" s="285" t="b">
        <v>0</v>
      </c>
      <c r="AR40" s="285" t="b">
        <v>0</v>
      </c>
      <c r="AS40" s="285" t="b">
        <v>0</v>
      </c>
      <c r="AT40" s="285" t="b">
        <v>0</v>
      </c>
      <c r="AU40" s="285" t="b">
        <v>0</v>
      </c>
      <c r="AV40" s="285" t="b">
        <v>0</v>
      </c>
      <c r="AW40" s="285" t="b">
        <v>0</v>
      </c>
      <c r="AX40" s="285" t="b">
        <v>0</v>
      </c>
      <c r="AY40" s="285" t="b">
        <v>0</v>
      </c>
      <c r="AZ40" s="286">
        <f t="shared" si="1"/>
        <v>0</v>
      </c>
      <c r="BA40" s="286"/>
      <c r="BB40" s="287"/>
      <c r="BC40" s="288"/>
      <c r="BD40" s="288"/>
    </row>
    <row r="41" ht="19.5" customHeight="1">
      <c r="A41" s="283"/>
      <c r="B41" s="284"/>
      <c r="C41" s="284"/>
      <c r="D41" s="285" t="b">
        <v>0</v>
      </c>
      <c r="E41" s="285" t="b">
        <v>0</v>
      </c>
      <c r="F41" s="285" t="b">
        <v>0</v>
      </c>
      <c r="G41" s="285" t="b">
        <v>0</v>
      </c>
      <c r="H41" s="285" t="b">
        <v>0</v>
      </c>
      <c r="I41" s="285" t="b">
        <v>0</v>
      </c>
      <c r="J41" s="285" t="b">
        <v>0</v>
      </c>
      <c r="K41" s="285" t="b">
        <v>0</v>
      </c>
      <c r="L41" s="285" t="b">
        <v>0</v>
      </c>
      <c r="M41" s="285" t="b">
        <v>0</v>
      </c>
      <c r="N41" s="285" t="b">
        <v>0</v>
      </c>
      <c r="O41" s="285" t="b">
        <v>0</v>
      </c>
      <c r="P41" s="285" t="b">
        <v>0</v>
      </c>
      <c r="Q41" s="285" t="b">
        <v>0</v>
      </c>
      <c r="R41" s="285" t="b">
        <v>0</v>
      </c>
      <c r="S41" s="285" t="b">
        <v>0</v>
      </c>
      <c r="T41" s="285" t="b">
        <v>0</v>
      </c>
      <c r="U41" s="285" t="b">
        <v>0</v>
      </c>
      <c r="V41" s="285" t="b">
        <v>0</v>
      </c>
      <c r="W41" s="285" t="b">
        <v>0</v>
      </c>
      <c r="X41" s="285" t="b">
        <v>0</v>
      </c>
      <c r="Y41" s="285" t="b">
        <v>0</v>
      </c>
      <c r="Z41" s="285" t="b">
        <v>0</v>
      </c>
      <c r="AA41" s="285" t="b">
        <v>0</v>
      </c>
      <c r="AB41" s="285" t="b">
        <v>0</v>
      </c>
      <c r="AC41" s="285" t="b">
        <v>0</v>
      </c>
      <c r="AD41" s="285" t="b">
        <v>0</v>
      </c>
      <c r="AE41" s="285" t="b">
        <v>0</v>
      </c>
      <c r="AF41" s="285" t="b">
        <v>0</v>
      </c>
      <c r="AG41" s="285" t="b">
        <v>0</v>
      </c>
      <c r="AH41" s="285" t="b">
        <v>0</v>
      </c>
      <c r="AI41" s="285" t="b">
        <v>0</v>
      </c>
      <c r="AJ41" s="285" t="b">
        <v>0</v>
      </c>
      <c r="AK41" s="285" t="b">
        <v>0</v>
      </c>
      <c r="AL41" s="285" t="b">
        <v>0</v>
      </c>
      <c r="AM41" s="285" t="b">
        <v>0</v>
      </c>
      <c r="AN41" s="285" t="b">
        <v>0</v>
      </c>
      <c r="AO41" s="285" t="b">
        <v>0</v>
      </c>
      <c r="AP41" s="285" t="b">
        <v>0</v>
      </c>
      <c r="AQ41" s="285" t="b">
        <v>0</v>
      </c>
      <c r="AR41" s="285" t="b">
        <v>0</v>
      </c>
      <c r="AS41" s="285" t="b">
        <v>0</v>
      </c>
      <c r="AT41" s="285" t="b">
        <v>0</v>
      </c>
      <c r="AU41" s="285" t="b">
        <v>0</v>
      </c>
      <c r="AV41" s="285" t="b">
        <v>0</v>
      </c>
      <c r="AW41" s="285" t="b">
        <v>0</v>
      </c>
      <c r="AX41" s="285" t="b">
        <v>0</v>
      </c>
      <c r="AY41" s="285" t="b">
        <v>0</v>
      </c>
      <c r="AZ41" s="286">
        <f t="shared" si="1"/>
        <v>0</v>
      </c>
      <c r="BA41" s="286"/>
      <c r="BB41" s="287"/>
      <c r="BC41" s="288"/>
      <c r="BD41" s="288"/>
    </row>
    <row r="42" ht="19.5" customHeight="1">
      <c r="A42" s="283"/>
      <c r="B42" s="284"/>
      <c r="C42" s="284"/>
      <c r="D42" s="285" t="b">
        <v>0</v>
      </c>
      <c r="E42" s="285" t="b">
        <v>0</v>
      </c>
      <c r="F42" s="285" t="b">
        <v>0</v>
      </c>
      <c r="G42" s="285" t="b">
        <v>0</v>
      </c>
      <c r="H42" s="285" t="b">
        <v>0</v>
      </c>
      <c r="I42" s="285" t="b">
        <v>0</v>
      </c>
      <c r="J42" s="285" t="b">
        <v>0</v>
      </c>
      <c r="K42" s="285" t="b">
        <v>0</v>
      </c>
      <c r="L42" s="285" t="b">
        <v>0</v>
      </c>
      <c r="M42" s="285" t="b">
        <v>0</v>
      </c>
      <c r="N42" s="285" t="b">
        <v>0</v>
      </c>
      <c r="O42" s="285" t="b">
        <v>0</v>
      </c>
      <c r="P42" s="285" t="b">
        <v>0</v>
      </c>
      <c r="Q42" s="285" t="b">
        <v>0</v>
      </c>
      <c r="R42" s="285" t="b">
        <v>0</v>
      </c>
      <c r="S42" s="285" t="b">
        <v>0</v>
      </c>
      <c r="T42" s="285" t="b">
        <v>0</v>
      </c>
      <c r="U42" s="285" t="b">
        <v>0</v>
      </c>
      <c r="V42" s="285" t="b">
        <v>0</v>
      </c>
      <c r="W42" s="285" t="b">
        <v>0</v>
      </c>
      <c r="X42" s="285" t="b">
        <v>0</v>
      </c>
      <c r="Y42" s="285" t="b">
        <v>0</v>
      </c>
      <c r="Z42" s="285" t="b">
        <v>0</v>
      </c>
      <c r="AA42" s="285" t="b">
        <v>0</v>
      </c>
      <c r="AB42" s="285" t="b">
        <v>0</v>
      </c>
      <c r="AC42" s="285" t="b">
        <v>0</v>
      </c>
      <c r="AD42" s="285" t="b">
        <v>0</v>
      </c>
      <c r="AE42" s="285" t="b">
        <v>0</v>
      </c>
      <c r="AF42" s="285" t="b">
        <v>0</v>
      </c>
      <c r="AG42" s="285" t="b">
        <v>0</v>
      </c>
      <c r="AH42" s="285" t="b">
        <v>0</v>
      </c>
      <c r="AI42" s="285" t="b">
        <v>0</v>
      </c>
      <c r="AJ42" s="285" t="b">
        <v>0</v>
      </c>
      <c r="AK42" s="285" t="b">
        <v>0</v>
      </c>
      <c r="AL42" s="285" t="b">
        <v>0</v>
      </c>
      <c r="AM42" s="285" t="b">
        <v>0</v>
      </c>
      <c r="AN42" s="285" t="b">
        <v>0</v>
      </c>
      <c r="AO42" s="285" t="b">
        <v>0</v>
      </c>
      <c r="AP42" s="285" t="b">
        <v>0</v>
      </c>
      <c r="AQ42" s="285" t="b">
        <v>0</v>
      </c>
      <c r="AR42" s="285" t="b">
        <v>0</v>
      </c>
      <c r="AS42" s="285" t="b">
        <v>0</v>
      </c>
      <c r="AT42" s="285" t="b">
        <v>0</v>
      </c>
      <c r="AU42" s="285" t="b">
        <v>0</v>
      </c>
      <c r="AV42" s="285" t="b">
        <v>0</v>
      </c>
      <c r="AW42" s="285" t="b">
        <v>0</v>
      </c>
      <c r="AX42" s="285" t="b">
        <v>0</v>
      </c>
      <c r="AY42" s="285" t="b">
        <v>0</v>
      </c>
      <c r="AZ42" s="286">
        <f t="shared" si="1"/>
        <v>0</v>
      </c>
      <c r="BA42" s="286"/>
      <c r="BB42" s="287"/>
      <c r="BC42" s="288"/>
      <c r="BD42" s="288"/>
    </row>
    <row r="43" ht="19.5" customHeight="1">
      <c r="A43" s="289"/>
      <c r="B43" s="290">
        <v>24.0</v>
      </c>
      <c r="C43" s="291" t="s">
        <v>255</v>
      </c>
      <c r="D43" s="292" t="str">
        <f>C43</f>
        <v>UOMINI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4"/>
    </row>
    <row r="44" ht="19.5" customHeight="1">
      <c r="A44" s="283"/>
      <c r="B44" s="284"/>
      <c r="C44" s="284"/>
      <c r="D44" s="285" t="b">
        <v>0</v>
      </c>
      <c r="E44" s="285" t="b">
        <v>0</v>
      </c>
      <c r="F44" s="285" t="b">
        <v>0</v>
      </c>
      <c r="G44" s="285" t="b">
        <v>0</v>
      </c>
      <c r="H44" s="285" t="b">
        <v>0</v>
      </c>
      <c r="I44" s="285" t="b">
        <v>0</v>
      </c>
      <c r="J44" s="285" t="b">
        <v>0</v>
      </c>
      <c r="K44" s="285" t="b">
        <v>0</v>
      </c>
      <c r="L44" s="285" t="b">
        <v>0</v>
      </c>
      <c r="M44" s="285" t="b">
        <v>0</v>
      </c>
      <c r="N44" s="285" t="b">
        <v>0</v>
      </c>
      <c r="O44" s="285" t="b">
        <v>0</v>
      </c>
      <c r="P44" s="285" t="b">
        <v>0</v>
      </c>
      <c r="Q44" s="285" t="b">
        <v>0</v>
      </c>
      <c r="R44" s="285" t="b">
        <v>0</v>
      </c>
      <c r="S44" s="285" t="b">
        <v>0</v>
      </c>
      <c r="T44" s="285" t="b">
        <v>0</v>
      </c>
      <c r="U44" s="285" t="b">
        <v>0</v>
      </c>
      <c r="V44" s="285" t="b">
        <v>0</v>
      </c>
      <c r="W44" s="285" t="b">
        <v>0</v>
      </c>
      <c r="X44" s="285" t="b">
        <v>0</v>
      </c>
      <c r="Y44" s="285" t="b">
        <v>0</v>
      </c>
      <c r="Z44" s="285" t="b">
        <v>0</v>
      </c>
      <c r="AA44" s="285" t="b">
        <v>0</v>
      </c>
      <c r="AB44" s="285" t="b">
        <v>0</v>
      </c>
      <c r="AC44" s="285" t="b">
        <v>0</v>
      </c>
      <c r="AD44" s="285" t="b">
        <v>0</v>
      </c>
      <c r="AE44" s="285" t="b">
        <v>0</v>
      </c>
      <c r="AF44" s="285" t="b">
        <v>0</v>
      </c>
      <c r="AG44" s="285" t="b">
        <v>0</v>
      </c>
      <c r="AH44" s="285" t="b">
        <v>0</v>
      </c>
      <c r="AI44" s="285" t="b">
        <v>0</v>
      </c>
      <c r="AJ44" s="285" t="b">
        <v>0</v>
      </c>
      <c r="AK44" s="285" t="b">
        <v>0</v>
      </c>
      <c r="AL44" s="285" t="b">
        <v>0</v>
      </c>
      <c r="AM44" s="285" t="b">
        <v>0</v>
      </c>
      <c r="AN44" s="285" t="b">
        <v>0</v>
      </c>
      <c r="AO44" s="285" t="b">
        <v>0</v>
      </c>
      <c r="AP44" s="285" t="b">
        <v>0</v>
      </c>
      <c r="AQ44" s="285" t="b">
        <v>0</v>
      </c>
      <c r="AR44" s="285" t="b">
        <v>0</v>
      </c>
      <c r="AS44" s="285" t="b">
        <v>0</v>
      </c>
      <c r="AT44" s="285" t="b">
        <v>0</v>
      </c>
      <c r="AU44" s="285" t="b">
        <v>0</v>
      </c>
      <c r="AV44" s="285" t="b">
        <v>0</v>
      </c>
      <c r="AW44" s="285" t="b">
        <v>0</v>
      </c>
      <c r="AX44" s="285" t="b">
        <v>0</v>
      </c>
      <c r="AY44" s="285" t="b">
        <v>0</v>
      </c>
      <c r="AZ44" s="286">
        <f t="shared" ref="AZ44:AZ84" si="2">SUMPRODUCT(--D44:AY44)</f>
        <v>0</v>
      </c>
      <c r="BA44" s="286"/>
      <c r="BB44" s="287"/>
      <c r="BC44" s="288"/>
      <c r="BD44" s="288"/>
    </row>
    <row r="45" ht="19.5" customHeight="1">
      <c r="A45" s="283" t="s">
        <v>256</v>
      </c>
      <c r="B45" s="284" t="s">
        <v>257</v>
      </c>
      <c r="C45" s="284" t="s">
        <v>258</v>
      </c>
      <c r="D45" s="285" t="b">
        <v>0</v>
      </c>
      <c r="E45" s="285" t="b">
        <v>0</v>
      </c>
      <c r="F45" s="285" t="b">
        <v>0</v>
      </c>
      <c r="G45" s="285" t="b">
        <v>1</v>
      </c>
      <c r="H45" s="285" t="b">
        <v>1</v>
      </c>
      <c r="I45" s="285" t="b">
        <v>1</v>
      </c>
      <c r="J45" s="285" t="b">
        <v>1</v>
      </c>
      <c r="K45" s="285" t="b">
        <v>1</v>
      </c>
      <c r="L45" s="285" t="b">
        <v>0</v>
      </c>
      <c r="M45" s="285" t="b">
        <v>0</v>
      </c>
      <c r="N45" s="285" t="b">
        <v>0</v>
      </c>
      <c r="O45" s="285" t="b">
        <v>0</v>
      </c>
      <c r="P45" s="285" t="b">
        <v>0</v>
      </c>
      <c r="Q45" s="285" t="b">
        <v>0</v>
      </c>
      <c r="R45" s="285" t="b">
        <v>0</v>
      </c>
      <c r="S45" s="285" t="b">
        <v>0</v>
      </c>
      <c r="T45" s="285" t="b">
        <v>0</v>
      </c>
      <c r="U45" s="285" t="b">
        <v>0</v>
      </c>
      <c r="V45" s="285" t="b">
        <v>0</v>
      </c>
      <c r="W45" s="285" t="b">
        <v>0</v>
      </c>
      <c r="X45" s="285" t="b">
        <v>0</v>
      </c>
      <c r="Y45" s="285" t="b">
        <v>0</v>
      </c>
      <c r="Z45" s="285" t="b">
        <v>0</v>
      </c>
      <c r="AA45" s="285" t="b">
        <v>0</v>
      </c>
      <c r="AB45" s="285" t="b">
        <v>0</v>
      </c>
      <c r="AC45" s="285" t="b">
        <v>0</v>
      </c>
      <c r="AD45" s="285" t="b">
        <v>0</v>
      </c>
      <c r="AE45" s="285" t="b">
        <v>0</v>
      </c>
      <c r="AF45" s="285" t="b">
        <v>0</v>
      </c>
      <c r="AG45" s="285" t="b">
        <v>0</v>
      </c>
      <c r="AH45" s="285" t="b">
        <v>0</v>
      </c>
      <c r="AI45" s="285" t="b">
        <v>0</v>
      </c>
      <c r="AJ45" s="285" t="b">
        <v>0</v>
      </c>
      <c r="AK45" s="285" t="b">
        <v>0</v>
      </c>
      <c r="AL45" s="285" t="b">
        <v>0</v>
      </c>
      <c r="AM45" s="285" t="b">
        <v>0</v>
      </c>
      <c r="AN45" s="285" t="b">
        <v>0</v>
      </c>
      <c r="AO45" s="285" t="b">
        <v>0</v>
      </c>
      <c r="AP45" s="285" t="b">
        <v>0</v>
      </c>
      <c r="AQ45" s="285" t="b">
        <v>0</v>
      </c>
      <c r="AR45" s="285" t="b">
        <v>0</v>
      </c>
      <c r="AS45" s="285" t="b">
        <v>0</v>
      </c>
      <c r="AT45" s="285" t="b">
        <v>0</v>
      </c>
      <c r="AU45" s="285" t="b">
        <v>0</v>
      </c>
      <c r="AV45" s="285" t="b">
        <v>0</v>
      </c>
      <c r="AW45" s="285" t="b">
        <v>0</v>
      </c>
      <c r="AX45" s="285" t="b">
        <v>0</v>
      </c>
      <c r="AY45" s="285" t="b">
        <v>0</v>
      </c>
      <c r="AZ45" s="286">
        <f t="shared" si="2"/>
        <v>5</v>
      </c>
      <c r="BA45" s="286" t="s">
        <v>262</v>
      </c>
      <c r="BB45" s="287">
        <v>220.0</v>
      </c>
      <c r="BC45" s="288">
        <v>46296.0</v>
      </c>
      <c r="BD45" s="288">
        <v>36526.0</v>
      </c>
    </row>
    <row r="46" ht="19.5" customHeight="1">
      <c r="A46" s="283" t="s">
        <v>267</v>
      </c>
      <c r="B46" s="284" t="s">
        <v>268</v>
      </c>
      <c r="C46" s="284" t="s">
        <v>269</v>
      </c>
      <c r="D46" s="285" t="b">
        <v>0</v>
      </c>
      <c r="E46" s="285" t="b">
        <v>0</v>
      </c>
      <c r="F46" s="285" t="b">
        <v>0</v>
      </c>
      <c r="G46" s="285" t="b">
        <v>0</v>
      </c>
      <c r="H46" s="285" t="b">
        <v>0</v>
      </c>
      <c r="I46" s="285" t="b">
        <v>0</v>
      </c>
      <c r="J46" s="285" t="b">
        <v>0</v>
      </c>
      <c r="K46" s="285" t="b">
        <v>1</v>
      </c>
      <c r="L46" s="285" t="b">
        <v>0</v>
      </c>
      <c r="M46" s="285" t="b">
        <v>0</v>
      </c>
      <c r="N46" s="285" t="b">
        <v>0</v>
      </c>
      <c r="O46" s="285" t="b">
        <v>0</v>
      </c>
      <c r="P46" s="285" t="b">
        <v>0</v>
      </c>
      <c r="Q46" s="285" t="b">
        <v>0</v>
      </c>
      <c r="R46" s="285" t="b">
        <v>0</v>
      </c>
      <c r="S46" s="285" t="b">
        <v>0</v>
      </c>
      <c r="T46" s="285" t="b">
        <v>0</v>
      </c>
      <c r="U46" s="285" t="b">
        <v>0</v>
      </c>
      <c r="V46" s="285" t="b">
        <v>0</v>
      </c>
      <c r="W46" s="285" t="b">
        <v>0</v>
      </c>
      <c r="X46" s="285" t="b">
        <v>0</v>
      </c>
      <c r="Y46" s="285" t="b">
        <v>0</v>
      </c>
      <c r="Z46" s="285" t="b">
        <v>0</v>
      </c>
      <c r="AA46" s="285" t="b">
        <v>0</v>
      </c>
      <c r="AB46" s="285" t="b">
        <v>0</v>
      </c>
      <c r="AC46" s="285" t="b">
        <v>0</v>
      </c>
      <c r="AD46" s="285" t="b">
        <v>0</v>
      </c>
      <c r="AE46" s="285" t="b">
        <v>0</v>
      </c>
      <c r="AF46" s="285" t="b">
        <v>0</v>
      </c>
      <c r="AG46" s="285" t="b">
        <v>0</v>
      </c>
      <c r="AH46" s="285" t="b">
        <v>0</v>
      </c>
      <c r="AI46" s="285" t="b">
        <v>0</v>
      </c>
      <c r="AJ46" s="285" t="b">
        <v>0</v>
      </c>
      <c r="AK46" s="285" t="b">
        <v>0</v>
      </c>
      <c r="AL46" s="285" t="b">
        <v>0</v>
      </c>
      <c r="AM46" s="285" t="b">
        <v>0</v>
      </c>
      <c r="AN46" s="285" t="b">
        <v>0</v>
      </c>
      <c r="AO46" s="285" t="b">
        <v>0</v>
      </c>
      <c r="AP46" s="285" t="b">
        <v>0</v>
      </c>
      <c r="AQ46" s="285" t="b">
        <v>0</v>
      </c>
      <c r="AR46" s="285" t="b">
        <v>0</v>
      </c>
      <c r="AS46" s="285" t="b">
        <v>0</v>
      </c>
      <c r="AT46" s="285" t="b">
        <v>0</v>
      </c>
      <c r="AU46" s="285" t="b">
        <v>0</v>
      </c>
      <c r="AV46" s="285" t="b">
        <v>0</v>
      </c>
      <c r="AW46" s="285" t="b">
        <v>0</v>
      </c>
      <c r="AX46" s="285" t="b">
        <v>0</v>
      </c>
      <c r="AY46" s="285" t="b">
        <v>0</v>
      </c>
      <c r="AZ46" s="286">
        <f t="shared" si="2"/>
        <v>1</v>
      </c>
      <c r="BA46" s="286" t="s">
        <v>262</v>
      </c>
      <c r="BB46" s="287">
        <v>415.0</v>
      </c>
      <c r="BC46" s="288">
        <v>46266.0</v>
      </c>
      <c r="BD46" s="288" t="s">
        <v>240</v>
      </c>
    </row>
    <row r="47" ht="19.5" customHeight="1">
      <c r="A47" s="283" t="s">
        <v>275</v>
      </c>
      <c r="B47" s="284" t="s">
        <v>276</v>
      </c>
      <c r="C47" s="284" t="s">
        <v>277</v>
      </c>
      <c r="D47" s="285" t="b">
        <v>0</v>
      </c>
      <c r="E47" s="285" t="b">
        <v>0</v>
      </c>
      <c r="F47" s="285" t="b">
        <v>0</v>
      </c>
      <c r="G47" s="285" t="b">
        <v>0</v>
      </c>
      <c r="H47" s="285" t="b">
        <v>0</v>
      </c>
      <c r="I47" s="285" t="b">
        <v>0</v>
      </c>
      <c r="J47" s="285" t="b">
        <v>0</v>
      </c>
      <c r="K47" s="285" t="b">
        <v>0</v>
      </c>
      <c r="L47" s="285" t="b">
        <v>0</v>
      </c>
      <c r="M47" s="285" t="b">
        <v>0</v>
      </c>
      <c r="N47" s="285" t="b">
        <v>0</v>
      </c>
      <c r="O47" s="285" t="b">
        <v>0</v>
      </c>
      <c r="P47" s="285" t="b">
        <v>0</v>
      </c>
      <c r="Q47" s="285" t="b">
        <v>0</v>
      </c>
      <c r="R47" s="285" t="b">
        <v>0</v>
      </c>
      <c r="S47" s="285" t="b">
        <v>0</v>
      </c>
      <c r="T47" s="285" t="b">
        <v>0</v>
      </c>
      <c r="U47" s="285" t="b">
        <v>0</v>
      </c>
      <c r="V47" s="285" t="b">
        <v>0</v>
      </c>
      <c r="W47" s="285" t="b">
        <v>0</v>
      </c>
      <c r="X47" s="285" t="b">
        <v>0</v>
      </c>
      <c r="Y47" s="285" t="b">
        <v>0</v>
      </c>
      <c r="Z47" s="285" t="b">
        <v>0</v>
      </c>
      <c r="AA47" s="285" t="b">
        <v>0</v>
      </c>
      <c r="AB47" s="285" t="b">
        <v>0</v>
      </c>
      <c r="AC47" s="285" t="b">
        <v>0</v>
      </c>
      <c r="AD47" s="285" t="b">
        <v>0</v>
      </c>
      <c r="AE47" s="285" t="b">
        <v>0</v>
      </c>
      <c r="AF47" s="285" t="b">
        <v>0</v>
      </c>
      <c r="AG47" s="285" t="b">
        <v>0</v>
      </c>
      <c r="AH47" s="285" t="b">
        <v>0</v>
      </c>
      <c r="AI47" s="285" t="b">
        <v>0</v>
      </c>
      <c r="AJ47" s="285" t="b">
        <v>0</v>
      </c>
      <c r="AK47" s="285" t="b">
        <v>0</v>
      </c>
      <c r="AL47" s="285" t="b">
        <v>0</v>
      </c>
      <c r="AM47" s="285" t="b">
        <v>0</v>
      </c>
      <c r="AN47" s="285" t="b">
        <v>0</v>
      </c>
      <c r="AO47" s="285" t="b">
        <v>0</v>
      </c>
      <c r="AP47" s="285" t="b">
        <v>0</v>
      </c>
      <c r="AQ47" s="285" t="b">
        <v>0</v>
      </c>
      <c r="AR47" s="285" t="b">
        <v>0</v>
      </c>
      <c r="AS47" s="285" t="b">
        <v>0</v>
      </c>
      <c r="AT47" s="285" t="b">
        <v>0</v>
      </c>
      <c r="AU47" s="285" t="b">
        <v>0</v>
      </c>
      <c r="AV47" s="285" t="b">
        <v>0</v>
      </c>
      <c r="AW47" s="285" t="b">
        <v>0</v>
      </c>
      <c r="AX47" s="285" t="b">
        <v>0</v>
      </c>
      <c r="AY47" s="285" t="b">
        <v>0</v>
      </c>
      <c r="AZ47" s="286">
        <f t="shared" si="2"/>
        <v>0</v>
      </c>
      <c r="BA47" s="286" t="s">
        <v>262</v>
      </c>
      <c r="BB47" s="287">
        <v>415.0</v>
      </c>
      <c r="BC47" s="288">
        <v>46296.0</v>
      </c>
      <c r="BD47" s="288">
        <v>36526.0</v>
      </c>
    </row>
    <row r="48" ht="19.5" customHeight="1">
      <c r="A48" s="283" t="s">
        <v>283</v>
      </c>
      <c r="B48" s="284" t="s">
        <v>284</v>
      </c>
      <c r="C48" s="284" t="s">
        <v>285</v>
      </c>
      <c r="D48" s="285" t="b">
        <v>0</v>
      </c>
      <c r="E48" s="285" t="b">
        <v>0</v>
      </c>
      <c r="F48" s="285" t="b">
        <v>0</v>
      </c>
      <c r="G48" s="285" t="b">
        <v>0</v>
      </c>
      <c r="H48" s="285" t="b">
        <v>0</v>
      </c>
      <c r="I48" s="285" t="b">
        <v>0</v>
      </c>
      <c r="J48" s="285" t="b">
        <v>0</v>
      </c>
      <c r="K48" s="285" t="b">
        <v>0</v>
      </c>
      <c r="L48" s="285" t="b">
        <v>0</v>
      </c>
      <c r="M48" s="285" t="b">
        <v>0</v>
      </c>
      <c r="N48" s="285" t="b">
        <v>0</v>
      </c>
      <c r="O48" s="285" t="b">
        <v>0</v>
      </c>
      <c r="P48" s="285" t="b">
        <v>0</v>
      </c>
      <c r="Q48" s="285" t="b">
        <v>0</v>
      </c>
      <c r="R48" s="285" t="b">
        <v>0</v>
      </c>
      <c r="S48" s="285" t="b">
        <v>0</v>
      </c>
      <c r="T48" s="285" t="b">
        <v>0</v>
      </c>
      <c r="U48" s="285" t="b">
        <v>0</v>
      </c>
      <c r="V48" s="285" t="b">
        <v>0</v>
      </c>
      <c r="W48" s="285" t="b">
        <v>0</v>
      </c>
      <c r="X48" s="285" t="b">
        <v>0</v>
      </c>
      <c r="Y48" s="285" t="b">
        <v>0</v>
      </c>
      <c r="Z48" s="285" t="b">
        <v>0</v>
      </c>
      <c r="AA48" s="285" t="b">
        <v>0</v>
      </c>
      <c r="AB48" s="285" t="b">
        <v>0</v>
      </c>
      <c r="AC48" s="285" t="b">
        <v>0</v>
      </c>
      <c r="AD48" s="285" t="b">
        <v>0</v>
      </c>
      <c r="AE48" s="285" t="b">
        <v>0</v>
      </c>
      <c r="AF48" s="285" t="b">
        <v>0</v>
      </c>
      <c r="AG48" s="285" t="b">
        <v>0</v>
      </c>
      <c r="AH48" s="285" t="b">
        <v>0</v>
      </c>
      <c r="AI48" s="285" t="b">
        <v>0</v>
      </c>
      <c r="AJ48" s="285" t="b">
        <v>0</v>
      </c>
      <c r="AK48" s="285" t="b">
        <v>0</v>
      </c>
      <c r="AL48" s="285" t="b">
        <v>0</v>
      </c>
      <c r="AM48" s="285" t="b">
        <v>0</v>
      </c>
      <c r="AN48" s="285" t="b">
        <v>0</v>
      </c>
      <c r="AO48" s="285" t="b">
        <v>0</v>
      </c>
      <c r="AP48" s="285" t="b">
        <v>0</v>
      </c>
      <c r="AQ48" s="285" t="b">
        <v>0</v>
      </c>
      <c r="AR48" s="285" t="b">
        <v>0</v>
      </c>
      <c r="AS48" s="285" t="b">
        <v>0</v>
      </c>
      <c r="AT48" s="285" t="b">
        <v>0</v>
      </c>
      <c r="AU48" s="285" t="b">
        <v>0</v>
      </c>
      <c r="AV48" s="285" t="b">
        <v>0</v>
      </c>
      <c r="AW48" s="285" t="b">
        <v>0</v>
      </c>
      <c r="AX48" s="285" t="b">
        <v>0</v>
      </c>
      <c r="AY48" s="285" t="b">
        <v>0</v>
      </c>
      <c r="AZ48" s="286">
        <f t="shared" si="2"/>
        <v>0</v>
      </c>
      <c r="BA48" s="286" t="s">
        <v>262</v>
      </c>
      <c r="BB48" s="287">
        <v>1302.0</v>
      </c>
      <c r="BC48" s="288">
        <v>46143.0</v>
      </c>
      <c r="BD48" s="288">
        <v>46143.0</v>
      </c>
    </row>
    <row r="49" ht="19.5" customHeight="1">
      <c r="A49" s="283" t="s">
        <v>293</v>
      </c>
      <c r="B49" s="284" t="s">
        <v>294</v>
      </c>
      <c r="C49" s="284" t="s">
        <v>295</v>
      </c>
      <c r="D49" s="285" t="b">
        <v>0</v>
      </c>
      <c r="E49" s="285" t="b">
        <v>0</v>
      </c>
      <c r="F49" s="285" t="b">
        <v>0</v>
      </c>
      <c r="G49" s="285" t="b">
        <v>0</v>
      </c>
      <c r="H49" s="285" t="b">
        <v>0</v>
      </c>
      <c r="I49" s="285" t="b">
        <v>0</v>
      </c>
      <c r="J49" s="285" t="b">
        <v>0</v>
      </c>
      <c r="K49" s="285" t="b">
        <v>0</v>
      </c>
      <c r="L49" s="285" t="b">
        <v>0</v>
      </c>
      <c r="M49" s="285" t="b">
        <v>0</v>
      </c>
      <c r="N49" s="285" t="b">
        <v>0</v>
      </c>
      <c r="O49" s="285" t="b">
        <v>0</v>
      </c>
      <c r="P49" s="285" t="b">
        <v>0</v>
      </c>
      <c r="Q49" s="285" t="b">
        <v>0</v>
      </c>
      <c r="R49" s="285" t="b">
        <v>0</v>
      </c>
      <c r="S49" s="285" t="b">
        <v>0</v>
      </c>
      <c r="T49" s="285" t="b">
        <v>0</v>
      </c>
      <c r="U49" s="285" t="b">
        <v>0</v>
      </c>
      <c r="V49" s="285" t="b">
        <v>0</v>
      </c>
      <c r="W49" s="285" t="b">
        <v>0</v>
      </c>
      <c r="X49" s="285" t="b">
        <v>0</v>
      </c>
      <c r="Y49" s="285" t="b">
        <v>0</v>
      </c>
      <c r="Z49" s="285" t="b">
        <v>0</v>
      </c>
      <c r="AA49" s="285" t="b">
        <v>0</v>
      </c>
      <c r="AB49" s="285" t="b">
        <v>0</v>
      </c>
      <c r="AC49" s="285" t="b">
        <v>0</v>
      </c>
      <c r="AD49" s="285" t="b">
        <v>0</v>
      </c>
      <c r="AE49" s="285" t="b">
        <v>0</v>
      </c>
      <c r="AF49" s="285" t="b">
        <v>0</v>
      </c>
      <c r="AG49" s="285" t="b">
        <v>0</v>
      </c>
      <c r="AH49" s="285" t="b">
        <v>0</v>
      </c>
      <c r="AI49" s="285" t="b">
        <v>0</v>
      </c>
      <c r="AJ49" s="285" t="b">
        <v>0</v>
      </c>
      <c r="AK49" s="285" t="b">
        <v>0</v>
      </c>
      <c r="AL49" s="285" t="b">
        <v>0</v>
      </c>
      <c r="AM49" s="285" t="b">
        <v>0</v>
      </c>
      <c r="AN49" s="285" t="b">
        <v>0</v>
      </c>
      <c r="AO49" s="285" t="b">
        <v>0</v>
      </c>
      <c r="AP49" s="285" t="b">
        <v>0</v>
      </c>
      <c r="AQ49" s="285" t="b">
        <v>0</v>
      </c>
      <c r="AR49" s="285" t="b">
        <v>0</v>
      </c>
      <c r="AS49" s="285" t="b">
        <v>0</v>
      </c>
      <c r="AT49" s="285" t="b">
        <v>0</v>
      </c>
      <c r="AU49" s="285" t="b">
        <v>0</v>
      </c>
      <c r="AV49" s="285" t="b">
        <v>0</v>
      </c>
      <c r="AW49" s="285" t="b">
        <v>0</v>
      </c>
      <c r="AX49" s="285" t="b">
        <v>0</v>
      </c>
      <c r="AY49" s="285" t="b">
        <v>0</v>
      </c>
      <c r="AZ49" s="286">
        <f t="shared" si="2"/>
        <v>0</v>
      </c>
      <c r="BA49" s="286" t="s">
        <v>262</v>
      </c>
      <c r="BB49" s="287">
        <v>415.0</v>
      </c>
      <c r="BC49" s="288">
        <v>46266.0</v>
      </c>
      <c r="BD49" s="288">
        <v>45985.0</v>
      </c>
    </row>
    <row r="50" ht="19.5" customHeight="1">
      <c r="A50" s="283" t="s">
        <v>300</v>
      </c>
      <c r="B50" s="284" t="s">
        <v>301</v>
      </c>
      <c r="C50" s="284" t="s">
        <v>302</v>
      </c>
      <c r="D50" s="285" t="b">
        <v>0</v>
      </c>
      <c r="E50" s="285" t="b">
        <v>0</v>
      </c>
      <c r="F50" s="285" t="b">
        <v>0</v>
      </c>
      <c r="G50" s="285" t="b">
        <v>0</v>
      </c>
      <c r="H50" s="285" t="b">
        <v>0</v>
      </c>
      <c r="I50" s="285" t="b">
        <v>0</v>
      </c>
      <c r="J50" s="285" t="b">
        <v>0</v>
      </c>
      <c r="K50" s="285" t="b">
        <v>0</v>
      </c>
      <c r="L50" s="285" t="b">
        <v>0</v>
      </c>
      <c r="M50" s="285" t="b">
        <v>0</v>
      </c>
      <c r="N50" s="285" t="b">
        <v>0</v>
      </c>
      <c r="O50" s="285" t="b">
        <v>0</v>
      </c>
      <c r="P50" s="285" t="b">
        <v>0</v>
      </c>
      <c r="Q50" s="285" t="b">
        <v>0</v>
      </c>
      <c r="R50" s="285" t="b">
        <v>0</v>
      </c>
      <c r="S50" s="285" t="b">
        <v>0</v>
      </c>
      <c r="T50" s="285" t="b">
        <v>0</v>
      </c>
      <c r="U50" s="285" t="b">
        <v>0</v>
      </c>
      <c r="V50" s="285" t="b">
        <v>0</v>
      </c>
      <c r="W50" s="285" t="b">
        <v>0</v>
      </c>
      <c r="X50" s="285" t="b">
        <v>0</v>
      </c>
      <c r="Y50" s="285" t="b">
        <v>0</v>
      </c>
      <c r="Z50" s="285" t="b">
        <v>0</v>
      </c>
      <c r="AA50" s="285" t="b">
        <v>0</v>
      </c>
      <c r="AB50" s="285" t="b">
        <v>0</v>
      </c>
      <c r="AC50" s="285" t="b">
        <v>0</v>
      </c>
      <c r="AD50" s="285" t="b">
        <v>0</v>
      </c>
      <c r="AE50" s="285" t="b">
        <v>0</v>
      </c>
      <c r="AF50" s="285" t="b">
        <v>0</v>
      </c>
      <c r="AG50" s="285" t="b">
        <v>0</v>
      </c>
      <c r="AH50" s="285" t="b">
        <v>0</v>
      </c>
      <c r="AI50" s="285" t="b">
        <v>0</v>
      </c>
      <c r="AJ50" s="285" t="b">
        <v>0</v>
      </c>
      <c r="AK50" s="285" t="b">
        <v>0</v>
      </c>
      <c r="AL50" s="285" t="b">
        <v>0</v>
      </c>
      <c r="AM50" s="285" t="b">
        <v>0</v>
      </c>
      <c r="AN50" s="285" t="b">
        <v>0</v>
      </c>
      <c r="AO50" s="285" t="b">
        <v>0</v>
      </c>
      <c r="AP50" s="285" t="b">
        <v>0</v>
      </c>
      <c r="AQ50" s="285" t="b">
        <v>0</v>
      </c>
      <c r="AR50" s="285" t="b">
        <v>0</v>
      </c>
      <c r="AS50" s="285" t="b">
        <v>0</v>
      </c>
      <c r="AT50" s="285" t="b">
        <v>0</v>
      </c>
      <c r="AU50" s="285" t="b">
        <v>0</v>
      </c>
      <c r="AV50" s="285" t="b">
        <v>0</v>
      </c>
      <c r="AW50" s="285" t="b">
        <v>0</v>
      </c>
      <c r="AX50" s="285" t="b">
        <v>0</v>
      </c>
      <c r="AY50" s="285" t="b">
        <v>0</v>
      </c>
      <c r="AZ50" s="286">
        <f t="shared" si="2"/>
        <v>0</v>
      </c>
      <c r="BA50" s="286" t="s">
        <v>262</v>
      </c>
      <c r="BB50" s="287">
        <v>390.0</v>
      </c>
      <c r="BC50" s="288">
        <v>46174.0</v>
      </c>
      <c r="BD50" s="288">
        <v>46147.0</v>
      </c>
    </row>
    <row r="51" ht="19.5" customHeight="1">
      <c r="A51" s="283" t="s">
        <v>307</v>
      </c>
      <c r="B51" s="284" t="s">
        <v>308</v>
      </c>
      <c r="C51" s="284" t="s">
        <v>302</v>
      </c>
      <c r="D51" s="285" t="b">
        <v>0</v>
      </c>
      <c r="E51" s="285" t="b">
        <v>0</v>
      </c>
      <c r="F51" s="285" t="b">
        <v>0</v>
      </c>
      <c r="G51" s="285" t="b">
        <v>0</v>
      </c>
      <c r="H51" s="285" t="b">
        <v>0</v>
      </c>
      <c r="I51" s="285" t="b">
        <v>0</v>
      </c>
      <c r="J51" s="285" t="b">
        <v>0</v>
      </c>
      <c r="K51" s="285" t="b">
        <v>0</v>
      </c>
      <c r="L51" s="285" t="b">
        <v>0</v>
      </c>
      <c r="M51" s="285" t="b">
        <v>0</v>
      </c>
      <c r="N51" s="285" t="b">
        <v>0</v>
      </c>
      <c r="O51" s="285" t="b">
        <v>0</v>
      </c>
      <c r="P51" s="285" t="b">
        <v>0</v>
      </c>
      <c r="Q51" s="285" t="b">
        <v>0</v>
      </c>
      <c r="R51" s="285" t="b">
        <v>0</v>
      </c>
      <c r="S51" s="285" t="b">
        <v>0</v>
      </c>
      <c r="T51" s="285" t="b">
        <v>0</v>
      </c>
      <c r="U51" s="285" t="b">
        <v>0</v>
      </c>
      <c r="V51" s="285" t="b">
        <v>0</v>
      </c>
      <c r="W51" s="285" t="b">
        <v>0</v>
      </c>
      <c r="X51" s="285" t="b">
        <v>0</v>
      </c>
      <c r="Y51" s="285" t="b">
        <v>0</v>
      </c>
      <c r="Z51" s="285" t="b">
        <v>0</v>
      </c>
      <c r="AA51" s="285" t="b">
        <v>0</v>
      </c>
      <c r="AB51" s="285" t="b">
        <v>0</v>
      </c>
      <c r="AC51" s="285" t="b">
        <v>0</v>
      </c>
      <c r="AD51" s="285" t="b">
        <v>0</v>
      </c>
      <c r="AE51" s="285" t="b">
        <v>0</v>
      </c>
      <c r="AF51" s="285" t="b">
        <v>0</v>
      </c>
      <c r="AG51" s="285" t="b">
        <v>0</v>
      </c>
      <c r="AH51" s="285" t="b">
        <v>0</v>
      </c>
      <c r="AI51" s="285" t="b">
        <v>0</v>
      </c>
      <c r="AJ51" s="285" t="b">
        <v>0</v>
      </c>
      <c r="AK51" s="285" t="b">
        <v>0</v>
      </c>
      <c r="AL51" s="285" t="b">
        <v>0</v>
      </c>
      <c r="AM51" s="285" t="b">
        <v>0</v>
      </c>
      <c r="AN51" s="285" t="b">
        <v>0</v>
      </c>
      <c r="AO51" s="285" t="b">
        <v>0</v>
      </c>
      <c r="AP51" s="285" t="b">
        <v>0</v>
      </c>
      <c r="AQ51" s="285" t="b">
        <v>0</v>
      </c>
      <c r="AR51" s="285" t="b">
        <v>0</v>
      </c>
      <c r="AS51" s="285" t="b">
        <v>0</v>
      </c>
      <c r="AT51" s="285" t="b">
        <v>0</v>
      </c>
      <c r="AU51" s="285" t="b">
        <v>0</v>
      </c>
      <c r="AV51" s="285" t="b">
        <v>0</v>
      </c>
      <c r="AW51" s="285" t="b">
        <v>0</v>
      </c>
      <c r="AX51" s="285" t="b">
        <v>0</v>
      </c>
      <c r="AY51" s="285" t="b">
        <v>0</v>
      </c>
      <c r="AZ51" s="286">
        <f t="shared" si="2"/>
        <v>0</v>
      </c>
      <c r="BA51" s="286" t="s">
        <v>262</v>
      </c>
      <c r="BB51" s="287">
        <v>1300.0</v>
      </c>
      <c r="BC51" s="288">
        <v>46023.0</v>
      </c>
      <c r="BD51" s="288">
        <v>46070.0</v>
      </c>
    </row>
    <row r="52" ht="19.5" customHeight="1">
      <c r="A52" s="283" t="s">
        <v>314</v>
      </c>
      <c r="B52" s="284" t="s">
        <v>315</v>
      </c>
      <c r="C52" s="284" t="s">
        <v>316</v>
      </c>
      <c r="D52" s="285" t="b">
        <v>0</v>
      </c>
      <c r="E52" s="285" t="b">
        <v>0</v>
      </c>
      <c r="F52" s="285" t="b">
        <v>0</v>
      </c>
      <c r="G52" s="285" t="b">
        <v>0</v>
      </c>
      <c r="H52" s="285" t="b">
        <v>0</v>
      </c>
      <c r="I52" s="285" t="b">
        <v>0</v>
      </c>
      <c r="J52" s="285" t="b">
        <v>0</v>
      </c>
      <c r="K52" s="285" t="b">
        <v>0</v>
      </c>
      <c r="L52" s="285" t="b">
        <v>0</v>
      </c>
      <c r="M52" s="285" t="b">
        <v>0</v>
      </c>
      <c r="N52" s="285" t="b">
        <v>0</v>
      </c>
      <c r="O52" s="285" t="b">
        <v>0</v>
      </c>
      <c r="P52" s="285" t="b">
        <v>0</v>
      </c>
      <c r="Q52" s="285" t="b">
        <v>0</v>
      </c>
      <c r="R52" s="285" t="b">
        <v>0</v>
      </c>
      <c r="S52" s="285" t="b">
        <v>0</v>
      </c>
      <c r="T52" s="285" t="b">
        <v>0</v>
      </c>
      <c r="U52" s="285" t="b">
        <v>0</v>
      </c>
      <c r="V52" s="285" t="b">
        <v>0</v>
      </c>
      <c r="W52" s="285" t="b">
        <v>0</v>
      </c>
      <c r="X52" s="285" t="b">
        <v>0</v>
      </c>
      <c r="Y52" s="285" t="b">
        <v>0</v>
      </c>
      <c r="Z52" s="285" t="b">
        <v>0</v>
      </c>
      <c r="AA52" s="285" t="b">
        <v>0</v>
      </c>
      <c r="AB52" s="285" t="b">
        <v>0</v>
      </c>
      <c r="AC52" s="285" t="b">
        <v>0</v>
      </c>
      <c r="AD52" s="285" t="b">
        <v>0</v>
      </c>
      <c r="AE52" s="285" t="b">
        <v>0</v>
      </c>
      <c r="AF52" s="285" t="b">
        <v>0</v>
      </c>
      <c r="AG52" s="285" t="b">
        <v>0</v>
      </c>
      <c r="AH52" s="285" t="b">
        <v>0</v>
      </c>
      <c r="AI52" s="285" t="b">
        <v>0</v>
      </c>
      <c r="AJ52" s="285" t="b">
        <v>0</v>
      </c>
      <c r="AK52" s="285" t="b">
        <v>0</v>
      </c>
      <c r="AL52" s="285" t="b">
        <v>0</v>
      </c>
      <c r="AM52" s="285" t="b">
        <v>0</v>
      </c>
      <c r="AN52" s="285" t="b">
        <v>0</v>
      </c>
      <c r="AO52" s="285" t="b">
        <v>0</v>
      </c>
      <c r="AP52" s="285" t="b">
        <v>0</v>
      </c>
      <c r="AQ52" s="285" t="b">
        <v>0</v>
      </c>
      <c r="AR52" s="285" t="b">
        <v>0</v>
      </c>
      <c r="AS52" s="285" t="b">
        <v>0</v>
      </c>
      <c r="AT52" s="285" t="b">
        <v>0</v>
      </c>
      <c r="AU52" s="285" t="b">
        <v>0</v>
      </c>
      <c r="AV52" s="285" t="b">
        <v>0</v>
      </c>
      <c r="AW52" s="285" t="b">
        <v>0</v>
      </c>
      <c r="AX52" s="285" t="b">
        <v>0</v>
      </c>
      <c r="AY52" s="285" t="b">
        <v>0</v>
      </c>
      <c r="AZ52" s="286">
        <f t="shared" si="2"/>
        <v>0</v>
      </c>
      <c r="BA52" s="286" t="s">
        <v>262</v>
      </c>
      <c r="BB52" s="287">
        <v>585.0</v>
      </c>
      <c r="BC52" s="288">
        <v>46174.0</v>
      </c>
      <c r="BD52" s="288">
        <v>45987.0</v>
      </c>
    </row>
    <row r="53" ht="19.5" customHeight="1">
      <c r="A53" s="283"/>
      <c r="B53" s="284"/>
      <c r="C53" s="284"/>
      <c r="D53" s="285" t="b">
        <v>0</v>
      </c>
      <c r="E53" s="285" t="b">
        <v>0</v>
      </c>
      <c r="F53" s="285" t="b">
        <v>0</v>
      </c>
      <c r="G53" s="285" t="b">
        <v>0</v>
      </c>
      <c r="H53" s="285" t="b">
        <v>0</v>
      </c>
      <c r="I53" s="285" t="b">
        <v>0</v>
      </c>
      <c r="J53" s="285" t="b">
        <v>0</v>
      </c>
      <c r="K53" s="285" t="b">
        <v>0</v>
      </c>
      <c r="L53" s="285" t="b">
        <v>0</v>
      </c>
      <c r="M53" s="285" t="b">
        <v>0</v>
      </c>
      <c r="N53" s="285" t="b">
        <v>0</v>
      </c>
      <c r="O53" s="285" t="b">
        <v>0</v>
      </c>
      <c r="P53" s="285" t="b">
        <v>0</v>
      </c>
      <c r="Q53" s="285" t="b">
        <v>0</v>
      </c>
      <c r="R53" s="285" t="b">
        <v>0</v>
      </c>
      <c r="S53" s="285" t="b">
        <v>0</v>
      </c>
      <c r="T53" s="285" t="b">
        <v>0</v>
      </c>
      <c r="U53" s="285" t="b">
        <v>0</v>
      </c>
      <c r="V53" s="285" t="b">
        <v>0</v>
      </c>
      <c r="W53" s="285" t="b">
        <v>0</v>
      </c>
      <c r="X53" s="285" t="b">
        <v>0</v>
      </c>
      <c r="Y53" s="285" t="b">
        <v>0</v>
      </c>
      <c r="Z53" s="285" t="b">
        <v>0</v>
      </c>
      <c r="AA53" s="285" t="b">
        <v>0</v>
      </c>
      <c r="AB53" s="285" t="b">
        <v>0</v>
      </c>
      <c r="AC53" s="285" t="b">
        <v>0</v>
      </c>
      <c r="AD53" s="285" t="b">
        <v>0</v>
      </c>
      <c r="AE53" s="285" t="b">
        <v>0</v>
      </c>
      <c r="AF53" s="285" t="b">
        <v>0</v>
      </c>
      <c r="AG53" s="285" t="b">
        <v>0</v>
      </c>
      <c r="AH53" s="285" t="b">
        <v>0</v>
      </c>
      <c r="AI53" s="285" t="b">
        <v>0</v>
      </c>
      <c r="AJ53" s="285" t="b">
        <v>0</v>
      </c>
      <c r="AK53" s="285" t="b">
        <v>0</v>
      </c>
      <c r="AL53" s="285" t="b">
        <v>0</v>
      </c>
      <c r="AM53" s="285" t="b">
        <v>0</v>
      </c>
      <c r="AN53" s="285" t="b">
        <v>0</v>
      </c>
      <c r="AO53" s="285" t="b">
        <v>0</v>
      </c>
      <c r="AP53" s="285" t="b">
        <v>0</v>
      </c>
      <c r="AQ53" s="285" t="b">
        <v>0</v>
      </c>
      <c r="AR53" s="285" t="b">
        <v>0</v>
      </c>
      <c r="AS53" s="285" t="b">
        <v>0</v>
      </c>
      <c r="AT53" s="285" t="b">
        <v>0</v>
      </c>
      <c r="AU53" s="285" t="b">
        <v>0</v>
      </c>
      <c r="AV53" s="285" t="b">
        <v>0</v>
      </c>
      <c r="AW53" s="285" t="b">
        <v>0</v>
      </c>
      <c r="AX53" s="285" t="b">
        <v>0</v>
      </c>
      <c r="AY53" s="285" t="b">
        <v>0</v>
      </c>
      <c r="AZ53" s="286">
        <f t="shared" si="2"/>
        <v>0</v>
      </c>
      <c r="BA53" s="286"/>
      <c r="BB53" s="287"/>
      <c r="BC53" s="288"/>
      <c r="BD53" s="288"/>
    </row>
    <row r="54" ht="19.5" customHeight="1">
      <c r="A54" s="283" t="s">
        <v>322</v>
      </c>
      <c r="B54" s="284" t="s">
        <v>323</v>
      </c>
      <c r="C54" s="284" t="s">
        <v>277</v>
      </c>
      <c r="D54" s="285" t="b">
        <v>0</v>
      </c>
      <c r="E54" s="285" t="b">
        <v>0</v>
      </c>
      <c r="F54" s="285" t="b">
        <v>0</v>
      </c>
      <c r="G54" s="285" t="b">
        <v>0</v>
      </c>
      <c r="H54" s="285" t="b">
        <v>0</v>
      </c>
      <c r="I54" s="285" t="b">
        <v>0</v>
      </c>
      <c r="J54" s="285" t="b">
        <v>0</v>
      </c>
      <c r="K54" s="285" t="b">
        <v>0</v>
      </c>
      <c r="L54" s="285" t="b">
        <v>0</v>
      </c>
      <c r="M54" s="285" t="b">
        <v>0</v>
      </c>
      <c r="N54" s="285" t="b">
        <v>0</v>
      </c>
      <c r="O54" s="285" t="b">
        <v>0</v>
      </c>
      <c r="P54" s="285" t="b">
        <v>0</v>
      </c>
      <c r="Q54" s="285" t="b">
        <v>0</v>
      </c>
      <c r="R54" s="285" t="b">
        <v>0</v>
      </c>
      <c r="S54" s="285" t="b">
        <v>0</v>
      </c>
      <c r="T54" s="285" t="b">
        <v>0</v>
      </c>
      <c r="U54" s="285" t="b">
        <v>0</v>
      </c>
      <c r="V54" s="285" t="b">
        <v>0</v>
      </c>
      <c r="W54" s="285" t="b">
        <v>0</v>
      </c>
      <c r="X54" s="285" t="b">
        <v>0</v>
      </c>
      <c r="Y54" s="285" t="b">
        <v>0</v>
      </c>
      <c r="Z54" s="285" t="b">
        <v>0</v>
      </c>
      <c r="AA54" s="285" t="b">
        <v>0</v>
      </c>
      <c r="AB54" s="285" t="b">
        <v>0</v>
      </c>
      <c r="AC54" s="285" t="b">
        <v>0</v>
      </c>
      <c r="AD54" s="285" t="b">
        <v>0</v>
      </c>
      <c r="AE54" s="285" t="b">
        <v>0</v>
      </c>
      <c r="AF54" s="285" t="b">
        <v>0</v>
      </c>
      <c r="AG54" s="285" t="b">
        <v>0</v>
      </c>
      <c r="AH54" s="285" t="b">
        <v>0</v>
      </c>
      <c r="AI54" s="285" t="b">
        <v>0</v>
      </c>
      <c r="AJ54" s="285" t="b">
        <v>0</v>
      </c>
      <c r="AK54" s="285" t="b">
        <v>0</v>
      </c>
      <c r="AL54" s="285" t="b">
        <v>0</v>
      </c>
      <c r="AM54" s="285" t="b">
        <v>0</v>
      </c>
      <c r="AN54" s="285" t="b">
        <v>0</v>
      </c>
      <c r="AO54" s="285" t="b">
        <v>0</v>
      </c>
      <c r="AP54" s="285" t="b">
        <v>0</v>
      </c>
      <c r="AQ54" s="285" t="b">
        <v>0</v>
      </c>
      <c r="AR54" s="285" t="b">
        <v>0</v>
      </c>
      <c r="AS54" s="285" t="b">
        <v>0</v>
      </c>
      <c r="AT54" s="285" t="b">
        <v>0</v>
      </c>
      <c r="AU54" s="285" t="b">
        <v>0</v>
      </c>
      <c r="AV54" s="285" t="b">
        <v>0</v>
      </c>
      <c r="AW54" s="285" t="b">
        <v>0</v>
      </c>
      <c r="AX54" s="285" t="b">
        <v>0</v>
      </c>
      <c r="AY54" s="285" t="b">
        <v>0</v>
      </c>
      <c r="AZ54" s="286">
        <f t="shared" si="2"/>
        <v>0</v>
      </c>
      <c r="BA54" s="286" t="s">
        <v>262</v>
      </c>
      <c r="BB54" s="287">
        <v>337.0</v>
      </c>
      <c r="BC54" s="288">
        <v>46174.0</v>
      </c>
      <c r="BD54" s="288">
        <v>46087.0</v>
      </c>
    </row>
    <row r="55" ht="19.5" customHeight="1">
      <c r="A55" s="283" t="s">
        <v>328</v>
      </c>
      <c r="B55" s="284" t="s">
        <v>329</v>
      </c>
      <c r="C55" s="284" t="s">
        <v>330</v>
      </c>
      <c r="D55" s="285" t="b">
        <v>0</v>
      </c>
      <c r="E55" s="285" t="b">
        <v>0</v>
      </c>
      <c r="F55" s="285" t="b">
        <v>0</v>
      </c>
      <c r="G55" s="285" t="b">
        <v>0</v>
      </c>
      <c r="H55" s="285" t="b">
        <v>0</v>
      </c>
      <c r="I55" s="285" t="b">
        <v>0</v>
      </c>
      <c r="J55" s="285" t="b">
        <v>0</v>
      </c>
      <c r="K55" s="285" t="b">
        <v>0</v>
      </c>
      <c r="L55" s="285" t="b">
        <v>0</v>
      </c>
      <c r="M55" s="285" t="b">
        <v>0</v>
      </c>
      <c r="N55" s="285" t="b">
        <v>0</v>
      </c>
      <c r="O55" s="285" t="b">
        <v>0</v>
      </c>
      <c r="P55" s="285" t="b">
        <v>0</v>
      </c>
      <c r="Q55" s="285" t="b">
        <v>0</v>
      </c>
      <c r="R55" s="285" t="b">
        <v>0</v>
      </c>
      <c r="S55" s="285" t="b">
        <v>0</v>
      </c>
      <c r="T55" s="285" t="b">
        <v>0</v>
      </c>
      <c r="U55" s="285" t="b">
        <v>0</v>
      </c>
      <c r="V55" s="285" t="b">
        <v>0</v>
      </c>
      <c r="W55" s="285" t="b">
        <v>0</v>
      </c>
      <c r="X55" s="285" t="b">
        <v>0</v>
      </c>
      <c r="Y55" s="285" t="b">
        <v>0</v>
      </c>
      <c r="Z55" s="285" t="b">
        <v>0</v>
      </c>
      <c r="AA55" s="285" t="b">
        <v>0</v>
      </c>
      <c r="AB55" s="285" t="b">
        <v>0</v>
      </c>
      <c r="AC55" s="285" t="b">
        <v>0</v>
      </c>
      <c r="AD55" s="285" t="b">
        <v>0</v>
      </c>
      <c r="AE55" s="285" t="b">
        <v>0</v>
      </c>
      <c r="AF55" s="285" t="b">
        <v>0</v>
      </c>
      <c r="AG55" s="285" t="b">
        <v>0</v>
      </c>
      <c r="AH55" s="285" t="b">
        <v>0</v>
      </c>
      <c r="AI55" s="285" t="b">
        <v>0</v>
      </c>
      <c r="AJ55" s="285" t="b">
        <v>0</v>
      </c>
      <c r="AK55" s="285" t="b">
        <v>0</v>
      </c>
      <c r="AL55" s="285" t="b">
        <v>0</v>
      </c>
      <c r="AM55" s="285" t="b">
        <v>0</v>
      </c>
      <c r="AN55" s="285" t="b">
        <v>0</v>
      </c>
      <c r="AO55" s="285" t="b">
        <v>0</v>
      </c>
      <c r="AP55" s="285" t="b">
        <v>0</v>
      </c>
      <c r="AQ55" s="285" t="b">
        <v>0</v>
      </c>
      <c r="AR55" s="285" t="b">
        <v>0</v>
      </c>
      <c r="AS55" s="285" t="b">
        <v>0</v>
      </c>
      <c r="AT55" s="285" t="b">
        <v>0</v>
      </c>
      <c r="AU55" s="285" t="b">
        <v>0</v>
      </c>
      <c r="AV55" s="285" t="b">
        <v>0</v>
      </c>
      <c r="AW55" s="285" t="b">
        <v>0</v>
      </c>
      <c r="AX55" s="285" t="b">
        <v>0</v>
      </c>
      <c r="AY55" s="285" t="b">
        <v>0</v>
      </c>
      <c r="AZ55" s="286">
        <f t="shared" si="2"/>
        <v>0</v>
      </c>
      <c r="BA55" s="286" t="s">
        <v>262</v>
      </c>
      <c r="BB55" s="287">
        <v>415.0</v>
      </c>
      <c r="BC55" s="288">
        <v>46235.0</v>
      </c>
      <c r="BD55" s="288">
        <v>45974.0</v>
      </c>
    </row>
    <row r="56" ht="19.5" customHeight="1">
      <c r="A56" s="283" t="s">
        <v>335</v>
      </c>
      <c r="B56" s="284" t="s">
        <v>336</v>
      </c>
      <c r="C56" s="284" t="s">
        <v>337</v>
      </c>
      <c r="D56" s="285" t="b">
        <v>0</v>
      </c>
      <c r="E56" s="285" t="b">
        <v>0</v>
      </c>
      <c r="F56" s="285" t="b">
        <v>0</v>
      </c>
      <c r="G56" s="285" t="b">
        <v>0</v>
      </c>
      <c r="H56" s="285" t="b">
        <v>0</v>
      </c>
      <c r="I56" s="285" t="b">
        <v>0</v>
      </c>
      <c r="J56" s="285" t="b">
        <v>0</v>
      </c>
      <c r="K56" s="285" t="b">
        <v>0</v>
      </c>
      <c r="L56" s="285" t="b">
        <v>0</v>
      </c>
      <c r="M56" s="285" t="b">
        <v>0</v>
      </c>
      <c r="N56" s="285" t="b">
        <v>0</v>
      </c>
      <c r="O56" s="285" t="b">
        <v>0</v>
      </c>
      <c r="P56" s="285" t="b">
        <v>0</v>
      </c>
      <c r="Q56" s="285" t="b">
        <v>0</v>
      </c>
      <c r="R56" s="285" t="b">
        <v>0</v>
      </c>
      <c r="S56" s="285" t="b">
        <v>0</v>
      </c>
      <c r="T56" s="285" t="b">
        <v>0</v>
      </c>
      <c r="U56" s="285" t="b">
        <v>0</v>
      </c>
      <c r="V56" s="285" t="b">
        <v>0</v>
      </c>
      <c r="W56" s="285" t="b">
        <v>0</v>
      </c>
      <c r="X56" s="285" t="b">
        <v>0</v>
      </c>
      <c r="Y56" s="285" t="b">
        <v>0</v>
      </c>
      <c r="Z56" s="285" t="b">
        <v>0</v>
      </c>
      <c r="AA56" s="285" t="b">
        <v>0</v>
      </c>
      <c r="AB56" s="285" t="b">
        <v>0</v>
      </c>
      <c r="AC56" s="285" t="b">
        <v>0</v>
      </c>
      <c r="AD56" s="285" t="b">
        <v>0</v>
      </c>
      <c r="AE56" s="285" t="b">
        <v>0</v>
      </c>
      <c r="AF56" s="285" t="b">
        <v>0</v>
      </c>
      <c r="AG56" s="285" t="b">
        <v>0</v>
      </c>
      <c r="AH56" s="285" t="b">
        <v>0</v>
      </c>
      <c r="AI56" s="285" t="b">
        <v>0</v>
      </c>
      <c r="AJ56" s="285" t="b">
        <v>0</v>
      </c>
      <c r="AK56" s="285" t="b">
        <v>0</v>
      </c>
      <c r="AL56" s="285" t="b">
        <v>0</v>
      </c>
      <c r="AM56" s="285" t="b">
        <v>0</v>
      </c>
      <c r="AN56" s="285" t="b">
        <v>0</v>
      </c>
      <c r="AO56" s="285" t="b">
        <v>0</v>
      </c>
      <c r="AP56" s="285" t="b">
        <v>0</v>
      </c>
      <c r="AQ56" s="285" t="b">
        <v>0</v>
      </c>
      <c r="AR56" s="285" t="b">
        <v>0</v>
      </c>
      <c r="AS56" s="285" t="b">
        <v>0</v>
      </c>
      <c r="AT56" s="285" t="b">
        <v>0</v>
      </c>
      <c r="AU56" s="285" t="b">
        <v>0</v>
      </c>
      <c r="AV56" s="285" t="b">
        <v>0</v>
      </c>
      <c r="AW56" s="285" t="b">
        <v>0</v>
      </c>
      <c r="AX56" s="285" t="b">
        <v>0</v>
      </c>
      <c r="AY56" s="285" t="b">
        <v>0</v>
      </c>
      <c r="AZ56" s="286">
        <f t="shared" si="2"/>
        <v>0</v>
      </c>
      <c r="BA56" s="286" t="s">
        <v>262</v>
      </c>
      <c r="BB56" s="287">
        <v>637.0</v>
      </c>
      <c r="BC56" s="288">
        <v>46174.0</v>
      </c>
      <c r="BD56" s="288">
        <v>46274.0</v>
      </c>
    </row>
    <row r="57" ht="19.5" customHeight="1">
      <c r="A57" s="283" t="s">
        <v>342</v>
      </c>
      <c r="B57" s="284" t="s">
        <v>343</v>
      </c>
      <c r="C57" s="284" t="s">
        <v>344</v>
      </c>
      <c r="D57" s="285" t="b">
        <v>0</v>
      </c>
      <c r="E57" s="285" t="b">
        <v>0</v>
      </c>
      <c r="F57" s="285" t="b">
        <v>0</v>
      </c>
      <c r="G57" s="285" t="b">
        <v>0</v>
      </c>
      <c r="H57" s="285" t="b">
        <v>0</v>
      </c>
      <c r="I57" s="285" t="b">
        <v>0</v>
      </c>
      <c r="J57" s="285" t="b">
        <v>0</v>
      </c>
      <c r="K57" s="285" t="b">
        <v>0</v>
      </c>
      <c r="L57" s="285" t="b">
        <v>0</v>
      </c>
      <c r="M57" s="285" t="b">
        <v>0</v>
      </c>
      <c r="N57" s="285" t="b">
        <v>0</v>
      </c>
      <c r="O57" s="285" t="b">
        <v>0</v>
      </c>
      <c r="P57" s="285" t="b">
        <v>0</v>
      </c>
      <c r="Q57" s="285" t="b">
        <v>0</v>
      </c>
      <c r="R57" s="285" t="b">
        <v>0</v>
      </c>
      <c r="S57" s="285" t="b">
        <v>0</v>
      </c>
      <c r="T57" s="285" t="b">
        <v>0</v>
      </c>
      <c r="U57" s="285" t="b">
        <v>0</v>
      </c>
      <c r="V57" s="285" t="b">
        <v>0</v>
      </c>
      <c r="W57" s="285" t="b">
        <v>0</v>
      </c>
      <c r="X57" s="285" t="b">
        <v>0</v>
      </c>
      <c r="Y57" s="285" t="b">
        <v>0</v>
      </c>
      <c r="Z57" s="285" t="b">
        <v>0</v>
      </c>
      <c r="AA57" s="285" t="b">
        <v>0</v>
      </c>
      <c r="AB57" s="285" t="b">
        <v>0</v>
      </c>
      <c r="AC57" s="285" t="b">
        <v>0</v>
      </c>
      <c r="AD57" s="285" t="b">
        <v>0</v>
      </c>
      <c r="AE57" s="285" t="b">
        <v>0</v>
      </c>
      <c r="AF57" s="285" t="b">
        <v>0</v>
      </c>
      <c r="AG57" s="285" t="b">
        <v>0</v>
      </c>
      <c r="AH57" s="285" t="b">
        <v>0</v>
      </c>
      <c r="AI57" s="285" t="b">
        <v>0</v>
      </c>
      <c r="AJ57" s="285" t="b">
        <v>0</v>
      </c>
      <c r="AK57" s="285" t="b">
        <v>0</v>
      </c>
      <c r="AL57" s="285" t="b">
        <v>0</v>
      </c>
      <c r="AM57" s="285" t="b">
        <v>0</v>
      </c>
      <c r="AN57" s="285" t="b">
        <v>0</v>
      </c>
      <c r="AO57" s="285" t="b">
        <v>0</v>
      </c>
      <c r="AP57" s="285" t="b">
        <v>0</v>
      </c>
      <c r="AQ57" s="285" t="b">
        <v>0</v>
      </c>
      <c r="AR57" s="285" t="b">
        <v>0</v>
      </c>
      <c r="AS57" s="285" t="b">
        <v>0</v>
      </c>
      <c r="AT57" s="285" t="b">
        <v>0</v>
      </c>
      <c r="AU57" s="285" t="b">
        <v>0</v>
      </c>
      <c r="AV57" s="285" t="b">
        <v>0</v>
      </c>
      <c r="AW57" s="285" t="b">
        <v>0</v>
      </c>
      <c r="AX57" s="285" t="b">
        <v>0</v>
      </c>
      <c r="AY57" s="285" t="b">
        <v>0</v>
      </c>
      <c r="AZ57" s="286">
        <f t="shared" si="2"/>
        <v>0</v>
      </c>
      <c r="BA57" s="286" t="s">
        <v>262</v>
      </c>
      <c r="BB57" s="287">
        <v>351.0</v>
      </c>
      <c r="BC57" s="288">
        <v>46023.0</v>
      </c>
      <c r="BD57" s="288">
        <v>46097.0</v>
      </c>
    </row>
    <row r="58" ht="19.5" customHeight="1">
      <c r="A58" s="283" t="s">
        <v>349</v>
      </c>
      <c r="B58" s="284" t="s">
        <v>350</v>
      </c>
      <c r="C58" s="284" t="s">
        <v>351</v>
      </c>
      <c r="D58" s="285" t="b">
        <v>0</v>
      </c>
      <c r="E58" s="285" t="b">
        <v>0</v>
      </c>
      <c r="F58" s="285" t="b">
        <v>0</v>
      </c>
      <c r="G58" s="285" t="b">
        <v>0</v>
      </c>
      <c r="H58" s="285" t="b">
        <v>0</v>
      </c>
      <c r="I58" s="285" t="b">
        <v>0</v>
      </c>
      <c r="J58" s="285" t="b">
        <v>0</v>
      </c>
      <c r="K58" s="285" t="b">
        <v>0</v>
      </c>
      <c r="L58" s="285" t="b">
        <v>0</v>
      </c>
      <c r="M58" s="285" t="b">
        <v>0</v>
      </c>
      <c r="N58" s="285" t="b">
        <v>0</v>
      </c>
      <c r="O58" s="285" t="b">
        <v>0</v>
      </c>
      <c r="P58" s="285" t="b">
        <v>0</v>
      </c>
      <c r="Q58" s="285" t="b">
        <v>0</v>
      </c>
      <c r="R58" s="285" t="b">
        <v>0</v>
      </c>
      <c r="S58" s="285" t="b">
        <v>0</v>
      </c>
      <c r="T58" s="285" t="b">
        <v>0</v>
      </c>
      <c r="U58" s="285" t="b">
        <v>0</v>
      </c>
      <c r="V58" s="285" t="b">
        <v>0</v>
      </c>
      <c r="W58" s="285" t="b">
        <v>0</v>
      </c>
      <c r="X58" s="285" t="b">
        <v>0</v>
      </c>
      <c r="Y58" s="285" t="b">
        <v>0</v>
      </c>
      <c r="Z58" s="285" t="b">
        <v>0</v>
      </c>
      <c r="AA58" s="285" t="b">
        <v>0</v>
      </c>
      <c r="AB58" s="285" t="b">
        <v>0</v>
      </c>
      <c r="AC58" s="285" t="b">
        <v>0</v>
      </c>
      <c r="AD58" s="285" t="b">
        <v>0</v>
      </c>
      <c r="AE58" s="285" t="b">
        <v>0</v>
      </c>
      <c r="AF58" s="285" t="b">
        <v>0</v>
      </c>
      <c r="AG58" s="285" t="b">
        <v>0</v>
      </c>
      <c r="AH58" s="285" t="b">
        <v>0</v>
      </c>
      <c r="AI58" s="285" t="b">
        <v>0</v>
      </c>
      <c r="AJ58" s="285" t="b">
        <v>0</v>
      </c>
      <c r="AK58" s="285" t="b">
        <v>0</v>
      </c>
      <c r="AL58" s="285" t="b">
        <v>0</v>
      </c>
      <c r="AM58" s="285" t="b">
        <v>0</v>
      </c>
      <c r="AN58" s="285" t="b">
        <v>0</v>
      </c>
      <c r="AO58" s="285" t="b">
        <v>0</v>
      </c>
      <c r="AP58" s="285" t="b">
        <v>0</v>
      </c>
      <c r="AQ58" s="285" t="b">
        <v>0</v>
      </c>
      <c r="AR58" s="285" t="b">
        <v>0</v>
      </c>
      <c r="AS58" s="285" t="b">
        <v>0</v>
      </c>
      <c r="AT58" s="285" t="b">
        <v>0</v>
      </c>
      <c r="AU58" s="285" t="b">
        <v>0</v>
      </c>
      <c r="AV58" s="285" t="b">
        <v>0</v>
      </c>
      <c r="AW58" s="285" t="b">
        <v>0</v>
      </c>
      <c r="AX58" s="285" t="b">
        <v>0</v>
      </c>
      <c r="AY58" s="285" t="b">
        <v>0</v>
      </c>
      <c r="AZ58" s="286">
        <f t="shared" si="2"/>
        <v>0</v>
      </c>
      <c r="BA58" s="286" t="s">
        <v>262</v>
      </c>
      <c r="BB58" s="287">
        <v>351.0</v>
      </c>
      <c r="BC58" s="288">
        <v>46174.0</v>
      </c>
      <c r="BD58" s="288">
        <v>45975.0</v>
      </c>
    </row>
    <row r="59" ht="19.5" customHeight="1">
      <c r="A59" s="283" t="s">
        <v>356</v>
      </c>
      <c r="B59" s="284" t="s">
        <v>357</v>
      </c>
      <c r="C59" s="284" t="s">
        <v>358</v>
      </c>
      <c r="D59" s="285" t="b">
        <v>0</v>
      </c>
      <c r="E59" s="285" t="b">
        <v>0</v>
      </c>
      <c r="F59" s="285" t="b">
        <v>0</v>
      </c>
      <c r="G59" s="285" t="b">
        <v>0</v>
      </c>
      <c r="H59" s="285" t="b">
        <v>0</v>
      </c>
      <c r="I59" s="285" t="b">
        <v>0</v>
      </c>
      <c r="J59" s="285" t="b">
        <v>0</v>
      </c>
      <c r="K59" s="285" t="b">
        <v>0</v>
      </c>
      <c r="L59" s="285" t="b">
        <v>0</v>
      </c>
      <c r="M59" s="285" t="b">
        <v>0</v>
      </c>
      <c r="N59" s="285" t="b">
        <v>0</v>
      </c>
      <c r="O59" s="285" t="b">
        <v>0</v>
      </c>
      <c r="P59" s="285" t="b">
        <v>0</v>
      </c>
      <c r="Q59" s="285" t="b">
        <v>0</v>
      </c>
      <c r="R59" s="285" t="b">
        <v>0</v>
      </c>
      <c r="S59" s="285" t="b">
        <v>0</v>
      </c>
      <c r="T59" s="285" t="b">
        <v>0</v>
      </c>
      <c r="U59" s="285" t="b">
        <v>0</v>
      </c>
      <c r="V59" s="285" t="b">
        <v>0</v>
      </c>
      <c r="W59" s="285" t="b">
        <v>0</v>
      </c>
      <c r="X59" s="285" t="b">
        <v>0</v>
      </c>
      <c r="Y59" s="285" t="b">
        <v>0</v>
      </c>
      <c r="Z59" s="285" t="b">
        <v>0</v>
      </c>
      <c r="AA59" s="285" t="b">
        <v>0</v>
      </c>
      <c r="AB59" s="285" t="b">
        <v>0</v>
      </c>
      <c r="AC59" s="285" t="b">
        <v>0</v>
      </c>
      <c r="AD59" s="285" t="b">
        <v>0</v>
      </c>
      <c r="AE59" s="285" t="b">
        <v>0</v>
      </c>
      <c r="AF59" s="285" t="b">
        <v>0</v>
      </c>
      <c r="AG59" s="285" t="b">
        <v>0</v>
      </c>
      <c r="AH59" s="285" t="b">
        <v>0</v>
      </c>
      <c r="AI59" s="285" t="b">
        <v>0</v>
      </c>
      <c r="AJ59" s="285" t="b">
        <v>0</v>
      </c>
      <c r="AK59" s="285" t="b">
        <v>0</v>
      </c>
      <c r="AL59" s="285" t="b">
        <v>0</v>
      </c>
      <c r="AM59" s="285" t="b">
        <v>0</v>
      </c>
      <c r="AN59" s="285" t="b">
        <v>0</v>
      </c>
      <c r="AO59" s="285" t="b">
        <v>0</v>
      </c>
      <c r="AP59" s="285" t="b">
        <v>0</v>
      </c>
      <c r="AQ59" s="285" t="b">
        <v>0</v>
      </c>
      <c r="AR59" s="285" t="b">
        <v>0</v>
      </c>
      <c r="AS59" s="285" t="b">
        <v>0</v>
      </c>
      <c r="AT59" s="285" t="b">
        <v>0</v>
      </c>
      <c r="AU59" s="285" t="b">
        <v>0</v>
      </c>
      <c r="AV59" s="285" t="b">
        <v>0</v>
      </c>
      <c r="AW59" s="285" t="b">
        <v>0</v>
      </c>
      <c r="AX59" s="285" t="b">
        <v>0</v>
      </c>
      <c r="AY59" s="285" t="b">
        <v>0</v>
      </c>
      <c r="AZ59" s="286">
        <f t="shared" si="2"/>
        <v>0</v>
      </c>
      <c r="BA59" s="286" t="s">
        <v>262</v>
      </c>
      <c r="BB59" s="287">
        <v>1032.0</v>
      </c>
      <c r="BC59" s="288">
        <v>46174.0</v>
      </c>
      <c r="BD59" s="288">
        <v>45922.0</v>
      </c>
    </row>
    <row r="60" ht="19.5" customHeight="1">
      <c r="A60" s="283" t="s">
        <v>365</v>
      </c>
      <c r="B60" s="284" t="s">
        <v>366</v>
      </c>
      <c r="C60" s="284" t="s">
        <v>269</v>
      </c>
      <c r="D60" s="285" t="b">
        <v>0</v>
      </c>
      <c r="E60" s="285" t="b">
        <v>0</v>
      </c>
      <c r="F60" s="285" t="b">
        <v>0</v>
      </c>
      <c r="G60" s="285" t="b">
        <v>0</v>
      </c>
      <c r="H60" s="285" t="b">
        <v>0</v>
      </c>
      <c r="I60" s="285" t="b">
        <v>0</v>
      </c>
      <c r="J60" s="285" t="b">
        <v>0</v>
      </c>
      <c r="K60" s="285" t="b">
        <v>0</v>
      </c>
      <c r="L60" s="285" t="b">
        <v>0</v>
      </c>
      <c r="M60" s="285" t="b">
        <v>0</v>
      </c>
      <c r="N60" s="285" t="b">
        <v>0</v>
      </c>
      <c r="O60" s="285" t="b">
        <v>0</v>
      </c>
      <c r="P60" s="285" t="b">
        <v>0</v>
      </c>
      <c r="Q60" s="285" t="b">
        <v>0</v>
      </c>
      <c r="R60" s="285" t="b">
        <v>0</v>
      </c>
      <c r="S60" s="285" t="b">
        <v>0</v>
      </c>
      <c r="T60" s="285" t="b">
        <v>0</v>
      </c>
      <c r="U60" s="285" t="b">
        <v>0</v>
      </c>
      <c r="V60" s="285" t="b">
        <v>0</v>
      </c>
      <c r="W60" s="285" t="b">
        <v>0</v>
      </c>
      <c r="X60" s="285" t="b">
        <v>0</v>
      </c>
      <c r="Y60" s="285" t="b">
        <v>0</v>
      </c>
      <c r="Z60" s="285" t="b">
        <v>0</v>
      </c>
      <c r="AA60" s="285" t="b">
        <v>0</v>
      </c>
      <c r="AB60" s="285" t="b">
        <v>0</v>
      </c>
      <c r="AC60" s="285" t="b">
        <v>0</v>
      </c>
      <c r="AD60" s="285" t="b">
        <v>0</v>
      </c>
      <c r="AE60" s="285" t="b">
        <v>0</v>
      </c>
      <c r="AF60" s="285" t="b">
        <v>0</v>
      </c>
      <c r="AG60" s="285" t="b">
        <v>0</v>
      </c>
      <c r="AH60" s="285" t="b">
        <v>0</v>
      </c>
      <c r="AI60" s="285" t="b">
        <v>0</v>
      </c>
      <c r="AJ60" s="285" t="b">
        <v>0</v>
      </c>
      <c r="AK60" s="285" t="b">
        <v>0</v>
      </c>
      <c r="AL60" s="285" t="b">
        <v>0</v>
      </c>
      <c r="AM60" s="285" t="b">
        <v>0</v>
      </c>
      <c r="AN60" s="285" t="b">
        <v>0</v>
      </c>
      <c r="AO60" s="285" t="b">
        <v>0</v>
      </c>
      <c r="AP60" s="285" t="b">
        <v>0</v>
      </c>
      <c r="AQ60" s="285" t="b">
        <v>0</v>
      </c>
      <c r="AR60" s="285" t="b">
        <v>0</v>
      </c>
      <c r="AS60" s="285" t="b">
        <v>0</v>
      </c>
      <c r="AT60" s="285" t="b">
        <v>0</v>
      </c>
      <c r="AU60" s="285" t="b">
        <v>0</v>
      </c>
      <c r="AV60" s="285" t="b">
        <v>0</v>
      </c>
      <c r="AW60" s="285" t="b">
        <v>0</v>
      </c>
      <c r="AX60" s="285" t="b">
        <v>0</v>
      </c>
      <c r="AY60" s="285" t="b">
        <v>0</v>
      </c>
      <c r="AZ60" s="286">
        <f t="shared" si="2"/>
        <v>0</v>
      </c>
      <c r="BA60" s="286" t="s">
        <v>262</v>
      </c>
      <c r="BB60" s="287">
        <v>415.0</v>
      </c>
      <c r="BC60" s="288">
        <v>46266.0</v>
      </c>
      <c r="BD60" s="288">
        <v>46097.0</v>
      </c>
    </row>
    <row r="61" ht="19.5" customHeight="1">
      <c r="A61" s="283" t="s">
        <v>371</v>
      </c>
      <c r="B61" s="284" t="s">
        <v>372</v>
      </c>
      <c r="C61" s="284" t="s">
        <v>373</v>
      </c>
      <c r="D61" s="285" t="b">
        <v>0</v>
      </c>
      <c r="E61" s="285" t="b">
        <v>0</v>
      </c>
      <c r="F61" s="285" t="b">
        <v>0</v>
      </c>
      <c r="G61" s="285" t="b">
        <v>0</v>
      </c>
      <c r="H61" s="285" t="b">
        <v>0</v>
      </c>
      <c r="I61" s="285" t="b">
        <v>0</v>
      </c>
      <c r="J61" s="285" t="b">
        <v>0</v>
      </c>
      <c r="K61" s="285" t="b">
        <v>0</v>
      </c>
      <c r="L61" s="285" t="b">
        <v>0</v>
      </c>
      <c r="M61" s="285" t="b">
        <v>0</v>
      </c>
      <c r="N61" s="285" t="b">
        <v>0</v>
      </c>
      <c r="O61" s="285" t="b">
        <v>0</v>
      </c>
      <c r="P61" s="285" t="b">
        <v>0</v>
      </c>
      <c r="Q61" s="285" t="b">
        <v>0</v>
      </c>
      <c r="R61" s="285" t="b">
        <v>0</v>
      </c>
      <c r="S61" s="285" t="b">
        <v>0</v>
      </c>
      <c r="T61" s="285" t="b">
        <v>0</v>
      </c>
      <c r="U61" s="285" t="b">
        <v>0</v>
      </c>
      <c r="V61" s="285" t="b">
        <v>0</v>
      </c>
      <c r="W61" s="285" t="b">
        <v>0</v>
      </c>
      <c r="X61" s="285" t="b">
        <v>0</v>
      </c>
      <c r="Y61" s="285" t="b">
        <v>0</v>
      </c>
      <c r="Z61" s="285" t="b">
        <v>0</v>
      </c>
      <c r="AA61" s="285" t="b">
        <v>0</v>
      </c>
      <c r="AB61" s="285" t="b">
        <v>0</v>
      </c>
      <c r="AC61" s="285" t="b">
        <v>0</v>
      </c>
      <c r="AD61" s="285" t="b">
        <v>0</v>
      </c>
      <c r="AE61" s="285" t="b">
        <v>0</v>
      </c>
      <c r="AF61" s="285" t="b">
        <v>0</v>
      </c>
      <c r="AG61" s="285" t="b">
        <v>0</v>
      </c>
      <c r="AH61" s="285" t="b">
        <v>0</v>
      </c>
      <c r="AI61" s="285" t="b">
        <v>0</v>
      </c>
      <c r="AJ61" s="285" t="b">
        <v>0</v>
      </c>
      <c r="AK61" s="285" t="b">
        <v>0</v>
      </c>
      <c r="AL61" s="285" t="b">
        <v>0</v>
      </c>
      <c r="AM61" s="285" t="b">
        <v>0</v>
      </c>
      <c r="AN61" s="285" t="b">
        <v>0</v>
      </c>
      <c r="AO61" s="285" t="b">
        <v>0</v>
      </c>
      <c r="AP61" s="285" t="b">
        <v>0</v>
      </c>
      <c r="AQ61" s="285" t="b">
        <v>0</v>
      </c>
      <c r="AR61" s="285" t="b">
        <v>0</v>
      </c>
      <c r="AS61" s="285" t="b">
        <v>0</v>
      </c>
      <c r="AT61" s="285" t="b">
        <v>0</v>
      </c>
      <c r="AU61" s="285" t="b">
        <v>0</v>
      </c>
      <c r="AV61" s="285" t="b">
        <v>0</v>
      </c>
      <c r="AW61" s="285" t="b">
        <v>0</v>
      </c>
      <c r="AX61" s="285" t="b">
        <v>0</v>
      </c>
      <c r="AY61" s="285" t="b">
        <v>0</v>
      </c>
      <c r="AZ61" s="286">
        <f t="shared" si="2"/>
        <v>0</v>
      </c>
      <c r="BA61" s="286" t="s">
        <v>262</v>
      </c>
      <c r="BB61" s="287">
        <v>337.0</v>
      </c>
      <c r="BC61" s="288">
        <v>46174.0</v>
      </c>
      <c r="BD61" s="288">
        <v>46097.0</v>
      </c>
    </row>
    <row r="62" ht="19.5" customHeight="1">
      <c r="A62" s="283" t="s">
        <v>378</v>
      </c>
      <c r="B62" s="284" t="s">
        <v>379</v>
      </c>
      <c r="C62" s="284" t="s">
        <v>380</v>
      </c>
      <c r="D62" s="285" t="b">
        <v>0</v>
      </c>
      <c r="E62" s="285" t="b">
        <v>0</v>
      </c>
      <c r="F62" s="285" t="b">
        <v>0</v>
      </c>
      <c r="G62" s="285" t="b">
        <v>0</v>
      </c>
      <c r="H62" s="285" t="b">
        <v>0</v>
      </c>
      <c r="I62" s="285" t="b">
        <v>0</v>
      </c>
      <c r="J62" s="285" t="b">
        <v>0</v>
      </c>
      <c r="K62" s="285" t="b">
        <v>0</v>
      </c>
      <c r="L62" s="285" t="b">
        <v>0</v>
      </c>
      <c r="M62" s="285" t="b">
        <v>0</v>
      </c>
      <c r="N62" s="285" t="b">
        <v>0</v>
      </c>
      <c r="O62" s="285" t="b">
        <v>0</v>
      </c>
      <c r="P62" s="285" t="b">
        <v>0</v>
      </c>
      <c r="Q62" s="285" t="b">
        <v>0</v>
      </c>
      <c r="R62" s="285" t="b">
        <v>0</v>
      </c>
      <c r="S62" s="285" t="b">
        <v>0</v>
      </c>
      <c r="T62" s="285" t="b">
        <v>0</v>
      </c>
      <c r="U62" s="285" t="b">
        <v>0</v>
      </c>
      <c r="V62" s="285" t="b">
        <v>0</v>
      </c>
      <c r="W62" s="285" t="b">
        <v>0</v>
      </c>
      <c r="X62" s="285" t="b">
        <v>0</v>
      </c>
      <c r="Y62" s="285" t="b">
        <v>0</v>
      </c>
      <c r="Z62" s="285" t="b">
        <v>0</v>
      </c>
      <c r="AA62" s="285" t="b">
        <v>0</v>
      </c>
      <c r="AB62" s="285" t="b">
        <v>0</v>
      </c>
      <c r="AC62" s="285" t="b">
        <v>0</v>
      </c>
      <c r="AD62" s="285" t="b">
        <v>0</v>
      </c>
      <c r="AE62" s="285" t="b">
        <v>0</v>
      </c>
      <c r="AF62" s="285" t="b">
        <v>0</v>
      </c>
      <c r="AG62" s="285" t="b">
        <v>0</v>
      </c>
      <c r="AH62" s="285" t="b">
        <v>0</v>
      </c>
      <c r="AI62" s="285" t="b">
        <v>0</v>
      </c>
      <c r="AJ62" s="285" t="b">
        <v>0</v>
      </c>
      <c r="AK62" s="285" t="b">
        <v>0</v>
      </c>
      <c r="AL62" s="285" t="b">
        <v>0</v>
      </c>
      <c r="AM62" s="285" t="b">
        <v>0</v>
      </c>
      <c r="AN62" s="285" t="b">
        <v>0</v>
      </c>
      <c r="AO62" s="285" t="b">
        <v>0</v>
      </c>
      <c r="AP62" s="285" t="b">
        <v>0</v>
      </c>
      <c r="AQ62" s="285" t="b">
        <v>0</v>
      </c>
      <c r="AR62" s="285" t="b">
        <v>0</v>
      </c>
      <c r="AS62" s="285" t="b">
        <v>0</v>
      </c>
      <c r="AT62" s="285" t="b">
        <v>0</v>
      </c>
      <c r="AU62" s="285" t="b">
        <v>0</v>
      </c>
      <c r="AV62" s="285" t="b">
        <v>0</v>
      </c>
      <c r="AW62" s="285" t="b">
        <v>0</v>
      </c>
      <c r="AX62" s="285" t="b">
        <v>0</v>
      </c>
      <c r="AY62" s="285" t="b">
        <v>0</v>
      </c>
      <c r="AZ62" s="286">
        <f t="shared" si="2"/>
        <v>0</v>
      </c>
      <c r="BA62" s="286" t="s">
        <v>262</v>
      </c>
      <c r="BB62" s="287">
        <v>415.0</v>
      </c>
      <c r="BC62" s="288">
        <v>46266.0</v>
      </c>
      <c r="BD62" s="288">
        <v>36526.0</v>
      </c>
    </row>
    <row r="63" ht="19.5" customHeight="1">
      <c r="A63" s="283" t="s">
        <v>386</v>
      </c>
      <c r="B63" s="284" t="s">
        <v>387</v>
      </c>
      <c r="C63" s="284" t="s">
        <v>380</v>
      </c>
      <c r="D63" s="285" t="b">
        <v>0</v>
      </c>
      <c r="E63" s="285" t="b">
        <v>0</v>
      </c>
      <c r="F63" s="285" t="b">
        <v>0</v>
      </c>
      <c r="G63" s="285" t="b">
        <v>0</v>
      </c>
      <c r="H63" s="285" t="b">
        <v>0</v>
      </c>
      <c r="I63" s="285" t="b">
        <v>0</v>
      </c>
      <c r="J63" s="285" t="b">
        <v>0</v>
      </c>
      <c r="K63" s="285" t="b">
        <v>0</v>
      </c>
      <c r="L63" s="285" t="b">
        <v>0</v>
      </c>
      <c r="M63" s="285" t="b">
        <v>0</v>
      </c>
      <c r="N63" s="285" t="b">
        <v>0</v>
      </c>
      <c r="O63" s="285" t="b">
        <v>0</v>
      </c>
      <c r="P63" s="285" t="b">
        <v>0</v>
      </c>
      <c r="Q63" s="285" t="b">
        <v>0</v>
      </c>
      <c r="R63" s="285" t="b">
        <v>0</v>
      </c>
      <c r="S63" s="285" t="b">
        <v>0</v>
      </c>
      <c r="T63" s="285" t="b">
        <v>0</v>
      </c>
      <c r="U63" s="285" t="b">
        <v>0</v>
      </c>
      <c r="V63" s="285" t="b">
        <v>0</v>
      </c>
      <c r="W63" s="285" t="b">
        <v>0</v>
      </c>
      <c r="X63" s="285" t="b">
        <v>0</v>
      </c>
      <c r="Y63" s="285" t="b">
        <v>0</v>
      </c>
      <c r="Z63" s="285" t="b">
        <v>0</v>
      </c>
      <c r="AA63" s="285" t="b">
        <v>0</v>
      </c>
      <c r="AB63" s="285" t="b">
        <v>0</v>
      </c>
      <c r="AC63" s="285" t="b">
        <v>0</v>
      </c>
      <c r="AD63" s="285" t="b">
        <v>0</v>
      </c>
      <c r="AE63" s="285" t="b">
        <v>0</v>
      </c>
      <c r="AF63" s="285" t="b">
        <v>0</v>
      </c>
      <c r="AG63" s="285" t="b">
        <v>0</v>
      </c>
      <c r="AH63" s="285" t="b">
        <v>0</v>
      </c>
      <c r="AI63" s="285" t="b">
        <v>0</v>
      </c>
      <c r="AJ63" s="285" t="b">
        <v>0</v>
      </c>
      <c r="AK63" s="285" t="b">
        <v>0</v>
      </c>
      <c r="AL63" s="285" t="b">
        <v>0</v>
      </c>
      <c r="AM63" s="285" t="b">
        <v>0</v>
      </c>
      <c r="AN63" s="285" t="b">
        <v>0</v>
      </c>
      <c r="AO63" s="285" t="b">
        <v>0</v>
      </c>
      <c r="AP63" s="285" t="b">
        <v>0</v>
      </c>
      <c r="AQ63" s="285" t="b">
        <v>0</v>
      </c>
      <c r="AR63" s="285" t="b">
        <v>0</v>
      </c>
      <c r="AS63" s="285" t="b">
        <v>0</v>
      </c>
      <c r="AT63" s="285" t="b">
        <v>0</v>
      </c>
      <c r="AU63" s="285" t="b">
        <v>0</v>
      </c>
      <c r="AV63" s="285" t="b">
        <v>0</v>
      </c>
      <c r="AW63" s="285" t="b">
        <v>0</v>
      </c>
      <c r="AX63" s="285" t="b">
        <v>0</v>
      </c>
      <c r="AY63" s="285" t="b">
        <v>0</v>
      </c>
      <c r="AZ63" s="286">
        <f t="shared" si="2"/>
        <v>0</v>
      </c>
      <c r="BA63" s="286" t="s">
        <v>262</v>
      </c>
      <c r="BB63" s="287">
        <v>337.0</v>
      </c>
      <c r="BC63" s="288">
        <v>46174.0</v>
      </c>
      <c r="BD63" s="288">
        <v>46098.0</v>
      </c>
    </row>
    <row r="64" ht="19.5" customHeight="1">
      <c r="A64" s="283" t="s">
        <v>392</v>
      </c>
      <c r="B64" s="284" t="s">
        <v>393</v>
      </c>
      <c r="C64" s="284" t="s">
        <v>394</v>
      </c>
      <c r="D64" s="285" t="b">
        <v>0</v>
      </c>
      <c r="E64" s="285" t="b">
        <v>0</v>
      </c>
      <c r="F64" s="285" t="b">
        <v>0</v>
      </c>
      <c r="G64" s="285" t="b">
        <v>0</v>
      </c>
      <c r="H64" s="285" t="b">
        <v>0</v>
      </c>
      <c r="I64" s="285" t="b">
        <v>0</v>
      </c>
      <c r="J64" s="285" t="b">
        <v>0</v>
      </c>
      <c r="K64" s="285" t="b">
        <v>0</v>
      </c>
      <c r="L64" s="285" t="b">
        <v>0</v>
      </c>
      <c r="M64" s="285" t="b">
        <v>0</v>
      </c>
      <c r="N64" s="285" t="b">
        <v>0</v>
      </c>
      <c r="O64" s="285" t="b">
        <v>0</v>
      </c>
      <c r="P64" s="285" t="b">
        <v>0</v>
      </c>
      <c r="Q64" s="285" t="b">
        <v>0</v>
      </c>
      <c r="R64" s="285" t="b">
        <v>0</v>
      </c>
      <c r="S64" s="285" t="b">
        <v>0</v>
      </c>
      <c r="T64" s="285" t="b">
        <v>0</v>
      </c>
      <c r="U64" s="285" t="b">
        <v>0</v>
      </c>
      <c r="V64" s="285" t="b">
        <v>0</v>
      </c>
      <c r="W64" s="285" t="b">
        <v>0</v>
      </c>
      <c r="X64" s="285" t="b">
        <v>0</v>
      </c>
      <c r="Y64" s="285" t="b">
        <v>0</v>
      </c>
      <c r="Z64" s="285" t="b">
        <v>0</v>
      </c>
      <c r="AA64" s="285" t="b">
        <v>0</v>
      </c>
      <c r="AB64" s="285" t="b">
        <v>0</v>
      </c>
      <c r="AC64" s="285" t="b">
        <v>0</v>
      </c>
      <c r="AD64" s="285" t="b">
        <v>0</v>
      </c>
      <c r="AE64" s="285" t="b">
        <v>0</v>
      </c>
      <c r="AF64" s="285" t="b">
        <v>0</v>
      </c>
      <c r="AG64" s="285" t="b">
        <v>0</v>
      </c>
      <c r="AH64" s="285" t="b">
        <v>0</v>
      </c>
      <c r="AI64" s="285" t="b">
        <v>0</v>
      </c>
      <c r="AJ64" s="285" t="b">
        <v>0</v>
      </c>
      <c r="AK64" s="285" t="b">
        <v>0</v>
      </c>
      <c r="AL64" s="285" t="b">
        <v>0</v>
      </c>
      <c r="AM64" s="285" t="b">
        <v>0</v>
      </c>
      <c r="AN64" s="285" t="b">
        <v>0</v>
      </c>
      <c r="AO64" s="285" t="b">
        <v>0</v>
      </c>
      <c r="AP64" s="285" t="b">
        <v>0</v>
      </c>
      <c r="AQ64" s="285" t="b">
        <v>0</v>
      </c>
      <c r="AR64" s="285" t="b">
        <v>0</v>
      </c>
      <c r="AS64" s="285" t="b">
        <v>0</v>
      </c>
      <c r="AT64" s="285" t="b">
        <v>0</v>
      </c>
      <c r="AU64" s="285" t="b">
        <v>0</v>
      </c>
      <c r="AV64" s="285" t="b">
        <v>0</v>
      </c>
      <c r="AW64" s="285" t="b">
        <v>0</v>
      </c>
      <c r="AX64" s="285" t="b">
        <v>0</v>
      </c>
      <c r="AY64" s="285" t="b">
        <v>0</v>
      </c>
      <c r="AZ64" s="286">
        <f t="shared" si="2"/>
        <v>0</v>
      </c>
      <c r="BA64" s="286" t="s">
        <v>262</v>
      </c>
      <c r="BB64" s="287">
        <v>415.0</v>
      </c>
      <c r="BC64" s="288">
        <v>46296.0</v>
      </c>
      <c r="BD64" s="288">
        <v>36526.0</v>
      </c>
    </row>
    <row r="65" ht="19.5" customHeight="1">
      <c r="A65" s="283" t="s">
        <v>399</v>
      </c>
      <c r="B65" s="284" t="s">
        <v>400</v>
      </c>
      <c r="C65" s="284" t="s">
        <v>401</v>
      </c>
      <c r="D65" s="285" t="b">
        <v>0</v>
      </c>
      <c r="E65" s="285" t="b">
        <v>0</v>
      </c>
      <c r="F65" s="285" t="b">
        <v>0</v>
      </c>
      <c r="G65" s="285" t="b">
        <v>0</v>
      </c>
      <c r="H65" s="285" t="b">
        <v>0</v>
      </c>
      <c r="I65" s="285" t="b">
        <v>0</v>
      </c>
      <c r="J65" s="285" t="b">
        <v>0</v>
      </c>
      <c r="K65" s="285" t="b">
        <v>0</v>
      </c>
      <c r="L65" s="285" t="b">
        <v>0</v>
      </c>
      <c r="M65" s="285" t="b">
        <v>0</v>
      </c>
      <c r="N65" s="285" t="b">
        <v>0</v>
      </c>
      <c r="O65" s="285" t="b">
        <v>0</v>
      </c>
      <c r="P65" s="285" t="b">
        <v>0</v>
      </c>
      <c r="Q65" s="285" t="b">
        <v>0</v>
      </c>
      <c r="R65" s="285" t="b">
        <v>0</v>
      </c>
      <c r="S65" s="285" t="b">
        <v>0</v>
      </c>
      <c r="T65" s="285" t="b">
        <v>0</v>
      </c>
      <c r="U65" s="285" t="b">
        <v>0</v>
      </c>
      <c r="V65" s="285" t="b">
        <v>0</v>
      </c>
      <c r="W65" s="285" t="b">
        <v>0</v>
      </c>
      <c r="X65" s="285" t="b">
        <v>0</v>
      </c>
      <c r="Y65" s="285" t="b">
        <v>0</v>
      </c>
      <c r="Z65" s="285" t="b">
        <v>0</v>
      </c>
      <c r="AA65" s="285" t="b">
        <v>0</v>
      </c>
      <c r="AB65" s="285" t="b">
        <v>0</v>
      </c>
      <c r="AC65" s="285" t="b">
        <v>0</v>
      </c>
      <c r="AD65" s="285" t="b">
        <v>0</v>
      </c>
      <c r="AE65" s="285" t="b">
        <v>0</v>
      </c>
      <c r="AF65" s="285" t="b">
        <v>0</v>
      </c>
      <c r="AG65" s="285" t="b">
        <v>0</v>
      </c>
      <c r="AH65" s="285" t="b">
        <v>0</v>
      </c>
      <c r="AI65" s="285" t="b">
        <v>0</v>
      </c>
      <c r="AJ65" s="285" t="b">
        <v>0</v>
      </c>
      <c r="AK65" s="285" t="b">
        <v>0</v>
      </c>
      <c r="AL65" s="285" t="b">
        <v>0</v>
      </c>
      <c r="AM65" s="285" t="b">
        <v>0</v>
      </c>
      <c r="AN65" s="285" t="b">
        <v>0</v>
      </c>
      <c r="AO65" s="285" t="b">
        <v>0</v>
      </c>
      <c r="AP65" s="285" t="b">
        <v>0</v>
      </c>
      <c r="AQ65" s="285" t="b">
        <v>0</v>
      </c>
      <c r="AR65" s="285" t="b">
        <v>0</v>
      </c>
      <c r="AS65" s="285" t="b">
        <v>0</v>
      </c>
      <c r="AT65" s="285" t="b">
        <v>0</v>
      </c>
      <c r="AU65" s="285" t="b">
        <v>0</v>
      </c>
      <c r="AV65" s="285" t="b">
        <v>0</v>
      </c>
      <c r="AW65" s="285" t="b">
        <v>0</v>
      </c>
      <c r="AX65" s="285" t="b">
        <v>0</v>
      </c>
      <c r="AY65" s="285" t="b">
        <v>0</v>
      </c>
      <c r="AZ65" s="286">
        <f t="shared" si="2"/>
        <v>0</v>
      </c>
      <c r="BA65" s="286" t="s">
        <v>262</v>
      </c>
      <c r="BB65" s="287">
        <v>415.0</v>
      </c>
      <c r="BC65" s="288">
        <v>46266.0</v>
      </c>
      <c r="BD65" s="288">
        <v>36526.0</v>
      </c>
    </row>
    <row r="66" ht="19.5" customHeight="1">
      <c r="A66" s="283" t="s">
        <v>406</v>
      </c>
      <c r="B66" s="284" t="s">
        <v>407</v>
      </c>
      <c r="C66" s="284" t="s">
        <v>408</v>
      </c>
      <c r="D66" s="285" t="b">
        <v>0</v>
      </c>
      <c r="E66" s="285" t="b">
        <v>0</v>
      </c>
      <c r="F66" s="285" t="b">
        <v>0</v>
      </c>
      <c r="G66" s="285" t="b">
        <v>0</v>
      </c>
      <c r="H66" s="285" t="b">
        <v>0</v>
      </c>
      <c r="I66" s="285" t="b">
        <v>0</v>
      </c>
      <c r="J66" s="285" t="b">
        <v>0</v>
      </c>
      <c r="K66" s="285" t="b">
        <v>0</v>
      </c>
      <c r="L66" s="285" t="b">
        <v>0</v>
      </c>
      <c r="M66" s="285" t="b">
        <v>0</v>
      </c>
      <c r="N66" s="285" t="b">
        <v>0</v>
      </c>
      <c r="O66" s="285" t="b">
        <v>0</v>
      </c>
      <c r="P66" s="285" t="b">
        <v>0</v>
      </c>
      <c r="Q66" s="285" t="b">
        <v>0</v>
      </c>
      <c r="R66" s="285" t="b">
        <v>0</v>
      </c>
      <c r="S66" s="285" t="b">
        <v>0</v>
      </c>
      <c r="T66" s="285" t="b">
        <v>0</v>
      </c>
      <c r="U66" s="285" t="b">
        <v>0</v>
      </c>
      <c r="V66" s="285" t="b">
        <v>0</v>
      </c>
      <c r="W66" s="285" t="b">
        <v>0</v>
      </c>
      <c r="X66" s="285" t="b">
        <v>0</v>
      </c>
      <c r="Y66" s="285" t="b">
        <v>0</v>
      </c>
      <c r="Z66" s="285" t="b">
        <v>0</v>
      </c>
      <c r="AA66" s="285" t="b">
        <v>0</v>
      </c>
      <c r="AB66" s="285" t="b">
        <v>0</v>
      </c>
      <c r="AC66" s="285" t="b">
        <v>0</v>
      </c>
      <c r="AD66" s="285" t="b">
        <v>0</v>
      </c>
      <c r="AE66" s="285" t="b">
        <v>0</v>
      </c>
      <c r="AF66" s="285" t="b">
        <v>0</v>
      </c>
      <c r="AG66" s="285" t="b">
        <v>0</v>
      </c>
      <c r="AH66" s="285" t="b">
        <v>0</v>
      </c>
      <c r="AI66" s="285" t="b">
        <v>0</v>
      </c>
      <c r="AJ66" s="285" t="b">
        <v>0</v>
      </c>
      <c r="AK66" s="285" t="b">
        <v>0</v>
      </c>
      <c r="AL66" s="285" t="b">
        <v>0</v>
      </c>
      <c r="AM66" s="285" t="b">
        <v>0</v>
      </c>
      <c r="AN66" s="285" t="b">
        <v>0</v>
      </c>
      <c r="AO66" s="285" t="b">
        <v>0</v>
      </c>
      <c r="AP66" s="285" t="b">
        <v>0</v>
      </c>
      <c r="AQ66" s="285" t="b">
        <v>0</v>
      </c>
      <c r="AR66" s="285" t="b">
        <v>0</v>
      </c>
      <c r="AS66" s="285" t="b">
        <v>0</v>
      </c>
      <c r="AT66" s="285" t="b">
        <v>0</v>
      </c>
      <c r="AU66" s="285" t="b">
        <v>0</v>
      </c>
      <c r="AV66" s="285" t="b">
        <v>0</v>
      </c>
      <c r="AW66" s="285" t="b">
        <v>0</v>
      </c>
      <c r="AX66" s="285" t="b">
        <v>0</v>
      </c>
      <c r="AY66" s="285" t="b">
        <v>0</v>
      </c>
      <c r="AZ66" s="286">
        <f t="shared" si="2"/>
        <v>0</v>
      </c>
      <c r="BA66" s="286" t="s">
        <v>262</v>
      </c>
      <c r="BB66" s="287">
        <v>337.0</v>
      </c>
      <c r="BC66" s="288">
        <v>46296.0</v>
      </c>
      <c r="BD66" s="288">
        <v>46041.0</v>
      </c>
    </row>
    <row r="67" ht="19.5" customHeight="1">
      <c r="A67" s="283" t="s">
        <v>414</v>
      </c>
      <c r="B67" s="284" t="s">
        <v>415</v>
      </c>
      <c r="C67" s="284" t="s">
        <v>330</v>
      </c>
      <c r="D67" s="285" t="b">
        <v>0</v>
      </c>
      <c r="E67" s="285" t="b">
        <v>0</v>
      </c>
      <c r="F67" s="285" t="b">
        <v>0</v>
      </c>
      <c r="G67" s="285" t="b">
        <v>0</v>
      </c>
      <c r="H67" s="285" t="b">
        <v>0</v>
      </c>
      <c r="I67" s="285" t="b">
        <v>0</v>
      </c>
      <c r="J67" s="285" t="b">
        <v>0</v>
      </c>
      <c r="K67" s="285" t="b">
        <v>0</v>
      </c>
      <c r="L67" s="285" t="b">
        <v>0</v>
      </c>
      <c r="M67" s="285" t="b">
        <v>0</v>
      </c>
      <c r="N67" s="285" t="b">
        <v>0</v>
      </c>
      <c r="O67" s="285" t="b">
        <v>0</v>
      </c>
      <c r="P67" s="285" t="b">
        <v>0</v>
      </c>
      <c r="Q67" s="285" t="b">
        <v>0</v>
      </c>
      <c r="R67" s="285" t="b">
        <v>0</v>
      </c>
      <c r="S67" s="285" t="b">
        <v>0</v>
      </c>
      <c r="T67" s="285" t="b">
        <v>0</v>
      </c>
      <c r="U67" s="285" t="b">
        <v>0</v>
      </c>
      <c r="V67" s="285" t="b">
        <v>0</v>
      </c>
      <c r="W67" s="285" t="b">
        <v>0</v>
      </c>
      <c r="X67" s="285" t="b">
        <v>0</v>
      </c>
      <c r="Y67" s="285" t="b">
        <v>0</v>
      </c>
      <c r="Z67" s="285" t="b">
        <v>0</v>
      </c>
      <c r="AA67" s="285" t="b">
        <v>0</v>
      </c>
      <c r="AB67" s="285" t="b">
        <v>0</v>
      </c>
      <c r="AC67" s="285" t="b">
        <v>0</v>
      </c>
      <c r="AD67" s="285" t="b">
        <v>0</v>
      </c>
      <c r="AE67" s="285" t="b">
        <v>0</v>
      </c>
      <c r="AF67" s="285" t="b">
        <v>0</v>
      </c>
      <c r="AG67" s="285" t="b">
        <v>0</v>
      </c>
      <c r="AH67" s="285" t="b">
        <v>0</v>
      </c>
      <c r="AI67" s="285" t="b">
        <v>0</v>
      </c>
      <c r="AJ67" s="285" t="b">
        <v>0</v>
      </c>
      <c r="AK67" s="285" t="b">
        <v>0</v>
      </c>
      <c r="AL67" s="285" t="b">
        <v>0</v>
      </c>
      <c r="AM67" s="285" t="b">
        <v>0</v>
      </c>
      <c r="AN67" s="285" t="b">
        <v>0</v>
      </c>
      <c r="AO67" s="285" t="b">
        <v>0</v>
      </c>
      <c r="AP67" s="285" t="b">
        <v>0</v>
      </c>
      <c r="AQ67" s="285" t="b">
        <v>0</v>
      </c>
      <c r="AR67" s="285" t="b">
        <v>0</v>
      </c>
      <c r="AS67" s="285" t="b">
        <v>0</v>
      </c>
      <c r="AT67" s="285" t="b">
        <v>0</v>
      </c>
      <c r="AU67" s="285" t="b">
        <v>0</v>
      </c>
      <c r="AV67" s="285" t="b">
        <v>0</v>
      </c>
      <c r="AW67" s="285" t="b">
        <v>0</v>
      </c>
      <c r="AX67" s="285" t="b">
        <v>0</v>
      </c>
      <c r="AY67" s="285" t="b">
        <v>0</v>
      </c>
      <c r="AZ67" s="286">
        <f t="shared" si="2"/>
        <v>0</v>
      </c>
      <c r="BA67" s="286" t="s">
        <v>262</v>
      </c>
      <c r="BB67" s="287">
        <v>415.0</v>
      </c>
      <c r="BC67" s="288">
        <v>46266.0</v>
      </c>
      <c r="BD67" s="288">
        <v>36526.0</v>
      </c>
    </row>
    <row r="68" ht="19.5" customHeight="1">
      <c r="A68" s="283" t="s">
        <v>420</v>
      </c>
      <c r="B68" s="284" t="s">
        <v>421</v>
      </c>
      <c r="C68" s="284" t="s">
        <v>422</v>
      </c>
      <c r="D68" s="285" t="b">
        <v>0</v>
      </c>
      <c r="E68" s="285" t="b">
        <v>0</v>
      </c>
      <c r="F68" s="285" t="b">
        <v>0</v>
      </c>
      <c r="G68" s="285" t="b">
        <v>0</v>
      </c>
      <c r="H68" s="285" t="b">
        <v>0</v>
      </c>
      <c r="I68" s="285" t="b">
        <v>0</v>
      </c>
      <c r="J68" s="285" t="b">
        <v>0</v>
      </c>
      <c r="K68" s="285" t="b">
        <v>0</v>
      </c>
      <c r="L68" s="285" t="b">
        <v>0</v>
      </c>
      <c r="M68" s="285" t="b">
        <v>0</v>
      </c>
      <c r="N68" s="285" t="b">
        <v>0</v>
      </c>
      <c r="O68" s="285" t="b">
        <v>0</v>
      </c>
      <c r="P68" s="285" t="b">
        <v>0</v>
      </c>
      <c r="Q68" s="285" t="b">
        <v>0</v>
      </c>
      <c r="R68" s="285" t="b">
        <v>0</v>
      </c>
      <c r="S68" s="285" t="b">
        <v>0</v>
      </c>
      <c r="T68" s="285" t="b">
        <v>0</v>
      </c>
      <c r="U68" s="285" t="b">
        <v>0</v>
      </c>
      <c r="V68" s="285" t="b">
        <v>0</v>
      </c>
      <c r="W68" s="285" t="b">
        <v>0</v>
      </c>
      <c r="X68" s="285" t="b">
        <v>0</v>
      </c>
      <c r="Y68" s="285" t="b">
        <v>0</v>
      </c>
      <c r="Z68" s="285" t="b">
        <v>0</v>
      </c>
      <c r="AA68" s="285" t="b">
        <v>0</v>
      </c>
      <c r="AB68" s="285" t="b">
        <v>0</v>
      </c>
      <c r="AC68" s="285" t="b">
        <v>0</v>
      </c>
      <c r="AD68" s="285" t="b">
        <v>0</v>
      </c>
      <c r="AE68" s="285" t="b">
        <v>0</v>
      </c>
      <c r="AF68" s="285" t="b">
        <v>0</v>
      </c>
      <c r="AG68" s="285" t="b">
        <v>0</v>
      </c>
      <c r="AH68" s="285" t="b">
        <v>0</v>
      </c>
      <c r="AI68" s="285" t="b">
        <v>0</v>
      </c>
      <c r="AJ68" s="285" t="b">
        <v>0</v>
      </c>
      <c r="AK68" s="285" t="b">
        <v>0</v>
      </c>
      <c r="AL68" s="285" t="b">
        <v>0</v>
      </c>
      <c r="AM68" s="285" t="b">
        <v>0</v>
      </c>
      <c r="AN68" s="285" t="b">
        <v>0</v>
      </c>
      <c r="AO68" s="285" t="b">
        <v>0</v>
      </c>
      <c r="AP68" s="285" t="b">
        <v>0</v>
      </c>
      <c r="AQ68" s="285" t="b">
        <v>0</v>
      </c>
      <c r="AR68" s="285" t="b">
        <v>0</v>
      </c>
      <c r="AS68" s="285" t="b">
        <v>0</v>
      </c>
      <c r="AT68" s="285" t="b">
        <v>0</v>
      </c>
      <c r="AU68" s="285" t="b">
        <v>0</v>
      </c>
      <c r="AV68" s="285" t="b">
        <v>0</v>
      </c>
      <c r="AW68" s="285" t="b">
        <v>0</v>
      </c>
      <c r="AX68" s="285" t="b">
        <v>0</v>
      </c>
      <c r="AY68" s="285" t="b">
        <v>0</v>
      </c>
      <c r="AZ68" s="286">
        <f t="shared" si="2"/>
        <v>0</v>
      </c>
      <c r="BA68" s="286" t="s">
        <v>262</v>
      </c>
      <c r="BB68" s="287">
        <v>1325.0</v>
      </c>
      <c r="BC68" s="288">
        <v>46266.0</v>
      </c>
      <c r="BD68" s="288">
        <v>45861.0</v>
      </c>
    </row>
    <row r="69" ht="19.5" customHeight="1">
      <c r="A69" s="283"/>
      <c r="B69" s="284"/>
      <c r="C69" s="284"/>
      <c r="D69" s="285" t="b">
        <v>0</v>
      </c>
      <c r="E69" s="285" t="b">
        <v>0</v>
      </c>
      <c r="F69" s="285" t="b">
        <v>0</v>
      </c>
      <c r="G69" s="285" t="b">
        <v>0</v>
      </c>
      <c r="H69" s="285" t="b">
        <v>0</v>
      </c>
      <c r="I69" s="285" t="b">
        <v>0</v>
      </c>
      <c r="J69" s="285" t="b">
        <v>0</v>
      </c>
      <c r="K69" s="285" t="b">
        <v>0</v>
      </c>
      <c r="L69" s="285" t="b">
        <v>0</v>
      </c>
      <c r="M69" s="285" t="b">
        <v>0</v>
      </c>
      <c r="N69" s="285" t="b">
        <v>0</v>
      </c>
      <c r="O69" s="285" t="b">
        <v>0</v>
      </c>
      <c r="P69" s="285" t="b">
        <v>0</v>
      </c>
      <c r="Q69" s="285" t="b">
        <v>0</v>
      </c>
      <c r="R69" s="285" t="b">
        <v>0</v>
      </c>
      <c r="S69" s="285" t="b">
        <v>0</v>
      </c>
      <c r="T69" s="285" t="b">
        <v>0</v>
      </c>
      <c r="U69" s="285" t="b">
        <v>0</v>
      </c>
      <c r="V69" s="285" t="b">
        <v>0</v>
      </c>
      <c r="W69" s="285" t="b">
        <v>0</v>
      </c>
      <c r="X69" s="285" t="b">
        <v>0</v>
      </c>
      <c r="Y69" s="285" t="b">
        <v>0</v>
      </c>
      <c r="Z69" s="285" t="b">
        <v>0</v>
      </c>
      <c r="AA69" s="285" t="b">
        <v>0</v>
      </c>
      <c r="AB69" s="285" t="b">
        <v>0</v>
      </c>
      <c r="AC69" s="285" t="b">
        <v>0</v>
      </c>
      <c r="AD69" s="285" t="b">
        <v>0</v>
      </c>
      <c r="AE69" s="285" t="b">
        <v>0</v>
      </c>
      <c r="AF69" s="285" t="b">
        <v>0</v>
      </c>
      <c r="AG69" s="285" t="b">
        <v>0</v>
      </c>
      <c r="AH69" s="285" t="b">
        <v>0</v>
      </c>
      <c r="AI69" s="285" t="b">
        <v>0</v>
      </c>
      <c r="AJ69" s="285" t="b">
        <v>0</v>
      </c>
      <c r="AK69" s="285" t="b">
        <v>0</v>
      </c>
      <c r="AL69" s="285" t="b">
        <v>0</v>
      </c>
      <c r="AM69" s="285" t="b">
        <v>0</v>
      </c>
      <c r="AN69" s="285" t="b">
        <v>0</v>
      </c>
      <c r="AO69" s="285" t="b">
        <v>0</v>
      </c>
      <c r="AP69" s="285" t="b">
        <v>0</v>
      </c>
      <c r="AQ69" s="285" t="b">
        <v>0</v>
      </c>
      <c r="AR69" s="285" t="b">
        <v>0</v>
      </c>
      <c r="AS69" s="285" t="b">
        <v>0</v>
      </c>
      <c r="AT69" s="285" t="b">
        <v>0</v>
      </c>
      <c r="AU69" s="285" t="b">
        <v>0</v>
      </c>
      <c r="AV69" s="285" t="b">
        <v>0</v>
      </c>
      <c r="AW69" s="285" t="b">
        <v>0</v>
      </c>
      <c r="AX69" s="285" t="b">
        <v>0</v>
      </c>
      <c r="AY69" s="285" t="b">
        <v>0</v>
      </c>
      <c r="AZ69" s="286">
        <f t="shared" si="2"/>
        <v>0</v>
      </c>
      <c r="BA69" s="286"/>
      <c r="BB69" s="287"/>
      <c r="BC69" s="288"/>
      <c r="BD69" s="288"/>
    </row>
    <row r="70" ht="19.5" customHeight="1">
      <c r="A70" s="283"/>
      <c r="B70" s="284"/>
      <c r="C70" s="284"/>
      <c r="D70" s="285" t="b">
        <v>0</v>
      </c>
      <c r="E70" s="285" t="b">
        <v>0</v>
      </c>
      <c r="F70" s="285" t="b">
        <v>0</v>
      </c>
      <c r="G70" s="285" t="b">
        <v>0</v>
      </c>
      <c r="H70" s="285" t="b">
        <v>0</v>
      </c>
      <c r="I70" s="285" t="b">
        <v>0</v>
      </c>
      <c r="J70" s="285" t="b">
        <v>0</v>
      </c>
      <c r="K70" s="285" t="b">
        <v>0</v>
      </c>
      <c r="L70" s="285" t="b">
        <v>0</v>
      </c>
      <c r="M70" s="285" t="b">
        <v>0</v>
      </c>
      <c r="N70" s="285" t="b">
        <v>0</v>
      </c>
      <c r="O70" s="285" t="b">
        <v>0</v>
      </c>
      <c r="P70" s="285" t="b">
        <v>0</v>
      </c>
      <c r="Q70" s="285" t="b">
        <v>0</v>
      </c>
      <c r="R70" s="285" t="b">
        <v>0</v>
      </c>
      <c r="S70" s="285" t="b">
        <v>0</v>
      </c>
      <c r="T70" s="285" t="b">
        <v>0</v>
      </c>
      <c r="U70" s="285" t="b">
        <v>0</v>
      </c>
      <c r="V70" s="285" t="b">
        <v>0</v>
      </c>
      <c r="W70" s="285" t="b">
        <v>0</v>
      </c>
      <c r="X70" s="285" t="b">
        <v>0</v>
      </c>
      <c r="Y70" s="285" t="b">
        <v>0</v>
      </c>
      <c r="Z70" s="285" t="b">
        <v>0</v>
      </c>
      <c r="AA70" s="285" t="b">
        <v>0</v>
      </c>
      <c r="AB70" s="285" t="b">
        <v>0</v>
      </c>
      <c r="AC70" s="285" t="b">
        <v>0</v>
      </c>
      <c r="AD70" s="285" t="b">
        <v>0</v>
      </c>
      <c r="AE70" s="285" t="b">
        <v>0</v>
      </c>
      <c r="AF70" s="285" t="b">
        <v>0</v>
      </c>
      <c r="AG70" s="285" t="b">
        <v>0</v>
      </c>
      <c r="AH70" s="285" t="b">
        <v>0</v>
      </c>
      <c r="AI70" s="285" t="b">
        <v>0</v>
      </c>
      <c r="AJ70" s="285" t="b">
        <v>0</v>
      </c>
      <c r="AK70" s="285" t="b">
        <v>0</v>
      </c>
      <c r="AL70" s="285" t="b">
        <v>0</v>
      </c>
      <c r="AM70" s="285" t="b">
        <v>0</v>
      </c>
      <c r="AN70" s="285" t="b">
        <v>0</v>
      </c>
      <c r="AO70" s="285" t="b">
        <v>0</v>
      </c>
      <c r="AP70" s="285" t="b">
        <v>0</v>
      </c>
      <c r="AQ70" s="285" t="b">
        <v>0</v>
      </c>
      <c r="AR70" s="285" t="b">
        <v>0</v>
      </c>
      <c r="AS70" s="285" t="b">
        <v>0</v>
      </c>
      <c r="AT70" s="285" t="b">
        <v>0</v>
      </c>
      <c r="AU70" s="285" t="b">
        <v>0</v>
      </c>
      <c r="AV70" s="285" t="b">
        <v>0</v>
      </c>
      <c r="AW70" s="285" t="b">
        <v>0</v>
      </c>
      <c r="AX70" s="285" t="b">
        <v>0</v>
      </c>
      <c r="AY70" s="285" t="b">
        <v>0</v>
      </c>
      <c r="AZ70" s="286">
        <f t="shared" si="2"/>
        <v>0</v>
      </c>
      <c r="BA70" s="286"/>
      <c r="BB70" s="287"/>
      <c r="BC70" s="288"/>
      <c r="BD70" s="288"/>
    </row>
    <row r="71" ht="19.5" customHeight="1">
      <c r="A71" s="283" t="s">
        <v>427</v>
      </c>
      <c r="B71" s="284" t="s">
        <v>428</v>
      </c>
      <c r="C71" s="284" t="s">
        <v>429</v>
      </c>
      <c r="D71" s="285" t="b">
        <v>0</v>
      </c>
      <c r="E71" s="285" t="b">
        <v>0</v>
      </c>
      <c r="F71" s="285" t="b">
        <v>0</v>
      </c>
      <c r="G71" s="285" t="b">
        <v>0</v>
      </c>
      <c r="H71" s="285" t="b">
        <v>0</v>
      </c>
      <c r="I71" s="285" t="b">
        <v>0</v>
      </c>
      <c r="J71" s="285" t="b">
        <v>0</v>
      </c>
      <c r="K71" s="285" t="b">
        <v>0</v>
      </c>
      <c r="L71" s="285" t="b">
        <v>0</v>
      </c>
      <c r="M71" s="285" t="b">
        <v>0</v>
      </c>
      <c r="N71" s="285" t="b">
        <v>0</v>
      </c>
      <c r="O71" s="285" t="b">
        <v>0</v>
      </c>
      <c r="P71" s="285" t="b">
        <v>0</v>
      </c>
      <c r="Q71" s="285" t="b">
        <v>0</v>
      </c>
      <c r="R71" s="285" t="b">
        <v>0</v>
      </c>
      <c r="S71" s="285" t="b">
        <v>0</v>
      </c>
      <c r="T71" s="285" t="b">
        <v>0</v>
      </c>
      <c r="U71" s="285" t="b">
        <v>0</v>
      </c>
      <c r="V71" s="285" t="b">
        <v>0</v>
      </c>
      <c r="W71" s="285" t="b">
        <v>0</v>
      </c>
      <c r="X71" s="285" t="b">
        <v>0</v>
      </c>
      <c r="Y71" s="285" t="b">
        <v>0</v>
      </c>
      <c r="Z71" s="285" t="b">
        <v>0</v>
      </c>
      <c r="AA71" s="285" t="b">
        <v>0</v>
      </c>
      <c r="AB71" s="285" t="b">
        <v>0</v>
      </c>
      <c r="AC71" s="285" t="b">
        <v>0</v>
      </c>
      <c r="AD71" s="285" t="b">
        <v>0</v>
      </c>
      <c r="AE71" s="285" t="b">
        <v>0</v>
      </c>
      <c r="AF71" s="285" t="b">
        <v>0</v>
      </c>
      <c r="AG71" s="285" t="b">
        <v>0</v>
      </c>
      <c r="AH71" s="285" t="b">
        <v>0</v>
      </c>
      <c r="AI71" s="285" t="b">
        <v>0</v>
      </c>
      <c r="AJ71" s="285" t="b">
        <v>0</v>
      </c>
      <c r="AK71" s="285" t="b">
        <v>0</v>
      </c>
      <c r="AL71" s="285" t="b">
        <v>0</v>
      </c>
      <c r="AM71" s="285" t="b">
        <v>0</v>
      </c>
      <c r="AN71" s="285" t="b">
        <v>0</v>
      </c>
      <c r="AO71" s="285" t="b">
        <v>0</v>
      </c>
      <c r="AP71" s="285" t="b">
        <v>0</v>
      </c>
      <c r="AQ71" s="285" t="b">
        <v>0</v>
      </c>
      <c r="AR71" s="285" t="b">
        <v>0</v>
      </c>
      <c r="AS71" s="285" t="b">
        <v>0</v>
      </c>
      <c r="AT71" s="285" t="b">
        <v>0</v>
      </c>
      <c r="AU71" s="285" t="b">
        <v>0</v>
      </c>
      <c r="AV71" s="285" t="b">
        <v>0</v>
      </c>
      <c r="AW71" s="285" t="b">
        <v>0</v>
      </c>
      <c r="AX71" s="285" t="b">
        <v>0</v>
      </c>
      <c r="AY71" s="285" t="b">
        <v>0</v>
      </c>
      <c r="AZ71" s="286">
        <f t="shared" si="2"/>
        <v>0</v>
      </c>
      <c r="BA71" s="286" t="s">
        <v>262</v>
      </c>
      <c r="BB71" s="287">
        <v>671.0</v>
      </c>
      <c r="BC71" s="288">
        <v>46266.0</v>
      </c>
      <c r="BD71" s="288">
        <v>45993.0</v>
      </c>
    </row>
    <row r="72" ht="19.5" customHeight="1">
      <c r="A72" s="283"/>
      <c r="B72" s="284"/>
      <c r="C72" s="284"/>
      <c r="D72" s="285" t="b">
        <v>0</v>
      </c>
      <c r="E72" s="285" t="b">
        <v>0</v>
      </c>
      <c r="F72" s="285" t="b">
        <v>0</v>
      </c>
      <c r="G72" s="285" t="b">
        <v>0</v>
      </c>
      <c r="H72" s="285" t="b">
        <v>0</v>
      </c>
      <c r="I72" s="285" t="b">
        <v>0</v>
      </c>
      <c r="J72" s="285" t="b">
        <v>0</v>
      </c>
      <c r="K72" s="285" t="b">
        <v>0</v>
      </c>
      <c r="L72" s="285" t="b">
        <v>0</v>
      </c>
      <c r="M72" s="285" t="b">
        <v>0</v>
      </c>
      <c r="N72" s="285" t="b">
        <v>0</v>
      </c>
      <c r="O72" s="285" t="b">
        <v>0</v>
      </c>
      <c r="P72" s="285" t="b">
        <v>0</v>
      </c>
      <c r="Q72" s="285" t="b">
        <v>0</v>
      </c>
      <c r="R72" s="285" t="b">
        <v>0</v>
      </c>
      <c r="S72" s="285" t="b">
        <v>0</v>
      </c>
      <c r="T72" s="285" t="b">
        <v>0</v>
      </c>
      <c r="U72" s="285" t="b">
        <v>0</v>
      </c>
      <c r="V72" s="285" t="b">
        <v>0</v>
      </c>
      <c r="W72" s="285" t="b">
        <v>0</v>
      </c>
      <c r="X72" s="285" t="b">
        <v>0</v>
      </c>
      <c r="Y72" s="285" t="b">
        <v>0</v>
      </c>
      <c r="Z72" s="285" t="b">
        <v>0</v>
      </c>
      <c r="AA72" s="285" t="b">
        <v>0</v>
      </c>
      <c r="AB72" s="285" t="b">
        <v>0</v>
      </c>
      <c r="AC72" s="285" t="b">
        <v>0</v>
      </c>
      <c r="AD72" s="285" t="b">
        <v>0</v>
      </c>
      <c r="AE72" s="285" t="b">
        <v>0</v>
      </c>
      <c r="AF72" s="285" t="b">
        <v>0</v>
      </c>
      <c r="AG72" s="285" t="b">
        <v>0</v>
      </c>
      <c r="AH72" s="285" t="b">
        <v>0</v>
      </c>
      <c r="AI72" s="285" t="b">
        <v>0</v>
      </c>
      <c r="AJ72" s="285" t="b">
        <v>0</v>
      </c>
      <c r="AK72" s="285" t="b">
        <v>0</v>
      </c>
      <c r="AL72" s="285" t="b">
        <v>0</v>
      </c>
      <c r="AM72" s="285" t="b">
        <v>0</v>
      </c>
      <c r="AN72" s="285" t="b">
        <v>0</v>
      </c>
      <c r="AO72" s="285" t="b">
        <v>0</v>
      </c>
      <c r="AP72" s="285" t="b">
        <v>0</v>
      </c>
      <c r="AQ72" s="285" t="b">
        <v>0</v>
      </c>
      <c r="AR72" s="285" t="b">
        <v>0</v>
      </c>
      <c r="AS72" s="285" t="b">
        <v>0</v>
      </c>
      <c r="AT72" s="285" t="b">
        <v>0</v>
      </c>
      <c r="AU72" s="285" t="b">
        <v>0</v>
      </c>
      <c r="AV72" s="285" t="b">
        <v>0</v>
      </c>
      <c r="AW72" s="285" t="b">
        <v>0</v>
      </c>
      <c r="AX72" s="285" t="b">
        <v>0</v>
      </c>
      <c r="AY72" s="285" t="b">
        <v>0</v>
      </c>
      <c r="AZ72" s="286">
        <f t="shared" si="2"/>
        <v>0</v>
      </c>
      <c r="BA72" s="286"/>
      <c r="BB72" s="287"/>
      <c r="BC72" s="288"/>
      <c r="BD72" s="288"/>
    </row>
    <row r="73" ht="19.5" customHeight="1">
      <c r="A73" s="283"/>
      <c r="B73" s="284"/>
      <c r="C73" s="284"/>
      <c r="D73" s="285" t="b">
        <v>0</v>
      </c>
      <c r="E73" s="285" t="b">
        <v>0</v>
      </c>
      <c r="F73" s="285" t="b">
        <v>0</v>
      </c>
      <c r="G73" s="285" t="b">
        <v>0</v>
      </c>
      <c r="H73" s="285" t="b">
        <v>0</v>
      </c>
      <c r="I73" s="285" t="b">
        <v>0</v>
      </c>
      <c r="J73" s="285" t="b">
        <v>0</v>
      </c>
      <c r="K73" s="285" t="b">
        <v>0</v>
      </c>
      <c r="L73" s="285" t="b">
        <v>0</v>
      </c>
      <c r="M73" s="285" t="b">
        <v>0</v>
      </c>
      <c r="N73" s="285" t="b">
        <v>0</v>
      </c>
      <c r="O73" s="285" t="b">
        <v>0</v>
      </c>
      <c r="P73" s="285" t="b">
        <v>0</v>
      </c>
      <c r="Q73" s="285" t="b">
        <v>0</v>
      </c>
      <c r="R73" s="285" t="b">
        <v>0</v>
      </c>
      <c r="S73" s="285" t="b">
        <v>0</v>
      </c>
      <c r="T73" s="285" t="b">
        <v>0</v>
      </c>
      <c r="U73" s="285" t="b">
        <v>0</v>
      </c>
      <c r="V73" s="285" t="b">
        <v>0</v>
      </c>
      <c r="W73" s="285" t="b">
        <v>0</v>
      </c>
      <c r="X73" s="285" t="b">
        <v>0</v>
      </c>
      <c r="Y73" s="285" t="b">
        <v>0</v>
      </c>
      <c r="Z73" s="285" t="b">
        <v>0</v>
      </c>
      <c r="AA73" s="285" t="b">
        <v>0</v>
      </c>
      <c r="AB73" s="285" t="b">
        <v>0</v>
      </c>
      <c r="AC73" s="285" t="b">
        <v>0</v>
      </c>
      <c r="AD73" s="285" t="b">
        <v>0</v>
      </c>
      <c r="AE73" s="285" t="b">
        <v>0</v>
      </c>
      <c r="AF73" s="285" t="b">
        <v>0</v>
      </c>
      <c r="AG73" s="285" t="b">
        <v>0</v>
      </c>
      <c r="AH73" s="285" t="b">
        <v>0</v>
      </c>
      <c r="AI73" s="285" t="b">
        <v>0</v>
      </c>
      <c r="AJ73" s="285" t="b">
        <v>0</v>
      </c>
      <c r="AK73" s="285" t="b">
        <v>0</v>
      </c>
      <c r="AL73" s="285" t="b">
        <v>0</v>
      </c>
      <c r="AM73" s="285" t="b">
        <v>0</v>
      </c>
      <c r="AN73" s="285" t="b">
        <v>0</v>
      </c>
      <c r="AO73" s="285" t="b">
        <v>0</v>
      </c>
      <c r="AP73" s="285" t="b">
        <v>0</v>
      </c>
      <c r="AQ73" s="285" t="b">
        <v>0</v>
      </c>
      <c r="AR73" s="285" t="b">
        <v>0</v>
      </c>
      <c r="AS73" s="285" t="b">
        <v>0</v>
      </c>
      <c r="AT73" s="285" t="b">
        <v>0</v>
      </c>
      <c r="AU73" s="285" t="b">
        <v>0</v>
      </c>
      <c r="AV73" s="285" t="b">
        <v>0</v>
      </c>
      <c r="AW73" s="285" t="b">
        <v>0</v>
      </c>
      <c r="AX73" s="285" t="b">
        <v>0</v>
      </c>
      <c r="AY73" s="285" t="b">
        <v>0</v>
      </c>
      <c r="AZ73" s="286">
        <f t="shared" si="2"/>
        <v>0</v>
      </c>
      <c r="BA73" s="286"/>
      <c r="BB73" s="287"/>
      <c r="BC73" s="288"/>
      <c r="BD73" s="288"/>
    </row>
    <row r="74" ht="19.5" customHeight="1">
      <c r="A74" s="283"/>
      <c r="B74" s="284"/>
      <c r="C74" s="284"/>
      <c r="D74" s="285" t="b">
        <v>0</v>
      </c>
      <c r="E74" s="285" t="b">
        <v>0</v>
      </c>
      <c r="F74" s="285" t="b">
        <v>0</v>
      </c>
      <c r="G74" s="285" t="b">
        <v>0</v>
      </c>
      <c r="H74" s="285" t="b">
        <v>0</v>
      </c>
      <c r="I74" s="285" t="b">
        <v>0</v>
      </c>
      <c r="J74" s="285" t="b">
        <v>0</v>
      </c>
      <c r="K74" s="285" t="b">
        <v>0</v>
      </c>
      <c r="L74" s="285" t="b">
        <v>0</v>
      </c>
      <c r="M74" s="285" t="b">
        <v>0</v>
      </c>
      <c r="N74" s="285" t="b">
        <v>0</v>
      </c>
      <c r="O74" s="285" t="b">
        <v>0</v>
      </c>
      <c r="P74" s="285" t="b">
        <v>0</v>
      </c>
      <c r="Q74" s="285" t="b">
        <v>0</v>
      </c>
      <c r="R74" s="285" t="b">
        <v>0</v>
      </c>
      <c r="S74" s="285" t="b">
        <v>0</v>
      </c>
      <c r="T74" s="285" t="b">
        <v>0</v>
      </c>
      <c r="U74" s="285" t="b">
        <v>0</v>
      </c>
      <c r="V74" s="285" t="b">
        <v>0</v>
      </c>
      <c r="W74" s="285" t="b">
        <v>0</v>
      </c>
      <c r="X74" s="285" t="b">
        <v>0</v>
      </c>
      <c r="Y74" s="285" t="b">
        <v>0</v>
      </c>
      <c r="Z74" s="285" t="b">
        <v>0</v>
      </c>
      <c r="AA74" s="285" t="b">
        <v>0</v>
      </c>
      <c r="AB74" s="285" t="b">
        <v>0</v>
      </c>
      <c r="AC74" s="285" t="b">
        <v>0</v>
      </c>
      <c r="AD74" s="285" t="b">
        <v>0</v>
      </c>
      <c r="AE74" s="285" t="b">
        <v>0</v>
      </c>
      <c r="AF74" s="285" t="b">
        <v>0</v>
      </c>
      <c r="AG74" s="285" t="b">
        <v>0</v>
      </c>
      <c r="AH74" s="285" t="b">
        <v>0</v>
      </c>
      <c r="AI74" s="285" t="b">
        <v>0</v>
      </c>
      <c r="AJ74" s="285" t="b">
        <v>0</v>
      </c>
      <c r="AK74" s="285" t="b">
        <v>0</v>
      </c>
      <c r="AL74" s="285" t="b">
        <v>0</v>
      </c>
      <c r="AM74" s="285" t="b">
        <v>0</v>
      </c>
      <c r="AN74" s="285" t="b">
        <v>0</v>
      </c>
      <c r="AO74" s="285" t="b">
        <v>0</v>
      </c>
      <c r="AP74" s="285" t="b">
        <v>0</v>
      </c>
      <c r="AQ74" s="285" t="b">
        <v>0</v>
      </c>
      <c r="AR74" s="285" t="b">
        <v>0</v>
      </c>
      <c r="AS74" s="285" t="b">
        <v>0</v>
      </c>
      <c r="AT74" s="285" t="b">
        <v>0</v>
      </c>
      <c r="AU74" s="285" t="b">
        <v>0</v>
      </c>
      <c r="AV74" s="285" t="b">
        <v>0</v>
      </c>
      <c r="AW74" s="285" t="b">
        <v>0</v>
      </c>
      <c r="AX74" s="285" t="b">
        <v>0</v>
      </c>
      <c r="AY74" s="285" t="b">
        <v>0</v>
      </c>
      <c r="AZ74" s="286">
        <f t="shared" si="2"/>
        <v>0</v>
      </c>
      <c r="BA74" s="286"/>
      <c r="BB74" s="287"/>
      <c r="BC74" s="288"/>
      <c r="BD74" s="288"/>
    </row>
    <row r="75" ht="19.5" customHeight="1">
      <c r="A75" s="283"/>
      <c r="B75" s="284"/>
      <c r="C75" s="284"/>
      <c r="D75" s="285" t="b">
        <v>0</v>
      </c>
      <c r="E75" s="285" t="b">
        <v>0</v>
      </c>
      <c r="F75" s="285" t="b">
        <v>0</v>
      </c>
      <c r="G75" s="285" t="b">
        <v>0</v>
      </c>
      <c r="H75" s="285" t="b">
        <v>0</v>
      </c>
      <c r="I75" s="285" t="b">
        <v>0</v>
      </c>
      <c r="J75" s="285" t="b">
        <v>0</v>
      </c>
      <c r="K75" s="285" t="b">
        <v>0</v>
      </c>
      <c r="L75" s="285" t="b">
        <v>0</v>
      </c>
      <c r="M75" s="285" t="b">
        <v>0</v>
      </c>
      <c r="N75" s="285" t="b">
        <v>0</v>
      </c>
      <c r="O75" s="285" t="b">
        <v>0</v>
      </c>
      <c r="P75" s="285" t="b">
        <v>0</v>
      </c>
      <c r="Q75" s="285" t="b">
        <v>0</v>
      </c>
      <c r="R75" s="285" t="b">
        <v>0</v>
      </c>
      <c r="S75" s="285" t="b">
        <v>0</v>
      </c>
      <c r="T75" s="285" t="b">
        <v>0</v>
      </c>
      <c r="U75" s="285" t="b">
        <v>0</v>
      </c>
      <c r="V75" s="285" t="b">
        <v>0</v>
      </c>
      <c r="W75" s="285" t="b">
        <v>0</v>
      </c>
      <c r="X75" s="285" t="b">
        <v>0</v>
      </c>
      <c r="Y75" s="285" t="b">
        <v>0</v>
      </c>
      <c r="Z75" s="285" t="b">
        <v>0</v>
      </c>
      <c r="AA75" s="285" t="b">
        <v>0</v>
      </c>
      <c r="AB75" s="285" t="b">
        <v>0</v>
      </c>
      <c r="AC75" s="285" t="b">
        <v>0</v>
      </c>
      <c r="AD75" s="285" t="b">
        <v>0</v>
      </c>
      <c r="AE75" s="285" t="b">
        <v>0</v>
      </c>
      <c r="AF75" s="285" t="b">
        <v>0</v>
      </c>
      <c r="AG75" s="285" t="b">
        <v>0</v>
      </c>
      <c r="AH75" s="285" t="b">
        <v>0</v>
      </c>
      <c r="AI75" s="285" t="b">
        <v>0</v>
      </c>
      <c r="AJ75" s="285" t="b">
        <v>0</v>
      </c>
      <c r="AK75" s="285" t="b">
        <v>0</v>
      </c>
      <c r="AL75" s="285" t="b">
        <v>0</v>
      </c>
      <c r="AM75" s="285" t="b">
        <v>0</v>
      </c>
      <c r="AN75" s="285" t="b">
        <v>0</v>
      </c>
      <c r="AO75" s="285" t="b">
        <v>0</v>
      </c>
      <c r="AP75" s="285" t="b">
        <v>0</v>
      </c>
      <c r="AQ75" s="285" t="b">
        <v>0</v>
      </c>
      <c r="AR75" s="285" t="b">
        <v>0</v>
      </c>
      <c r="AS75" s="285" t="b">
        <v>0</v>
      </c>
      <c r="AT75" s="285" t="b">
        <v>0</v>
      </c>
      <c r="AU75" s="285" t="b">
        <v>0</v>
      </c>
      <c r="AV75" s="285" t="b">
        <v>0</v>
      </c>
      <c r="AW75" s="285" t="b">
        <v>0</v>
      </c>
      <c r="AX75" s="285" t="b">
        <v>0</v>
      </c>
      <c r="AY75" s="285" t="b">
        <v>0</v>
      </c>
      <c r="AZ75" s="286">
        <f t="shared" si="2"/>
        <v>0</v>
      </c>
      <c r="BA75" s="286"/>
      <c r="BB75" s="287"/>
      <c r="BC75" s="288"/>
      <c r="BD75" s="288"/>
    </row>
    <row r="76" ht="19.5" customHeight="1">
      <c r="A76" s="283"/>
      <c r="B76" s="284"/>
      <c r="C76" s="284"/>
      <c r="D76" s="285" t="b">
        <v>0</v>
      </c>
      <c r="E76" s="285" t="b">
        <v>0</v>
      </c>
      <c r="F76" s="285" t="b">
        <v>0</v>
      </c>
      <c r="G76" s="285" t="b">
        <v>0</v>
      </c>
      <c r="H76" s="285" t="b">
        <v>0</v>
      </c>
      <c r="I76" s="285" t="b">
        <v>0</v>
      </c>
      <c r="J76" s="285" t="b">
        <v>0</v>
      </c>
      <c r="K76" s="285" t="b">
        <v>0</v>
      </c>
      <c r="L76" s="285" t="b">
        <v>0</v>
      </c>
      <c r="M76" s="285" t="b">
        <v>0</v>
      </c>
      <c r="N76" s="285" t="b">
        <v>0</v>
      </c>
      <c r="O76" s="285" t="b">
        <v>0</v>
      </c>
      <c r="P76" s="285" t="b">
        <v>0</v>
      </c>
      <c r="Q76" s="285" t="b">
        <v>0</v>
      </c>
      <c r="R76" s="285" t="b">
        <v>0</v>
      </c>
      <c r="S76" s="285" t="b">
        <v>0</v>
      </c>
      <c r="T76" s="285" t="b">
        <v>0</v>
      </c>
      <c r="U76" s="285" t="b">
        <v>0</v>
      </c>
      <c r="V76" s="285" t="b">
        <v>0</v>
      </c>
      <c r="W76" s="285" t="b">
        <v>0</v>
      </c>
      <c r="X76" s="285" t="b">
        <v>0</v>
      </c>
      <c r="Y76" s="285" t="b">
        <v>0</v>
      </c>
      <c r="Z76" s="285" t="b">
        <v>0</v>
      </c>
      <c r="AA76" s="285" t="b">
        <v>0</v>
      </c>
      <c r="AB76" s="285" t="b">
        <v>0</v>
      </c>
      <c r="AC76" s="285" t="b">
        <v>0</v>
      </c>
      <c r="AD76" s="285" t="b">
        <v>0</v>
      </c>
      <c r="AE76" s="285" t="b">
        <v>0</v>
      </c>
      <c r="AF76" s="285" t="b">
        <v>0</v>
      </c>
      <c r="AG76" s="285" t="b">
        <v>0</v>
      </c>
      <c r="AH76" s="285" t="b">
        <v>0</v>
      </c>
      <c r="AI76" s="285" t="b">
        <v>0</v>
      </c>
      <c r="AJ76" s="285" t="b">
        <v>0</v>
      </c>
      <c r="AK76" s="285" t="b">
        <v>0</v>
      </c>
      <c r="AL76" s="285" t="b">
        <v>0</v>
      </c>
      <c r="AM76" s="285" t="b">
        <v>0</v>
      </c>
      <c r="AN76" s="285" t="b">
        <v>0</v>
      </c>
      <c r="AO76" s="285" t="b">
        <v>0</v>
      </c>
      <c r="AP76" s="285" t="b">
        <v>0</v>
      </c>
      <c r="AQ76" s="285" t="b">
        <v>0</v>
      </c>
      <c r="AR76" s="285" t="b">
        <v>0</v>
      </c>
      <c r="AS76" s="285" t="b">
        <v>0</v>
      </c>
      <c r="AT76" s="285" t="b">
        <v>0</v>
      </c>
      <c r="AU76" s="285" t="b">
        <v>0</v>
      </c>
      <c r="AV76" s="285" t="b">
        <v>0</v>
      </c>
      <c r="AW76" s="285" t="b">
        <v>0</v>
      </c>
      <c r="AX76" s="285" t="b">
        <v>0</v>
      </c>
      <c r="AY76" s="285" t="b">
        <v>0</v>
      </c>
      <c r="AZ76" s="286">
        <f t="shared" si="2"/>
        <v>0</v>
      </c>
      <c r="BA76" s="286"/>
      <c r="BB76" s="287"/>
      <c r="BC76" s="288"/>
      <c r="BD76" s="288"/>
    </row>
    <row r="77" ht="19.5" customHeight="1">
      <c r="A77" s="283"/>
      <c r="B77" s="284"/>
      <c r="C77" s="284"/>
      <c r="D77" s="285" t="b">
        <v>0</v>
      </c>
      <c r="E77" s="285" t="b">
        <v>0</v>
      </c>
      <c r="F77" s="285" t="b">
        <v>0</v>
      </c>
      <c r="G77" s="285" t="b">
        <v>0</v>
      </c>
      <c r="H77" s="285" t="b">
        <v>0</v>
      </c>
      <c r="I77" s="285" t="b">
        <v>0</v>
      </c>
      <c r="J77" s="285" t="b">
        <v>0</v>
      </c>
      <c r="K77" s="285" t="b">
        <v>0</v>
      </c>
      <c r="L77" s="285" t="b">
        <v>0</v>
      </c>
      <c r="M77" s="285" t="b">
        <v>0</v>
      </c>
      <c r="N77" s="285" t="b">
        <v>0</v>
      </c>
      <c r="O77" s="285" t="b">
        <v>0</v>
      </c>
      <c r="P77" s="285" t="b">
        <v>0</v>
      </c>
      <c r="Q77" s="285" t="b">
        <v>0</v>
      </c>
      <c r="R77" s="285" t="b">
        <v>0</v>
      </c>
      <c r="S77" s="285" t="b">
        <v>0</v>
      </c>
      <c r="T77" s="285" t="b">
        <v>0</v>
      </c>
      <c r="U77" s="285" t="b">
        <v>0</v>
      </c>
      <c r="V77" s="285" t="b">
        <v>0</v>
      </c>
      <c r="W77" s="285" t="b">
        <v>0</v>
      </c>
      <c r="X77" s="285" t="b">
        <v>0</v>
      </c>
      <c r="Y77" s="285" t="b">
        <v>0</v>
      </c>
      <c r="Z77" s="285" t="b">
        <v>0</v>
      </c>
      <c r="AA77" s="285" t="b">
        <v>0</v>
      </c>
      <c r="AB77" s="285" t="b">
        <v>0</v>
      </c>
      <c r="AC77" s="285" t="b">
        <v>0</v>
      </c>
      <c r="AD77" s="285" t="b">
        <v>0</v>
      </c>
      <c r="AE77" s="285" t="b">
        <v>0</v>
      </c>
      <c r="AF77" s="285" t="b">
        <v>0</v>
      </c>
      <c r="AG77" s="285" t="b">
        <v>0</v>
      </c>
      <c r="AH77" s="285" t="b">
        <v>0</v>
      </c>
      <c r="AI77" s="285" t="b">
        <v>0</v>
      </c>
      <c r="AJ77" s="285" t="b">
        <v>0</v>
      </c>
      <c r="AK77" s="285" t="b">
        <v>0</v>
      </c>
      <c r="AL77" s="285" t="b">
        <v>0</v>
      </c>
      <c r="AM77" s="285" t="b">
        <v>0</v>
      </c>
      <c r="AN77" s="285" t="b">
        <v>0</v>
      </c>
      <c r="AO77" s="285" t="b">
        <v>0</v>
      </c>
      <c r="AP77" s="285" t="b">
        <v>0</v>
      </c>
      <c r="AQ77" s="285" t="b">
        <v>0</v>
      </c>
      <c r="AR77" s="285" t="b">
        <v>0</v>
      </c>
      <c r="AS77" s="285" t="b">
        <v>0</v>
      </c>
      <c r="AT77" s="285" t="b">
        <v>0</v>
      </c>
      <c r="AU77" s="285" t="b">
        <v>0</v>
      </c>
      <c r="AV77" s="285" t="b">
        <v>0</v>
      </c>
      <c r="AW77" s="285" t="b">
        <v>0</v>
      </c>
      <c r="AX77" s="285" t="b">
        <v>0</v>
      </c>
      <c r="AY77" s="285" t="b">
        <v>0</v>
      </c>
      <c r="AZ77" s="286">
        <f t="shared" si="2"/>
        <v>0</v>
      </c>
      <c r="BA77" s="286"/>
      <c r="BB77" s="287"/>
      <c r="BC77" s="288"/>
      <c r="BD77" s="288"/>
    </row>
    <row r="78" ht="19.5" customHeight="1">
      <c r="A78" s="283"/>
      <c r="B78" s="284"/>
      <c r="C78" s="284"/>
      <c r="D78" s="285" t="b">
        <v>0</v>
      </c>
      <c r="E78" s="285" t="b">
        <v>0</v>
      </c>
      <c r="F78" s="285" t="b">
        <v>0</v>
      </c>
      <c r="G78" s="285" t="b">
        <v>0</v>
      </c>
      <c r="H78" s="285" t="b">
        <v>0</v>
      </c>
      <c r="I78" s="285" t="b">
        <v>0</v>
      </c>
      <c r="J78" s="285" t="b">
        <v>0</v>
      </c>
      <c r="K78" s="285" t="b">
        <v>0</v>
      </c>
      <c r="L78" s="285" t="b">
        <v>0</v>
      </c>
      <c r="M78" s="285" t="b">
        <v>0</v>
      </c>
      <c r="N78" s="285" t="b">
        <v>0</v>
      </c>
      <c r="O78" s="285" t="b">
        <v>0</v>
      </c>
      <c r="P78" s="285" t="b">
        <v>0</v>
      </c>
      <c r="Q78" s="285" t="b">
        <v>0</v>
      </c>
      <c r="R78" s="285" t="b">
        <v>0</v>
      </c>
      <c r="S78" s="285" t="b">
        <v>0</v>
      </c>
      <c r="T78" s="285" t="b">
        <v>0</v>
      </c>
      <c r="U78" s="285" t="b">
        <v>0</v>
      </c>
      <c r="V78" s="285" t="b">
        <v>0</v>
      </c>
      <c r="W78" s="285" t="b">
        <v>0</v>
      </c>
      <c r="X78" s="285" t="b">
        <v>0</v>
      </c>
      <c r="Y78" s="285" t="b">
        <v>0</v>
      </c>
      <c r="Z78" s="285" t="b">
        <v>0</v>
      </c>
      <c r="AA78" s="285" t="b">
        <v>0</v>
      </c>
      <c r="AB78" s="285" t="b">
        <v>0</v>
      </c>
      <c r="AC78" s="285" t="b">
        <v>0</v>
      </c>
      <c r="AD78" s="285" t="b">
        <v>0</v>
      </c>
      <c r="AE78" s="285" t="b">
        <v>0</v>
      </c>
      <c r="AF78" s="285" t="b">
        <v>0</v>
      </c>
      <c r="AG78" s="285" t="b">
        <v>0</v>
      </c>
      <c r="AH78" s="285" t="b">
        <v>0</v>
      </c>
      <c r="AI78" s="285" t="b">
        <v>0</v>
      </c>
      <c r="AJ78" s="285" t="b">
        <v>0</v>
      </c>
      <c r="AK78" s="285" t="b">
        <v>0</v>
      </c>
      <c r="AL78" s="285" t="b">
        <v>0</v>
      </c>
      <c r="AM78" s="285" t="b">
        <v>0</v>
      </c>
      <c r="AN78" s="285" t="b">
        <v>0</v>
      </c>
      <c r="AO78" s="285" t="b">
        <v>0</v>
      </c>
      <c r="AP78" s="285" t="b">
        <v>0</v>
      </c>
      <c r="AQ78" s="285" t="b">
        <v>0</v>
      </c>
      <c r="AR78" s="285" t="b">
        <v>0</v>
      </c>
      <c r="AS78" s="285" t="b">
        <v>0</v>
      </c>
      <c r="AT78" s="285" t="b">
        <v>0</v>
      </c>
      <c r="AU78" s="285" t="b">
        <v>0</v>
      </c>
      <c r="AV78" s="285" t="b">
        <v>0</v>
      </c>
      <c r="AW78" s="285" t="b">
        <v>0</v>
      </c>
      <c r="AX78" s="285" t="b">
        <v>0</v>
      </c>
      <c r="AY78" s="285" t="b">
        <v>0</v>
      </c>
      <c r="AZ78" s="286">
        <f t="shared" si="2"/>
        <v>0</v>
      </c>
      <c r="BA78" s="286"/>
      <c r="BB78" s="287"/>
      <c r="BC78" s="288"/>
      <c r="BD78" s="288"/>
    </row>
    <row r="79" ht="19.5" customHeight="1">
      <c r="A79" s="283"/>
      <c r="B79" s="284"/>
      <c r="C79" s="284"/>
      <c r="D79" s="285" t="b">
        <v>0</v>
      </c>
      <c r="E79" s="285" t="b">
        <v>0</v>
      </c>
      <c r="F79" s="285" t="b">
        <v>0</v>
      </c>
      <c r="G79" s="285" t="b">
        <v>0</v>
      </c>
      <c r="H79" s="285" t="b">
        <v>0</v>
      </c>
      <c r="I79" s="285" t="b">
        <v>0</v>
      </c>
      <c r="J79" s="285" t="b">
        <v>0</v>
      </c>
      <c r="K79" s="285" t="b">
        <v>0</v>
      </c>
      <c r="L79" s="285" t="b">
        <v>0</v>
      </c>
      <c r="M79" s="285" t="b">
        <v>0</v>
      </c>
      <c r="N79" s="285" t="b">
        <v>0</v>
      </c>
      <c r="O79" s="285" t="b">
        <v>0</v>
      </c>
      <c r="P79" s="285" t="b">
        <v>0</v>
      </c>
      <c r="Q79" s="285" t="b">
        <v>0</v>
      </c>
      <c r="R79" s="285" t="b">
        <v>0</v>
      </c>
      <c r="S79" s="285" t="b">
        <v>0</v>
      </c>
      <c r="T79" s="285" t="b">
        <v>0</v>
      </c>
      <c r="U79" s="285" t="b">
        <v>0</v>
      </c>
      <c r="V79" s="285" t="b">
        <v>0</v>
      </c>
      <c r="W79" s="285" t="b">
        <v>0</v>
      </c>
      <c r="X79" s="285" t="b">
        <v>0</v>
      </c>
      <c r="Y79" s="285" t="b">
        <v>0</v>
      </c>
      <c r="Z79" s="285" t="b">
        <v>0</v>
      </c>
      <c r="AA79" s="285" t="b">
        <v>0</v>
      </c>
      <c r="AB79" s="285" t="b">
        <v>0</v>
      </c>
      <c r="AC79" s="285" t="b">
        <v>0</v>
      </c>
      <c r="AD79" s="285" t="b">
        <v>0</v>
      </c>
      <c r="AE79" s="285" t="b">
        <v>0</v>
      </c>
      <c r="AF79" s="285" t="b">
        <v>0</v>
      </c>
      <c r="AG79" s="285" t="b">
        <v>0</v>
      </c>
      <c r="AH79" s="285" t="b">
        <v>0</v>
      </c>
      <c r="AI79" s="285" t="b">
        <v>0</v>
      </c>
      <c r="AJ79" s="285" t="b">
        <v>0</v>
      </c>
      <c r="AK79" s="285" t="b">
        <v>0</v>
      </c>
      <c r="AL79" s="285" t="b">
        <v>0</v>
      </c>
      <c r="AM79" s="285" t="b">
        <v>0</v>
      </c>
      <c r="AN79" s="285" t="b">
        <v>0</v>
      </c>
      <c r="AO79" s="285" t="b">
        <v>0</v>
      </c>
      <c r="AP79" s="285" t="b">
        <v>0</v>
      </c>
      <c r="AQ79" s="285" t="b">
        <v>0</v>
      </c>
      <c r="AR79" s="285" t="b">
        <v>0</v>
      </c>
      <c r="AS79" s="285" t="b">
        <v>0</v>
      </c>
      <c r="AT79" s="285" t="b">
        <v>0</v>
      </c>
      <c r="AU79" s="285" t="b">
        <v>0</v>
      </c>
      <c r="AV79" s="285" t="b">
        <v>0</v>
      </c>
      <c r="AW79" s="285" t="b">
        <v>0</v>
      </c>
      <c r="AX79" s="285" t="b">
        <v>0</v>
      </c>
      <c r="AY79" s="285" t="b">
        <v>0</v>
      </c>
      <c r="AZ79" s="286">
        <f t="shared" si="2"/>
        <v>0</v>
      </c>
      <c r="BA79" s="286"/>
      <c r="BB79" s="287"/>
      <c r="BC79" s="288"/>
      <c r="BD79" s="288"/>
    </row>
    <row r="80" ht="19.5" customHeight="1">
      <c r="A80" s="283"/>
      <c r="B80" s="284"/>
      <c r="C80" s="284"/>
      <c r="D80" s="285" t="b">
        <v>0</v>
      </c>
      <c r="E80" s="285" t="b">
        <v>0</v>
      </c>
      <c r="F80" s="285" t="b">
        <v>0</v>
      </c>
      <c r="G80" s="285" t="b">
        <v>0</v>
      </c>
      <c r="H80" s="285" t="b">
        <v>0</v>
      </c>
      <c r="I80" s="285" t="b">
        <v>0</v>
      </c>
      <c r="J80" s="285" t="b">
        <v>0</v>
      </c>
      <c r="K80" s="285" t="b">
        <v>0</v>
      </c>
      <c r="L80" s="285" t="b">
        <v>0</v>
      </c>
      <c r="M80" s="285" t="b">
        <v>0</v>
      </c>
      <c r="N80" s="285" t="b">
        <v>0</v>
      </c>
      <c r="O80" s="285" t="b">
        <v>0</v>
      </c>
      <c r="P80" s="285" t="b">
        <v>0</v>
      </c>
      <c r="Q80" s="285" t="b">
        <v>0</v>
      </c>
      <c r="R80" s="285" t="b">
        <v>0</v>
      </c>
      <c r="S80" s="285" t="b">
        <v>0</v>
      </c>
      <c r="T80" s="285" t="b">
        <v>0</v>
      </c>
      <c r="U80" s="285" t="b">
        <v>0</v>
      </c>
      <c r="V80" s="285" t="b">
        <v>0</v>
      </c>
      <c r="W80" s="285" t="b">
        <v>0</v>
      </c>
      <c r="X80" s="285" t="b">
        <v>0</v>
      </c>
      <c r="Y80" s="285" t="b">
        <v>0</v>
      </c>
      <c r="Z80" s="285" t="b">
        <v>0</v>
      </c>
      <c r="AA80" s="285" t="b">
        <v>0</v>
      </c>
      <c r="AB80" s="285" t="b">
        <v>0</v>
      </c>
      <c r="AC80" s="285" t="b">
        <v>0</v>
      </c>
      <c r="AD80" s="285" t="b">
        <v>0</v>
      </c>
      <c r="AE80" s="285" t="b">
        <v>0</v>
      </c>
      <c r="AF80" s="285" t="b">
        <v>0</v>
      </c>
      <c r="AG80" s="285" t="b">
        <v>0</v>
      </c>
      <c r="AH80" s="285" t="b">
        <v>0</v>
      </c>
      <c r="AI80" s="285" t="b">
        <v>0</v>
      </c>
      <c r="AJ80" s="285" t="b">
        <v>0</v>
      </c>
      <c r="AK80" s="285" t="b">
        <v>0</v>
      </c>
      <c r="AL80" s="285" t="b">
        <v>0</v>
      </c>
      <c r="AM80" s="285" t="b">
        <v>0</v>
      </c>
      <c r="AN80" s="285" t="b">
        <v>0</v>
      </c>
      <c r="AO80" s="285" t="b">
        <v>0</v>
      </c>
      <c r="AP80" s="285" t="b">
        <v>0</v>
      </c>
      <c r="AQ80" s="285" t="b">
        <v>0</v>
      </c>
      <c r="AR80" s="285" t="b">
        <v>0</v>
      </c>
      <c r="AS80" s="285" t="b">
        <v>0</v>
      </c>
      <c r="AT80" s="285" t="b">
        <v>0</v>
      </c>
      <c r="AU80" s="285" t="b">
        <v>0</v>
      </c>
      <c r="AV80" s="285" t="b">
        <v>0</v>
      </c>
      <c r="AW80" s="285" t="b">
        <v>0</v>
      </c>
      <c r="AX80" s="285" t="b">
        <v>0</v>
      </c>
      <c r="AY80" s="285" t="b">
        <v>0</v>
      </c>
      <c r="AZ80" s="286">
        <f t="shared" si="2"/>
        <v>0</v>
      </c>
      <c r="BA80" s="286"/>
      <c r="BB80" s="287"/>
      <c r="BC80" s="288"/>
      <c r="BD80" s="288"/>
    </row>
    <row r="81" ht="19.5" customHeight="1">
      <c r="A81" s="283"/>
      <c r="B81" s="284"/>
      <c r="C81" s="284"/>
      <c r="D81" s="285" t="b">
        <v>0</v>
      </c>
      <c r="E81" s="285" t="b">
        <v>0</v>
      </c>
      <c r="F81" s="285" t="b">
        <v>0</v>
      </c>
      <c r="G81" s="285" t="b">
        <v>0</v>
      </c>
      <c r="H81" s="285" t="b">
        <v>0</v>
      </c>
      <c r="I81" s="285" t="b">
        <v>0</v>
      </c>
      <c r="J81" s="285" t="b">
        <v>0</v>
      </c>
      <c r="K81" s="285" t="b">
        <v>0</v>
      </c>
      <c r="L81" s="285" t="b">
        <v>0</v>
      </c>
      <c r="M81" s="285" t="b">
        <v>0</v>
      </c>
      <c r="N81" s="285" t="b">
        <v>0</v>
      </c>
      <c r="O81" s="285" t="b">
        <v>0</v>
      </c>
      <c r="P81" s="285" t="b">
        <v>0</v>
      </c>
      <c r="Q81" s="285" t="b">
        <v>0</v>
      </c>
      <c r="R81" s="285" t="b">
        <v>0</v>
      </c>
      <c r="S81" s="285" t="b">
        <v>0</v>
      </c>
      <c r="T81" s="285" t="b">
        <v>0</v>
      </c>
      <c r="U81" s="285" t="b">
        <v>0</v>
      </c>
      <c r="V81" s="285" t="b">
        <v>0</v>
      </c>
      <c r="W81" s="285" t="b">
        <v>0</v>
      </c>
      <c r="X81" s="285" t="b">
        <v>0</v>
      </c>
      <c r="Y81" s="285" t="b">
        <v>0</v>
      </c>
      <c r="Z81" s="285" t="b">
        <v>0</v>
      </c>
      <c r="AA81" s="285" t="b">
        <v>0</v>
      </c>
      <c r="AB81" s="285" t="b">
        <v>0</v>
      </c>
      <c r="AC81" s="285" t="b">
        <v>0</v>
      </c>
      <c r="AD81" s="285" t="b">
        <v>0</v>
      </c>
      <c r="AE81" s="285" t="b">
        <v>0</v>
      </c>
      <c r="AF81" s="285" t="b">
        <v>0</v>
      </c>
      <c r="AG81" s="285" t="b">
        <v>0</v>
      </c>
      <c r="AH81" s="285" t="b">
        <v>0</v>
      </c>
      <c r="AI81" s="285" t="b">
        <v>0</v>
      </c>
      <c r="AJ81" s="285" t="b">
        <v>0</v>
      </c>
      <c r="AK81" s="285" t="b">
        <v>0</v>
      </c>
      <c r="AL81" s="285" t="b">
        <v>0</v>
      </c>
      <c r="AM81" s="285" t="b">
        <v>0</v>
      </c>
      <c r="AN81" s="285" t="b">
        <v>0</v>
      </c>
      <c r="AO81" s="285" t="b">
        <v>0</v>
      </c>
      <c r="AP81" s="285" t="b">
        <v>0</v>
      </c>
      <c r="AQ81" s="285" t="b">
        <v>0</v>
      </c>
      <c r="AR81" s="285" t="b">
        <v>0</v>
      </c>
      <c r="AS81" s="285" t="b">
        <v>0</v>
      </c>
      <c r="AT81" s="285" t="b">
        <v>0</v>
      </c>
      <c r="AU81" s="285" t="b">
        <v>0</v>
      </c>
      <c r="AV81" s="285" t="b">
        <v>0</v>
      </c>
      <c r="AW81" s="285" t="b">
        <v>0</v>
      </c>
      <c r="AX81" s="285" t="b">
        <v>0</v>
      </c>
      <c r="AY81" s="285" t="b">
        <v>0</v>
      </c>
      <c r="AZ81" s="286">
        <f t="shared" si="2"/>
        <v>0</v>
      </c>
      <c r="BA81" s="286"/>
      <c r="BB81" s="287"/>
      <c r="BC81" s="288"/>
      <c r="BD81" s="288"/>
    </row>
    <row r="82" ht="19.5" customHeight="1">
      <c r="A82" s="283"/>
      <c r="B82" s="284"/>
      <c r="C82" s="284"/>
      <c r="D82" s="285" t="b">
        <v>0</v>
      </c>
      <c r="E82" s="285" t="b">
        <v>0</v>
      </c>
      <c r="F82" s="285" t="b">
        <v>0</v>
      </c>
      <c r="G82" s="285" t="b">
        <v>0</v>
      </c>
      <c r="H82" s="285" t="b">
        <v>0</v>
      </c>
      <c r="I82" s="285" t="b">
        <v>0</v>
      </c>
      <c r="J82" s="285" t="b">
        <v>0</v>
      </c>
      <c r="K82" s="285" t="b">
        <v>0</v>
      </c>
      <c r="L82" s="285" t="b">
        <v>0</v>
      </c>
      <c r="M82" s="285" t="b">
        <v>0</v>
      </c>
      <c r="N82" s="285" t="b">
        <v>0</v>
      </c>
      <c r="O82" s="285" t="b">
        <v>0</v>
      </c>
      <c r="P82" s="285" t="b">
        <v>0</v>
      </c>
      <c r="Q82" s="285" t="b">
        <v>0</v>
      </c>
      <c r="R82" s="285" t="b">
        <v>0</v>
      </c>
      <c r="S82" s="285" t="b">
        <v>0</v>
      </c>
      <c r="T82" s="285" t="b">
        <v>0</v>
      </c>
      <c r="U82" s="285" t="b">
        <v>0</v>
      </c>
      <c r="V82" s="285" t="b">
        <v>0</v>
      </c>
      <c r="W82" s="285" t="b">
        <v>0</v>
      </c>
      <c r="X82" s="285" t="b">
        <v>0</v>
      </c>
      <c r="Y82" s="285" t="b">
        <v>0</v>
      </c>
      <c r="Z82" s="285" t="b">
        <v>0</v>
      </c>
      <c r="AA82" s="285" t="b">
        <v>0</v>
      </c>
      <c r="AB82" s="285" t="b">
        <v>0</v>
      </c>
      <c r="AC82" s="285" t="b">
        <v>0</v>
      </c>
      <c r="AD82" s="285" t="b">
        <v>0</v>
      </c>
      <c r="AE82" s="285" t="b">
        <v>0</v>
      </c>
      <c r="AF82" s="285" t="b">
        <v>0</v>
      </c>
      <c r="AG82" s="285" t="b">
        <v>0</v>
      </c>
      <c r="AH82" s="285" t="b">
        <v>0</v>
      </c>
      <c r="AI82" s="285" t="b">
        <v>0</v>
      </c>
      <c r="AJ82" s="285" t="b">
        <v>0</v>
      </c>
      <c r="AK82" s="285" t="b">
        <v>0</v>
      </c>
      <c r="AL82" s="285" t="b">
        <v>0</v>
      </c>
      <c r="AM82" s="285" t="b">
        <v>0</v>
      </c>
      <c r="AN82" s="285" t="b">
        <v>0</v>
      </c>
      <c r="AO82" s="285" t="b">
        <v>0</v>
      </c>
      <c r="AP82" s="285" t="b">
        <v>0</v>
      </c>
      <c r="AQ82" s="285" t="b">
        <v>0</v>
      </c>
      <c r="AR82" s="285" t="b">
        <v>0</v>
      </c>
      <c r="AS82" s="285" t="b">
        <v>0</v>
      </c>
      <c r="AT82" s="285" t="b">
        <v>0</v>
      </c>
      <c r="AU82" s="285" t="b">
        <v>0</v>
      </c>
      <c r="AV82" s="285" t="b">
        <v>0</v>
      </c>
      <c r="AW82" s="285" t="b">
        <v>0</v>
      </c>
      <c r="AX82" s="285" t="b">
        <v>0</v>
      </c>
      <c r="AY82" s="285" t="b">
        <v>0</v>
      </c>
      <c r="AZ82" s="286">
        <f t="shared" si="2"/>
        <v>0</v>
      </c>
      <c r="BA82" s="286"/>
      <c r="BB82" s="287"/>
      <c r="BC82" s="288"/>
      <c r="BD82" s="288"/>
    </row>
    <row r="83" ht="19.5" customHeight="1">
      <c r="A83" s="293"/>
      <c r="B83" s="294"/>
      <c r="C83" s="294"/>
      <c r="D83" s="295" t="b">
        <v>0</v>
      </c>
      <c r="E83" s="295" t="b">
        <v>0</v>
      </c>
      <c r="F83" s="295" t="b">
        <v>0</v>
      </c>
      <c r="G83" s="295" t="b">
        <v>0</v>
      </c>
      <c r="H83" s="295" t="b">
        <v>0</v>
      </c>
      <c r="I83" s="295" t="b">
        <v>0</v>
      </c>
      <c r="J83" s="295" t="b">
        <v>0</v>
      </c>
      <c r="K83" s="295" t="b">
        <v>0</v>
      </c>
      <c r="L83" s="295" t="b">
        <v>0</v>
      </c>
      <c r="M83" s="295" t="b">
        <v>0</v>
      </c>
      <c r="N83" s="295" t="b">
        <v>0</v>
      </c>
      <c r="O83" s="295" t="b">
        <v>0</v>
      </c>
      <c r="P83" s="295" t="b">
        <v>0</v>
      </c>
      <c r="Q83" s="295" t="b">
        <v>0</v>
      </c>
      <c r="R83" s="295" t="b">
        <v>0</v>
      </c>
      <c r="S83" s="295" t="b">
        <v>0</v>
      </c>
      <c r="T83" s="295" t="b">
        <v>0</v>
      </c>
      <c r="U83" s="295" t="b">
        <v>0</v>
      </c>
      <c r="V83" s="295" t="b">
        <v>0</v>
      </c>
      <c r="W83" s="295" t="b">
        <v>0</v>
      </c>
      <c r="X83" s="295" t="b">
        <v>0</v>
      </c>
      <c r="Y83" s="295" t="b">
        <v>0</v>
      </c>
      <c r="Z83" s="295" t="b">
        <v>0</v>
      </c>
      <c r="AA83" s="295" t="b">
        <v>0</v>
      </c>
      <c r="AB83" s="295" t="b">
        <v>0</v>
      </c>
      <c r="AC83" s="295" t="b">
        <v>0</v>
      </c>
      <c r="AD83" s="295" t="b">
        <v>0</v>
      </c>
      <c r="AE83" s="295" t="b">
        <v>0</v>
      </c>
      <c r="AF83" s="295" t="b">
        <v>0</v>
      </c>
      <c r="AG83" s="295" t="b">
        <v>0</v>
      </c>
      <c r="AH83" s="295" t="b">
        <v>0</v>
      </c>
      <c r="AI83" s="295" t="b">
        <v>0</v>
      </c>
      <c r="AJ83" s="295" t="b">
        <v>0</v>
      </c>
      <c r="AK83" s="295" t="b">
        <v>0</v>
      </c>
      <c r="AL83" s="295" t="b">
        <v>0</v>
      </c>
      <c r="AM83" s="295" t="b">
        <v>0</v>
      </c>
      <c r="AN83" s="295" t="b">
        <v>0</v>
      </c>
      <c r="AO83" s="295" t="b">
        <v>0</v>
      </c>
      <c r="AP83" s="295" t="b">
        <v>0</v>
      </c>
      <c r="AQ83" s="295" t="b">
        <v>0</v>
      </c>
      <c r="AR83" s="295" t="b">
        <v>0</v>
      </c>
      <c r="AS83" s="295" t="b">
        <v>0</v>
      </c>
      <c r="AT83" s="295" t="b">
        <v>0</v>
      </c>
      <c r="AU83" s="295" t="b">
        <v>0</v>
      </c>
      <c r="AV83" s="295" t="b">
        <v>0</v>
      </c>
      <c r="AW83" s="295" t="b">
        <v>0</v>
      </c>
      <c r="AX83" s="295" t="b">
        <v>0</v>
      </c>
      <c r="AY83" s="295" t="b">
        <v>0</v>
      </c>
      <c r="AZ83" s="286">
        <f t="shared" si="2"/>
        <v>0</v>
      </c>
      <c r="BA83" s="296"/>
      <c r="BB83" s="297"/>
      <c r="BC83" s="298"/>
      <c r="BD83" s="298"/>
    </row>
    <row r="84" ht="19.5" customHeight="1">
      <c r="A84" s="293"/>
      <c r="B84" s="294"/>
      <c r="C84" s="294"/>
      <c r="D84" s="295" t="b">
        <v>0</v>
      </c>
      <c r="E84" s="295" t="b">
        <v>0</v>
      </c>
      <c r="F84" s="295" t="b">
        <v>0</v>
      </c>
      <c r="G84" s="295" t="b">
        <v>0</v>
      </c>
      <c r="H84" s="295" t="b">
        <v>0</v>
      </c>
      <c r="I84" s="295" t="b">
        <v>0</v>
      </c>
      <c r="J84" s="295" t="b">
        <v>0</v>
      </c>
      <c r="K84" s="295" t="b">
        <v>0</v>
      </c>
      <c r="L84" s="295" t="b">
        <v>0</v>
      </c>
      <c r="M84" s="295" t="b">
        <v>0</v>
      </c>
      <c r="N84" s="295" t="b">
        <v>0</v>
      </c>
      <c r="O84" s="295" t="b">
        <v>0</v>
      </c>
      <c r="P84" s="295" t="b">
        <v>0</v>
      </c>
      <c r="Q84" s="295" t="b">
        <v>0</v>
      </c>
      <c r="R84" s="295" t="b">
        <v>0</v>
      </c>
      <c r="S84" s="295" t="b">
        <v>0</v>
      </c>
      <c r="T84" s="295" t="b">
        <v>0</v>
      </c>
      <c r="U84" s="295" t="b">
        <v>0</v>
      </c>
      <c r="V84" s="295" t="b">
        <v>0</v>
      </c>
      <c r="W84" s="295" t="b">
        <v>0</v>
      </c>
      <c r="X84" s="295" t="b">
        <v>0</v>
      </c>
      <c r="Y84" s="295" t="b">
        <v>0</v>
      </c>
      <c r="Z84" s="295" t="b">
        <v>0</v>
      </c>
      <c r="AA84" s="295" t="b">
        <v>0</v>
      </c>
      <c r="AB84" s="295" t="b">
        <v>0</v>
      </c>
      <c r="AC84" s="295" t="b">
        <v>0</v>
      </c>
      <c r="AD84" s="295" t="b">
        <v>0</v>
      </c>
      <c r="AE84" s="295" t="b">
        <v>0</v>
      </c>
      <c r="AF84" s="295" t="b">
        <v>0</v>
      </c>
      <c r="AG84" s="295" t="b">
        <v>0</v>
      </c>
      <c r="AH84" s="295" t="b">
        <v>0</v>
      </c>
      <c r="AI84" s="295" t="b">
        <v>0</v>
      </c>
      <c r="AJ84" s="295" t="b">
        <v>0</v>
      </c>
      <c r="AK84" s="295" t="b">
        <v>0</v>
      </c>
      <c r="AL84" s="295" t="b">
        <v>0</v>
      </c>
      <c r="AM84" s="295" t="b">
        <v>0</v>
      </c>
      <c r="AN84" s="295" t="b">
        <v>0</v>
      </c>
      <c r="AO84" s="295" t="b">
        <v>0</v>
      </c>
      <c r="AP84" s="295" t="b">
        <v>0</v>
      </c>
      <c r="AQ84" s="295" t="b">
        <v>0</v>
      </c>
      <c r="AR84" s="295" t="b">
        <v>0</v>
      </c>
      <c r="AS84" s="295" t="b">
        <v>0</v>
      </c>
      <c r="AT84" s="295" t="b">
        <v>0</v>
      </c>
      <c r="AU84" s="295" t="b">
        <v>0</v>
      </c>
      <c r="AV84" s="295" t="b">
        <v>0</v>
      </c>
      <c r="AW84" s="295" t="b">
        <v>0</v>
      </c>
      <c r="AX84" s="295" t="b">
        <v>0</v>
      </c>
      <c r="AY84" s="295" t="b">
        <v>0</v>
      </c>
      <c r="AZ84" s="286">
        <f t="shared" si="2"/>
        <v>0</v>
      </c>
      <c r="BA84" s="296"/>
      <c r="BB84" s="297"/>
      <c r="BC84" s="298"/>
      <c r="BD84" s="298"/>
    </row>
    <row r="85" ht="24.0" customHeight="1">
      <c r="A85" s="299"/>
      <c r="B85" s="300"/>
      <c r="C85" s="300" t="s">
        <v>434</v>
      </c>
      <c r="D85" s="299">
        <f t="shared" ref="D85:AY85" si="3">SUMPRODUCT(--D3:D42)+SUMPRODUCT(--D44:D84)</f>
        <v>3</v>
      </c>
      <c r="E85" s="299">
        <f t="shared" si="3"/>
        <v>5</v>
      </c>
      <c r="F85" s="299">
        <f t="shared" si="3"/>
        <v>5</v>
      </c>
      <c r="G85" s="299">
        <f t="shared" si="3"/>
        <v>5</v>
      </c>
      <c r="H85" s="299">
        <f t="shared" si="3"/>
        <v>4</v>
      </c>
      <c r="I85" s="299">
        <f t="shared" si="3"/>
        <v>6</v>
      </c>
      <c r="J85" s="299">
        <f t="shared" si="3"/>
        <v>3</v>
      </c>
      <c r="K85" s="299">
        <f t="shared" si="3"/>
        <v>4</v>
      </c>
      <c r="L85" s="299">
        <f t="shared" si="3"/>
        <v>2</v>
      </c>
      <c r="M85" s="299">
        <f t="shared" si="3"/>
        <v>0</v>
      </c>
      <c r="N85" s="299">
        <f t="shared" si="3"/>
        <v>0</v>
      </c>
      <c r="O85" s="299">
        <f t="shared" si="3"/>
        <v>0</v>
      </c>
      <c r="P85" s="299">
        <f t="shared" si="3"/>
        <v>0</v>
      </c>
      <c r="Q85" s="299">
        <f t="shared" si="3"/>
        <v>0</v>
      </c>
      <c r="R85" s="299">
        <f t="shared" si="3"/>
        <v>0</v>
      </c>
      <c r="S85" s="299">
        <f t="shared" si="3"/>
        <v>0</v>
      </c>
      <c r="T85" s="299">
        <f t="shared" si="3"/>
        <v>0</v>
      </c>
      <c r="U85" s="299">
        <f t="shared" si="3"/>
        <v>0</v>
      </c>
      <c r="V85" s="299">
        <f t="shared" si="3"/>
        <v>0</v>
      </c>
      <c r="W85" s="299">
        <f t="shared" si="3"/>
        <v>0</v>
      </c>
      <c r="X85" s="299">
        <f t="shared" si="3"/>
        <v>0</v>
      </c>
      <c r="Y85" s="299">
        <f t="shared" si="3"/>
        <v>0</v>
      </c>
      <c r="Z85" s="299">
        <f t="shared" si="3"/>
        <v>0</v>
      </c>
      <c r="AA85" s="299">
        <f t="shared" si="3"/>
        <v>0</v>
      </c>
      <c r="AB85" s="299">
        <f t="shared" si="3"/>
        <v>0</v>
      </c>
      <c r="AC85" s="299">
        <f t="shared" si="3"/>
        <v>0</v>
      </c>
      <c r="AD85" s="299">
        <f t="shared" si="3"/>
        <v>0</v>
      </c>
      <c r="AE85" s="299">
        <f t="shared" si="3"/>
        <v>0</v>
      </c>
      <c r="AF85" s="299">
        <f t="shared" si="3"/>
        <v>0</v>
      </c>
      <c r="AG85" s="299">
        <f t="shared" si="3"/>
        <v>0</v>
      </c>
      <c r="AH85" s="299">
        <f t="shared" si="3"/>
        <v>0</v>
      </c>
      <c r="AI85" s="299">
        <f t="shared" si="3"/>
        <v>0</v>
      </c>
      <c r="AJ85" s="299">
        <f t="shared" si="3"/>
        <v>0</v>
      </c>
      <c r="AK85" s="299">
        <f t="shared" si="3"/>
        <v>0</v>
      </c>
      <c r="AL85" s="299">
        <f t="shared" si="3"/>
        <v>0</v>
      </c>
      <c r="AM85" s="299">
        <f t="shared" si="3"/>
        <v>0</v>
      </c>
      <c r="AN85" s="299">
        <f t="shared" si="3"/>
        <v>0</v>
      </c>
      <c r="AO85" s="299">
        <f t="shared" si="3"/>
        <v>0</v>
      </c>
      <c r="AP85" s="299">
        <f t="shared" si="3"/>
        <v>0</v>
      </c>
      <c r="AQ85" s="299">
        <f t="shared" si="3"/>
        <v>0</v>
      </c>
      <c r="AR85" s="299">
        <f t="shared" si="3"/>
        <v>0</v>
      </c>
      <c r="AS85" s="299">
        <f t="shared" si="3"/>
        <v>0</v>
      </c>
      <c r="AT85" s="299">
        <f t="shared" si="3"/>
        <v>0</v>
      </c>
      <c r="AU85" s="299">
        <f t="shared" si="3"/>
        <v>0</v>
      </c>
      <c r="AV85" s="299">
        <f t="shared" si="3"/>
        <v>0</v>
      </c>
      <c r="AW85" s="299">
        <f t="shared" si="3"/>
        <v>0</v>
      </c>
      <c r="AX85" s="299">
        <f t="shared" si="3"/>
        <v>0</v>
      </c>
      <c r="AY85" s="299">
        <f t="shared" si="3"/>
        <v>0</v>
      </c>
      <c r="AZ85" s="301"/>
      <c r="BA85" s="301"/>
      <c r="BB85" s="301"/>
      <c r="BC85" s="301"/>
      <c r="BD85" s="301"/>
    </row>
    <row r="86" ht="24.0" customHeight="1">
      <c r="A86" s="302"/>
      <c r="B86" s="302"/>
      <c r="C86" s="302" t="s">
        <v>74</v>
      </c>
      <c r="D86" s="303">
        <f t="shared" ref="D86:AY86" si="4">SUMPRODUCT(--D3:D42)</f>
        <v>3</v>
      </c>
      <c r="E86" s="303">
        <f t="shared" si="4"/>
        <v>5</v>
      </c>
      <c r="F86" s="303">
        <f t="shared" si="4"/>
        <v>5</v>
      </c>
      <c r="G86" s="303">
        <f t="shared" si="4"/>
        <v>4</v>
      </c>
      <c r="H86" s="303">
        <f t="shared" si="4"/>
        <v>3</v>
      </c>
      <c r="I86" s="303">
        <f t="shared" si="4"/>
        <v>5</v>
      </c>
      <c r="J86" s="303">
        <f t="shared" si="4"/>
        <v>2</v>
      </c>
      <c r="K86" s="303">
        <f t="shared" si="4"/>
        <v>2</v>
      </c>
      <c r="L86" s="303">
        <f t="shared" si="4"/>
        <v>2</v>
      </c>
      <c r="M86" s="303">
        <f t="shared" si="4"/>
        <v>0</v>
      </c>
      <c r="N86" s="303">
        <f t="shared" si="4"/>
        <v>0</v>
      </c>
      <c r="O86" s="303">
        <f t="shared" si="4"/>
        <v>0</v>
      </c>
      <c r="P86" s="303">
        <f t="shared" si="4"/>
        <v>0</v>
      </c>
      <c r="Q86" s="303">
        <f t="shared" si="4"/>
        <v>0</v>
      </c>
      <c r="R86" s="303">
        <f t="shared" si="4"/>
        <v>0</v>
      </c>
      <c r="S86" s="303">
        <f t="shared" si="4"/>
        <v>0</v>
      </c>
      <c r="T86" s="303">
        <f t="shared" si="4"/>
        <v>0</v>
      </c>
      <c r="U86" s="303">
        <f t="shared" si="4"/>
        <v>0</v>
      </c>
      <c r="V86" s="303">
        <f t="shared" si="4"/>
        <v>0</v>
      </c>
      <c r="W86" s="303">
        <f t="shared" si="4"/>
        <v>0</v>
      </c>
      <c r="X86" s="303">
        <f t="shared" si="4"/>
        <v>0</v>
      </c>
      <c r="Y86" s="303">
        <f t="shared" si="4"/>
        <v>0</v>
      </c>
      <c r="Z86" s="303">
        <f t="shared" si="4"/>
        <v>0</v>
      </c>
      <c r="AA86" s="303">
        <f t="shared" si="4"/>
        <v>0</v>
      </c>
      <c r="AB86" s="303">
        <f t="shared" si="4"/>
        <v>0</v>
      </c>
      <c r="AC86" s="303">
        <f t="shared" si="4"/>
        <v>0</v>
      </c>
      <c r="AD86" s="303">
        <f t="shared" si="4"/>
        <v>0</v>
      </c>
      <c r="AE86" s="303">
        <f t="shared" si="4"/>
        <v>0</v>
      </c>
      <c r="AF86" s="303">
        <f t="shared" si="4"/>
        <v>0</v>
      </c>
      <c r="AG86" s="303">
        <f t="shared" si="4"/>
        <v>0</v>
      </c>
      <c r="AH86" s="303">
        <f t="shared" si="4"/>
        <v>0</v>
      </c>
      <c r="AI86" s="303">
        <f t="shared" si="4"/>
        <v>0</v>
      </c>
      <c r="AJ86" s="303">
        <f t="shared" si="4"/>
        <v>0</v>
      </c>
      <c r="AK86" s="303">
        <f t="shared" si="4"/>
        <v>0</v>
      </c>
      <c r="AL86" s="303">
        <f t="shared" si="4"/>
        <v>0</v>
      </c>
      <c r="AM86" s="303">
        <f t="shared" si="4"/>
        <v>0</v>
      </c>
      <c r="AN86" s="303">
        <f t="shared" si="4"/>
        <v>0</v>
      </c>
      <c r="AO86" s="303">
        <f t="shared" si="4"/>
        <v>0</v>
      </c>
      <c r="AP86" s="303">
        <f t="shared" si="4"/>
        <v>0</v>
      </c>
      <c r="AQ86" s="303">
        <f t="shared" si="4"/>
        <v>0</v>
      </c>
      <c r="AR86" s="303">
        <f t="shared" si="4"/>
        <v>0</v>
      </c>
      <c r="AS86" s="303">
        <f t="shared" si="4"/>
        <v>0</v>
      </c>
      <c r="AT86" s="303">
        <f t="shared" si="4"/>
        <v>0</v>
      </c>
      <c r="AU86" s="303">
        <f t="shared" si="4"/>
        <v>0</v>
      </c>
      <c r="AV86" s="303">
        <f t="shared" si="4"/>
        <v>0</v>
      </c>
      <c r="AW86" s="303">
        <f t="shared" si="4"/>
        <v>0</v>
      </c>
      <c r="AX86" s="303">
        <f t="shared" si="4"/>
        <v>0</v>
      </c>
      <c r="AY86" s="303">
        <f t="shared" si="4"/>
        <v>0</v>
      </c>
      <c r="AZ86" s="302"/>
      <c r="BA86" s="302"/>
      <c r="BB86" s="302"/>
      <c r="BC86" s="302"/>
      <c r="BD86" s="302"/>
    </row>
    <row r="87" ht="24.0" customHeight="1">
      <c r="A87" s="304"/>
      <c r="B87" s="304"/>
      <c r="C87" s="304" t="s">
        <v>255</v>
      </c>
      <c r="D87" s="305">
        <f t="shared" ref="D87:AY87" si="5">SUMPRODUCT(--D44:D84)</f>
        <v>0</v>
      </c>
      <c r="E87" s="305">
        <f t="shared" si="5"/>
        <v>0</v>
      </c>
      <c r="F87" s="305">
        <f t="shared" si="5"/>
        <v>0</v>
      </c>
      <c r="G87" s="305">
        <f t="shared" si="5"/>
        <v>1</v>
      </c>
      <c r="H87" s="305">
        <f t="shared" si="5"/>
        <v>1</v>
      </c>
      <c r="I87" s="305">
        <f t="shared" si="5"/>
        <v>1</v>
      </c>
      <c r="J87" s="305">
        <f t="shared" si="5"/>
        <v>1</v>
      </c>
      <c r="K87" s="305">
        <f t="shared" si="5"/>
        <v>2</v>
      </c>
      <c r="L87" s="305">
        <f t="shared" si="5"/>
        <v>0</v>
      </c>
      <c r="M87" s="305">
        <f t="shared" si="5"/>
        <v>0</v>
      </c>
      <c r="N87" s="305">
        <f t="shared" si="5"/>
        <v>0</v>
      </c>
      <c r="O87" s="305">
        <f t="shared" si="5"/>
        <v>0</v>
      </c>
      <c r="P87" s="305">
        <f t="shared" si="5"/>
        <v>0</v>
      </c>
      <c r="Q87" s="305">
        <f t="shared" si="5"/>
        <v>0</v>
      </c>
      <c r="R87" s="305">
        <f t="shared" si="5"/>
        <v>0</v>
      </c>
      <c r="S87" s="305">
        <f t="shared" si="5"/>
        <v>0</v>
      </c>
      <c r="T87" s="305">
        <f t="shared" si="5"/>
        <v>0</v>
      </c>
      <c r="U87" s="305">
        <f t="shared" si="5"/>
        <v>0</v>
      </c>
      <c r="V87" s="305">
        <f t="shared" si="5"/>
        <v>0</v>
      </c>
      <c r="W87" s="305">
        <f t="shared" si="5"/>
        <v>0</v>
      </c>
      <c r="X87" s="305">
        <f t="shared" si="5"/>
        <v>0</v>
      </c>
      <c r="Y87" s="305">
        <f t="shared" si="5"/>
        <v>0</v>
      </c>
      <c r="Z87" s="305">
        <f t="shared" si="5"/>
        <v>0</v>
      </c>
      <c r="AA87" s="305">
        <f t="shared" si="5"/>
        <v>0</v>
      </c>
      <c r="AB87" s="305">
        <f t="shared" si="5"/>
        <v>0</v>
      </c>
      <c r="AC87" s="305">
        <f t="shared" si="5"/>
        <v>0</v>
      </c>
      <c r="AD87" s="305">
        <f t="shared" si="5"/>
        <v>0</v>
      </c>
      <c r="AE87" s="305">
        <f t="shared" si="5"/>
        <v>0</v>
      </c>
      <c r="AF87" s="305">
        <f t="shared" si="5"/>
        <v>0</v>
      </c>
      <c r="AG87" s="305">
        <f t="shared" si="5"/>
        <v>0</v>
      </c>
      <c r="AH87" s="305">
        <f t="shared" si="5"/>
        <v>0</v>
      </c>
      <c r="AI87" s="305">
        <f t="shared" si="5"/>
        <v>0</v>
      </c>
      <c r="AJ87" s="305">
        <f t="shared" si="5"/>
        <v>0</v>
      </c>
      <c r="AK87" s="305">
        <f t="shared" si="5"/>
        <v>0</v>
      </c>
      <c r="AL87" s="305">
        <f t="shared" si="5"/>
        <v>0</v>
      </c>
      <c r="AM87" s="305">
        <f t="shared" si="5"/>
        <v>0</v>
      </c>
      <c r="AN87" s="305">
        <f t="shared" si="5"/>
        <v>0</v>
      </c>
      <c r="AO87" s="305">
        <f t="shared" si="5"/>
        <v>0</v>
      </c>
      <c r="AP87" s="305">
        <f t="shared" si="5"/>
        <v>0</v>
      </c>
      <c r="AQ87" s="305">
        <f t="shared" si="5"/>
        <v>0</v>
      </c>
      <c r="AR87" s="305">
        <f t="shared" si="5"/>
        <v>0</v>
      </c>
      <c r="AS87" s="305">
        <f t="shared" si="5"/>
        <v>0</v>
      </c>
      <c r="AT87" s="305">
        <f t="shared" si="5"/>
        <v>0</v>
      </c>
      <c r="AU87" s="305">
        <f t="shared" si="5"/>
        <v>0</v>
      </c>
      <c r="AV87" s="305">
        <f t="shared" si="5"/>
        <v>0</v>
      </c>
      <c r="AW87" s="305">
        <f t="shared" si="5"/>
        <v>0</v>
      </c>
      <c r="AX87" s="305">
        <f t="shared" si="5"/>
        <v>0</v>
      </c>
      <c r="AY87" s="305">
        <f t="shared" si="5"/>
        <v>0</v>
      </c>
      <c r="AZ87" s="304"/>
      <c r="BA87" s="304"/>
      <c r="BB87" s="304"/>
      <c r="BC87" s="304"/>
      <c r="BD87" s="304"/>
    </row>
  </sheetData>
  <mergeCells count="2">
    <mergeCell ref="D2:BD2"/>
    <mergeCell ref="D43:BD43"/>
  </mergeCells>
  <conditionalFormatting sqref="D3:AY84">
    <cfRule type="expression" dxfId="11" priority="1">
      <formula>D3=TRUE</formula>
    </cfRule>
  </conditionalFormatting>
  <conditionalFormatting sqref="A3:BA84">
    <cfRule type="expression" dxfId="1" priority="2">
      <formula>OR($BA3="deve pagare U",$BA3="deve pagare D")</formula>
    </cfRule>
  </conditionalFormatting>
  <conditionalFormatting sqref="A3:BD84">
    <cfRule type="expression" dxfId="2" priority="3">
      <formula>AND($BD3&lt;TODAY(),$BD3&lt;&gt;"")</formula>
    </cfRule>
  </conditionalFormatting>
  <conditionalFormatting sqref="A3:BC84">
    <cfRule type="expression" dxfId="2" priority="4">
      <formula>AND($BC3&lt;TODAY(),$BC3&lt;&gt;"")</formula>
    </cfRule>
  </conditionalFormatting>
  <conditionalFormatting sqref="A3:BA84">
    <cfRule type="expression" dxfId="6" priority="5">
      <formula>OR($BA3="prova pagata D", $BA3="prova pagata U")</formula>
    </cfRule>
  </conditionalFormatting>
  <conditionalFormatting sqref="A3:BA84">
    <cfRule type="expression" dxfId="7" priority="6">
      <formula>$BA3="lezione welfare"</formula>
    </cfRule>
  </conditionalFormatting>
  <conditionalFormatting sqref="A3:BA84">
    <cfRule type="expression" dxfId="8" priority="7">
      <formula>$BA3="prova Donna"</formula>
    </cfRule>
  </conditionalFormatting>
  <conditionalFormatting sqref="A3:BA84">
    <cfRule type="expression" dxfId="9" priority="8">
      <formula>$BA3="prova Uomo"</formula>
    </cfRule>
  </conditionalFormatting>
  <conditionalFormatting sqref="A3:BA84">
    <cfRule type="expression" dxfId="10" priority="9">
      <formula>OR($BA3="iscritto Donna",$BA3="iscritto Uomo")</formula>
    </cfRule>
  </conditionalFormatting>
  <printOptions/>
  <pageMargins bottom="0.0" footer="0.0" header="0.0" left="0.25" right="0.25" top="0.0"/>
  <pageSetup scale="8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6" t="s">
        <v>435</v>
      </c>
      <c r="B1" s="306" t="s">
        <v>436</v>
      </c>
      <c r="C1" s="306" t="s">
        <v>437</v>
      </c>
      <c r="D1" s="306" t="s">
        <v>438</v>
      </c>
      <c r="E1" s="306" t="s">
        <v>439</v>
      </c>
      <c r="F1" s="306" t="s">
        <v>440</v>
      </c>
      <c r="G1" s="306" t="s">
        <v>441</v>
      </c>
      <c r="H1" s="306" t="s">
        <v>442</v>
      </c>
      <c r="I1" s="306" t="s">
        <v>443</v>
      </c>
      <c r="J1" s="306" t="s">
        <v>444</v>
      </c>
      <c r="K1" s="306" t="s">
        <v>445</v>
      </c>
      <c r="L1" s="306" t="s">
        <v>446</v>
      </c>
      <c r="M1" s="306" t="s">
        <v>446</v>
      </c>
      <c r="N1" s="306" t="s">
        <v>447</v>
      </c>
      <c r="O1" s="306" t="s">
        <v>448</v>
      </c>
      <c r="P1" s="306" t="s">
        <v>449</v>
      </c>
      <c r="Q1" s="306" t="s">
        <v>450</v>
      </c>
      <c r="R1" s="306" t="s">
        <v>451</v>
      </c>
      <c r="S1" s="306" t="s">
        <v>452</v>
      </c>
      <c r="T1" s="306" t="s">
        <v>453</v>
      </c>
      <c r="U1" s="306" t="s">
        <v>453</v>
      </c>
      <c r="V1" s="306" t="s">
        <v>454</v>
      </c>
      <c r="W1" s="306" t="s">
        <v>455</v>
      </c>
      <c r="X1" s="306" t="s">
        <v>456</v>
      </c>
      <c r="Y1" s="306" t="s">
        <v>456</v>
      </c>
      <c r="Z1" s="306" t="s">
        <v>457</v>
      </c>
      <c r="AA1" s="306" t="s">
        <v>458</v>
      </c>
      <c r="AB1" s="306" t="s">
        <v>459</v>
      </c>
      <c r="AC1" s="306" t="s">
        <v>459</v>
      </c>
      <c r="AD1" s="306" t="s">
        <v>460</v>
      </c>
      <c r="AE1" s="306" t="s">
        <v>460</v>
      </c>
      <c r="AF1" s="306" t="s">
        <v>461</v>
      </c>
      <c r="AG1" s="306" t="s">
        <v>461</v>
      </c>
      <c r="AH1" s="306" t="s">
        <v>462</v>
      </c>
      <c r="AI1" s="306" t="s">
        <v>462</v>
      </c>
      <c r="AJ1" s="306" t="s">
        <v>463</v>
      </c>
      <c r="AK1" s="306" t="s">
        <v>464</v>
      </c>
      <c r="AL1" s="306" t="s">
        <v>465</v>
      </c>
      <c r="AM1" s="306" t="s">
        <v>466</v>
      </c>
      <c r="AN1" s="306" t="s">
        <v>467</v>
      </c>
      <c r="AO1" s="306" t="s">
        <v>468</v>
      </c>
      <c r="AP1" s="306" t="s">
        <v>469</v>
      </c>
      <c r="AQ1" s="306" t="s">
        <v>470</v>
      </c>
      <c r="AR1" s="306" t="s">
        <v>471</v>
      </c>
      <c r="AS1" s="306" t="s">
        <v>472</v>
      </c>
      <c r="AT1" s="306" t="s">
        <v>473</v>
      </c>
      <c r="AU1" s="306" t="s">
        <v>474</v>
      </c>
      <c r="AV1" s="306"/>
      <c r="AW1" s="306" t="s">
        <v>475</v>
      </c>
      <c r="AX1" s="306" t="s">
        <v>476</v>
      </c>
      <c r="AY1" s="306" t="s">
        <v>477</v>
      </c>
      <c r="AZ1" s="306" t="s">
        <v>478</v>
      </c>
      <c r="BA1" s="306" t="s">
        <v>479</v>
      </c>
      <c r="BB1" s="306" t="s">
        <v>479</v>
      </c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</row>
    <row r="2">
      <c r="A2" s="306" t="s">
        <v>78</v>
      </c>
      <c r="B2" s="306" t="b">
        <v>0</v>
      </c>
      <c r="C2" s="306" t="b">
        <v>0</v>
      </c>
      <c r="D2" s="306" t="b">
        <v>0</v>
      </c>
      <c r="E2" s="306" t="b">
        <v>0</v>
      </c>
      <c r="F2" s="306" t="b">
        <v>0</v>
      </c>
      <c r="G2" s="306" t="b">
        <v>0</v>
      </c>
      <c r="H2" s="306" t="b">
        <v>0</v>
      </c>
      <c r="I2" s="306" t="b">
        <v>0</v>
      </c>
      <c r="J2" s="306" t="b">
        <v>0</v>
      </c>
      <c r="K2" s="306" t="b">
        <v>0</v>
      </c>
      <c r="L2" s="306" t="b">
        <v>0</v>
      </c>
      <c r="M2" s="306" t="b">
        <v>0</v>
      </c>
      <c r="N2" s="306" t="b">
        <v>0</v>
      </c>
      <c r="O2" s="306" t="b">
        <v>0</v>
      </c>
      <c r="P2" s="306" t="b">
        <v>0</v>
      </c>
      <c r="Q2" s="306" t="b">
        <v>0</v>
      </c>
      <c r="R2" s="306" t="b">
        <v>0</v>
      </c>
      <c r="S2" s="306" t="b">
        <v>0</v>
      </c>
      <c r="U2" s="306" t="b">
        <v>0</v>
      </c>
      <c r="V2" s="306" t="b">
        <v>0</v>
      </c>
      <c r="W2" s="306" t="b">
        <v>0</v>
      </c>
      <c r="X2" s="306" t="b">
        <v>0</v>
      </c>
      <c r="Y2" s="306" t="b">
        <v>0</v>
      </c>
      <c r="Z2" s="306" t="b">
        <v>0</v>
      </c>
      <c r="AA2" s="306" t="b">
        <v>0</v>
      </c>
      <c r="AB2" s="306" t="b">
        <v>0</v>
      </c>
      <c r="AC2" s="306" t="b">
        <v>0</v>
      </c>
      <c r="AD2" s="306" t="b">
        <v>0</v>
      </c>
      <c r="AE2" s="306" t="b">
        <v>0</v>
      </c>
      <c r="AF2" s="306" t="b">
        <v>0</v>
      </c>
      <c r="AG2" s="306" t="b">
        <v>0</v>
      </c>
      <c r="AH2" s="306" t="b">
        <v>0</v>
      </c>
      <c r="AI2" s="306" t="b">
        <v>0</v>
      </c>
      <c r="AJ2" s="306" t="b">
        <v>0</v>
      </c>
      <c r="AK2" s="306" t="b">
        <v>0</v>
      </c>
      <c r="AL2" s="306" t="b">
        <v>0</v>
      </c>
      <c r="AM2" s="306" t="b">
        <v>0</v>
      </c>
      <c r="AN2" s="306" t="b">
        <v>0</v>
      </c>
      <c r="AO2" s="306" t="b">
        <v>0</v>
      </c>
      <c r="AP2" s="306" t="b">
        <v>0</v>
      </c>
      <c r="AQ2" s="306" t="b">
        <v>0</v>
      </c>
      <c r="AR2" s="306" t="b">
        <v>0</v>
      </c>
      <c r="AS2" s="306" t="b">
        <v>0</v>
      </c>
      <c r="AT2" s="306" t="b">
        <v>0</v>
      </c>
      <c r="AU2" s="306" t="b">
        <v>0</v>
      </c>
      <c r="AV2" s="306" t="b">
        <v>0</v>
      </c>
      <c r="AW2" s="306" t="b">
        <v>0</v>
      </c>
      <c r="AX2" s="306" t="b">
        <v>0</v>
      </c>
      <c r="AY2" s="306" t="b">
        <v>0</v>
      </c>
      <c r="AZ2" s="306" t="b">
        <v>0</v>
      </c>
      <c r="BA2" s="306"/>
      <c r="BB2" s="306" t="b">
        <v>0</v>
      </c>
      <c r="BC2" s="306"/>
      <c r="BD2" s="306"/>
      <c r="BE2" s="306"/>
      <c r="BF2" s="306"/>
      <c r="BG2" s="306"/>
      <c r="BH2" s="306"/>
      <c r="BI2" s="306"/>
      <c r="BJ2" s="306"/>
      <c r="BK2" s="306"/>
      <c r="BL2" s="306"/>
      <c r="BM2" s="306"/>
      <c r="BN2" s="306"/>
      <c r="BO2" s="306"/>
      <c r="BP2" s="306"/>
      <c r="BQ2" s="306"/>
      <c r="BR2" s="306"/>
      <c r="BS2" s="306"/>
    </row>
    <row r="3">
      <c r="A3" s="306" t="s">
        <v>93</v>
      </c>
      <c r="B3" s="306" t="b">
        <v>0</v>
      </c>
      <c r="C3" s="306" t="b">
        <v>1</v>
      </c>
      <c r="D3" s="306" t="b">
        <v>1</v>
      </c>
      <c r="E3" s="306" t="b">
        <v>1</v>
      </c>
      <c r="F3" s="306" t="b">
        <v>0</v>
      </c>
      <c r="G3" s="306" t="b">
        <v>1</v>
      </c>
      <c r="H3" s="306" t="b">
        <v>1</v>
      </c>
      <c r="I3" s="306" t="b">
        <v>0</v>
      </c>
      <c r="J3" s="306" t="b">
        <v>0</v>
      </c>
      <c r="K3" s="306" t="b">
        <v>0</v>
      </c>
      <c r="L3" s="306" t="b">
        <v>0</v>
      </c>
      <c r="M3" s="306" t="b">
        <v>0</v>
      </c>
      <c r="N3" s="306" t="b">
        <v>0</v>
      </c>
      <c r="O3" s="306" t="b">
        <v>0</v>
      </c>
      <c r="P3" s="306" t="b">
        <v>0</v>
      </c>
      <c r="Q3" s="306" t="b">
        <v>0</v>
      </c>
      <c r="R3" s="306" t="b">
        <v>0</v>
      </c>
      <c r="S3" s="306" t="b">
        <v>0</v>
      </c>
      <c r="U3" s="306" t="b">
        <v>0</v>
      </c>
      <c r="V3" s="306" t="b">
        <v>0</v>
      </c>
      <c r="W3" s="306" t="b">
        <v>0</v>
      </c>
      <c r="X3" s="306" t="b">
        <v>0</v>
      </c>
      <c r="Y3" s="306" t="b">
        <v>0</v>
      </c>
      <c r="Z3" s="306" t="b">
        <v>0</v>
      </c>
      <c r="AA3" s="306" t="b">
        <v>0</v>
      </c>
      <c r="AB3" s="306" t="b">
        <v>0</v>
      </c>
      <c r="AC3" s="306" t="b">
        <v>0</v>
      </c>
      <c r="AD3" s="306" t="b">
        <v>0</v>
      </c>
      <c r="AE3" s="306" t="b">
        <v>0</v>
      </c>
      <c r="AF3" s="306" t="b">
        <v>0</v>
      </c>
      <c r="AG3" s="306" t="b">
        <v>0</v>
      </c>
      <c r="AH3" s="306" t="b">
        <v>0</v>
      </c>
      <c r="AI3" s="306" t="b">
        <v>0</v>
      </c>
      <c r="AJ3" s="306" t="b">
        <v>0</v>
      </c>
      <c r="AK3" s="306" t="b">
        <v>0</v>
      </c>
      <c r="AL3" s="306" t="b">
        <v>0</v>
      </c>
      <c r="AM3" s="306" t="b">
        <v>0</v>
      </c>
      <c r="AN3" s="306" t="b">
        <v>0</v>
      </c>
      <c r="AO3" s="306" t="b">
        <v>0</v>
      </c>
      <c r="AP3" s="306" t="b">
        <v>0</v>
      </c>
      <c r="AQ3" s="306" t="b">
        <v>0</v>
      </c>
      <c r="AR3" s="306" t="b">
        <v>0</v>
      </c>
      <c r="AS3" s="306" t="b">
        <v>0</v>
      </c>
      <c r="AT3" s="306" t="b">
        <v>0</v>
      </c>
      <c r="AU3" s="306" t="b">
        <v>0</v>
      </c>
      <c r="AV3" s="306" t="b">
        <v>0</v>
      </c>
      <c r="AW3" s="306" t="b">
        <v>0</v>
      </c>
      <c r="AX3" s="306" t="b">
        <v>0</v>
      </c>
      <c r="AY3" s="306" t="b">
        <v>0</v>
      </c>
      <c r="AZ3" s="306" t="b">
        <v>0</v>
      </c>
      <c r="BA3" s="306"/>
      <c r="BB3" s="306" t="b">
        <v>0</v>
      </c>
      <c r="BC3" s="306"/>
      <c r="BD3" s="306"/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6"/>
      <c r="BP3" s="306"/>
      <c r="BQ3" s="306"/>
      <c r="BR3" s="306"/>
      <c r="BS3" s="306"/>
    </row>
    <row r="4">
      <c r="A4" s="306" t="s">
        <v>143</v>
      </c>
      <c r="B4" s="306" t="b">
        <v>1</v>
      </c>
      <c r="C4" s="306" t="b">
        <v>1</v>
      </c>
      <c r="D4" s="306" t="b">
        <v>1</v>
      </c>
      <c r="E4" s="306" t="b">
        <v>0</v>
      </c>
      <c r="F4" s="306" t="b">
        <v>0</v>
      </c>
      <c r="G4" s="306" t="b">
        <v>1</v>
      </c>
      <c r="H4" s="306" t="b">
        <v>0</v>
      </c>
      <c r="I4" s="306" t="b">
        <v>0</v>
      </c>
      <c r="J4" s="306" t="b">
        <v>0</v>
      </c>
      <c r="K4" s="306" t="b">
        <v>0</v>
      </c>
      <c r="L4" s="306" t="b">
        <v>0</v>
      </c>
      <c r="M4" s="306" t="b">
        <v>0</v>
      </c>
      <c r="N4" s="306" t="b">
        <v>0</v>
      </c>
      <c r="O4" s="306" t="b">
        <v>0</v>
      </c>
      <c r="P4" s="306" t="b">
        <v>0</v>
      </c>
      <c r="Q4" s="306" t="b">
        <v>0</v>
      </c>
      <c r="R4" s="306" t="b">
        <v>0</v>
      </c>
      <c r="S4" s="306" t="b">
        <v>0</v>
      </c>
      <c r="U4" s="306" t="b">
        <v>0</v>
      </c>
      <c r="V4" s="306" t="b">
        <v>0</v>
      </c>
      <c r="W4" s="306" t="b">
        <v>0</v>
      </c>
      <c r="X4" s="306" t="b">
        <v>0</v>
      </c>
      <c r="Y4" s="306" t="b">
        <v>0</v>
      </c>
      <c r="Z4" s="306" t="b">
        <v>0</v>
      </c>
      <c r="AA4" s="306" t="b">
        <v>0</v>
      </c>
      <c r="AB4" s="306" t="b">
        <v>0</v>
      </c>
      <c r="AC4" s="306" t="b">
        <v>0</v>
      </c>
      <c r="AD4" s="306" t="b">
        <v>0</v>
      </c>
      <c r="AE4" s="306" t="b">
        <v>0</v>
      </c>
      <c r="AF4" s="306" t="b">
        <v>0</v>
      </c>
      <c r="AG4" s="306" t="b">
        <v>0</v>
      </c>
      <c r="AH4" s="306" t="b">
        <v>0</v>
      </c>
      <c r="AI4" s="306" t="b">
        <v>0</v>
      </c>
      <c r="AJ4" s="306" t="b">
        <v>0</v>
      </c>
      <c r="AK4" s="306" t="b">
        <v>0</v>
      </c>
      <c r="AL4" s="306" t="b">
        <v>0</v>
      </c>
      <c r="AM4" s="306" t="b">
        <v>0</v>
      </c>
      <c r="AN4" s="306" t="b">
        <v>0</v>
      </c>
      <c r="AO4" s="306" t="b">
        <v>0</v>
      </c>
      <c r="AP4" s="306" t="b">
        <v>0</v>
      </c>
      <c r="AQ4" s="306" t="b">
        <v>0</v>
      </c>
      <c r="AR4" s="306" t="b">
        <v>0</v>
      </c>
      <c r="AS4" s="306" t="b">
        <v>0</v>
      </c>
      <c r="AT4" s="306" t="b">
        <v>0</v>
      </c>
      <c r="AU4" s="306" t="b">
        <v>0</v>
      </c>
      <c r="AV4" s="306" t="b">
        <v>0</v>
      </c>
      <c r="AW4" s="306" t="b">
        <v>0</v>
      </c>
      <c r="AX4" s="306" t="b">
        <v>0</v>
      </c>
      <c r="AY4" s="306" t="b">
        <v>0</v>
      </c>
      <c r="AZ4" s="306" t="b">
        <v>0</v>
      </c>
      <c r="BA4" s="306"/>
      <c r="BB4" s="306" t="b">
        <v>0</v>
      </c>
      <c r="BC4" s="306"/>
      <c r="BD4" s="306"/>
      <c r="BE4" s="306"/>
      <c r="BF4" s="306"/>
      <c r="BG4" s="306"/>
      <c r="BH4" s="306"/>
      <c r="BI4" s="306"/>
      <c r="BJ4" s="306"/>
      <c r="BK4" s="306"/>
      <c r="BL4" s="306"/>
      <c r="BM4" s="306"/>
      <c r="BN4" s="306"/>
      <c r="BO4" s="306"/>
      <c r="BP4" s="306"/>
      <c r="BQ4" s="306"/>
      <c r="BR4" s="306"/>
      <c r="BS4" s="306"/>
    </row>
    <row r="5">
      <c r="A5" s="306" t="s">
        <v>103</v>
      </c>
      <c r="B5" s="306" t="b">
        <v>0</v>
      </c>
      <c r="C5" s="306" t="b">
        <v>0</v>
      </c>
      <c r="D5" s="306" t="b">
        <v>0</v>
      </c>
      <c r="E5" s="306" t="b">
        <v>0</v>
      </c>
      <c r="F5" s="306" t="b">
        <v>0</v>
      </c>
      <c r="G5" s="306" t="b">
        <v>0</v>
      </c>
      <c r="H5" s="306" t="b">
        <v>0</v>
      </c>
      <c r="I5" s="306" t="b">
        <v>0</v>
      </c>
      <c r="J5" s="306" t="b">
        <v>0</v>
      </c>
      <c r="K5" s="306" t="b">
        <v>0</v>
      </c>
      <c r="L5" s="306" t="b">
        <v>0</v>
      </c>
      <c r="M5" s="306" t="b">
        <v>0</v>
      </c>
      <c r="N5" s="306" t="b">
        <v>0</v>
      </c>
      <c r="O5" s="306" t="b">
        <v>0</v>
      </c>
      <c r="P5" s="306" t="b">
        <v>0</v>
      </c>
      <c r="Q5" s="306" t="b">
        <v>0</v>
      </c>
      <c r="R5" s="306" t="b">
        <v>0</v>
      </c>
      <c r="S5" s="306" t="b">
        <v>0</v>
      </c>
      <c r="U5" s="306" t="b">
        <v>0</v>
      </c>
      <c r="V5" s="306" t="b">
        <v>0</v>
      </c>
      <c r="W5" s="306" t="b">
        <v>0</v>
      </c>
      <c r="X5" s="306" t="b">
        <v>0</v>
      </c>
      <c r="Y5" s="306" t="b">
        <v>0</v>
      </c>
      <c r="Z5" s="306" t="b">
        <v>0</v>
      </c>
      <c r="AA5" s="306" t="b">
        <v>0</v>
      </c>
      <c r="AB5" s="306" t="b">
        <v>0</v>
      </c>
      <c r="AC5" s="306" t="b">
        <v>0</v>
      </c>
      <c r="AD5" s="306" t="b">
        <v>0</v>
      </c>
      <c r="AE5" s="306" t="b">
        <v>0</v>
      </c>
      <c r="AF5" s="306" t="b">
        <v>0</v>
      </c>
      <c r="AG5" s="306" t="b">
        <v>0</v>
      </c>
      <c r="AH5" s="306" t="b">
        <v>0</v>
      </c>
      <c r="AI5" s="306" t="b">
        <v>0</v>
      </c>
      <c r="AJ5" s="306" t="b">
        <v>0</v>
      </c>
      <c r="AK5" s="306" t="b">
        <v>0</v>
      </c>
      <c r="AL5" s="306" t="b">
        <v>0</v>
      </c>
      <c r="AM5" s="306" t="b">
        <v>0</v>
      </c>
      <c r="AN5" s="306" t="b">
        <v>0</v>
      </c>
      <c r="AO5" s="306" t="b">
        <v>0</v>
      </c>
      <c r="AP5" s="306" t="b">
        <v>0</v>
      </c>
      <c r="AQ5" s="306" t="b">
        <v>0</v>
      </c>
      <c r="AR5" s="306" t="b">
        <v>0</v>
      </c>
      <c r="AS5" s="306" t="b">
        <v>0</v>
      </c>
      <c r="AT5" s="306" t="b">
        <v>0</v>
      </c>
      <c r="AU5" s="306" t="b">
        <v>0</v>
      </c>
      <c r="AV5" s="306" t="b">
        <v>0</v>
      </c>
      <c r="AW5" s="306" t="b">
        <v>0</v>
      </c>
      <c r="AX5" s="306" t="b">
        <v>0</v>
      </c>
      <c r="AY5" s="306" t="b">
        <v>0</v>
      </c>
      <c r="AZ5" s="306" t="b">
        <v>0</v>
      </c>
      <c r="BA5" s="306"/>
      <c r="BB5" s="306" t="b">
        <v>0</v>
      </c>
      <c r="BC5" s="306"/>
      <c r="BD5" s="306"/>
      <c r="BE5" s="306"/>
      <c r="BF5" s="306"/>
      <c r="BG5" s="306"/>
      <c r="BH5" s="306"/>
      <c r="BI5" s="306"/>
      <c r="BJ5" s="306"/>
      <c r="BK5" s="306"/>
      <c r="BL5" s="306"/>
      <c r="BM5" s="306"/>
      <c r="BN5" s="306"/>
      <c r="BO5" s="306"/>
      <c r="BP5" s="306"/>
      <c r="BQ5" s="306"/>
      <c r="BR5" s="306"/>
      <c r="BS5" s="306"/>
    </row>
    <row r="6">
      <c r="A6" s="306" t="s">
        <v>113</v>
      </c>
      <c r="B6" s="306" t="b">
        <v>0</v>
      </c>
      <c r="C6" s="306" t="b">
        <v>0</v>
      </c>
      <c r="D6" s="306" t="b">
        <v>0</v>
      </c>
      <c r="E6" s="306" t="b">
        <v>0</v>
      </c>
      <c r="F6" s="306" t="b">
        <v>0</v>
      </c>
      <c r="G6" s="306" t="b">
        <v>0</v>
      </c>
      <c r="H6" s="306" t="b">
        <v>0</v>
      </c>
      <c r="I6" s="306" t="b">
        <v>0</v>
      </c>
      <c r="J6" s="306" t="b">
        <v>0</v>
      </c>
      <c r="K6" s="306" t="b">
        <v>0</v>
      </c>
      <c r="L6" s="306" t="b">
        <v>0</v>
      </c>
      <c r="M6" s="306" t="b">
        <v>0</v>
      </c>
      <c r="N6" s="306" t="b">
        <v>0</v>
      </c>
      <c r="O6" s="306" t="b">
        <v>0</v>
      </c>
      <c r="P6" s="306" t="b">
        <v>0</v>
      </c>
      <c r="Q6" s="306" t="b">
        <v>0</v>
      </c>
      <c r="R6" s="306" t="b">
        <v>0</v>
      </c>
      <c r="S6" s="306" t="b">
        <v>0</v>
      </c>
      <c r="U6" s="306" t="b">
        <v>0</v>
      </c>
      <c r="V6" s="306" t="b">
        <v>0</v>
      </c>
      <c r="W6" s="306" t="b">
        <v>0</v>
      </c>
      <c r="X6" s="306" t="b">
        <v>0</v>
      </c>
      <c r="Y6" s="306" t="b">
        <v>0</v>
      </c>
      <c r="Z6" s="306" t="b">
        <v>0</v>
      </c>
      <c r="AA6" s="306" t="b">
        <v>0</v>
      </c>
      <c r="AB6" s="306" t="b">
        <v>0</v>
      </c>
      <c r="AC6" s="306" t="b">
        <v>0</v>
      </c>
      <c r="AD6" s="306" t="b">
        <v>0</v>
      </c>
      <c r="AE6" s="306" t="b">
        <v>0</v>
      </c>
      <c r="AF6" s="306" t="b">
        <v>0</v>
      </c>
      <c r="AG6" s="306" t="b">
        <v>0</v>
      </c>
      <c r="AH6" s="306" t="b">
        <v>0</v>
      </c>
      <c r="AI6" s="306" t="b">
        <v>0</v>
      </c>
      <c r="AJ6" s="306" t="b">
        <v>0</v>
      </c>
      <c r="AK6" s="306" t="b">
        <v>0</v>
      </c>
      <c r="AL6" s="306" t="b">
        <v>0</v>
      </c>
      <c r="AM6" s="306" t="b">
        <v>0</v>
      </c>
      <c r="AN6" s="306" t="b">
        <v>0</v>
      </c>
      <c r="AO6" s="306" t="b">
        <v>0</v>
      </c>
      <c r="AP6" s="306" t="b">
        <v>0</v>
      </c>
      <c r="AQ6" s="306" t="b">
        <v>0</v>
      </c>
      <c r="AR6" s="306" t="b">
        <v>0</v>
      </c>
      <c r="AS6" s="306" t="b">
        <v>0</v>
      </c>
      <c r="AT6" s="306" t="b">
        <v>0</v>
      </c>
      <c r="AU6" s="306" t="b">
        <v>0</v>
      </c>
      <c r="AV6" s="306" t="b">
        <v>0</v>
      </c>
      <c r="AW6" s="306" t="b">
        <v>0</v>
      </c>
      <c r="AX6" s="306" t="b">
        <v>0</v>
      </c>
      <c r="AY6" s="306" t="b">
        <v>0</v>
      </c>
      <c r="AZ6" s="306" t="b">
        <v>0</v>
      </c>
      <c r="BA6" s="306"/>
      <c r="BB6" s="306" t="b">
        <v>0</v>
      </c>
      <c r="BC6" s="306"/>
      <c r="BD6" s="306"/>
      <c r="BE6" s="306"/>
      <c r="BF6" s="306"/>
      <c r="BG6" s="306"/>
      <c r="BH6" s="306"/>
      <c r="BI6" s="306"/>
      <c r="BJ6" s="306"/>
      <c r="BK6" s="306"/>
      <c r="BL6" s="306"/>
      <c r="BM6" s="306"/>
      <c r="BN6" s="306"/>
      <c r="BO6" s="306"/>
      <c r="BP6" s="306"/>
      <c r="BQ6" s="306"/>
      <c r="BR6" s="306"/>
      <c r="BS6" s="306"/>
    </row>
    <row r="7">
      <c r="A7" s="306" t="s">
        <v>123</v>
      </c>
      <c r="B7" s="306" t="b">
        <v>0</v>
      </c>
      <c r="C7" s="306" t="b">
        <v>1</v>
      </c>
      <c r="D7" s="306" t="b">
        <v>1</v>
      </c>
      <c r="E7" s="306" t="b">
        <v>1</v>
      </c>
      <c r="F7" s="306" t="b">
        <v>1</v>
      </c>
      <c r="G7" s="306" t="b">
        <v>1</v>
      </c>
      <c r="H7" s="306" t="b">
        <v>0</v>
      </c>
      <c r="I7" s="306" t="b">
        <v>0</v>
      </c>
      <c r="J7" s="306" t="b">
        <v>0</v>
      </c>
      <c r="K7" s="306" t="b">
        <v>0</v>
      </c>
      <c r="L7" s="306" t="b">
        <v>0</v>
      </c>
      <c r="M7" s="306" t="b">
        <v>0</v>
      </c>
      <c r="N7" s="306" t="b">
        <v>0</v>
      </c>
      <c r="O7" s="306" t="b">
        <v>0</v>
      </c>
      <c r="P7" s="306" t="b">
        <v>0</v>
      </c>
      <c r="Q7" s="306" t="b">
        <v>0</v>
      </c>
      <c r="R7" s="306" t="b">
        <v>0</v>
      </c>
      <c r="S7" s="306" t="b">
        <v>0</v>
      </c>
      <c r="U7" s="306" t="b">
        <v>0</v>
      </c>
      <c r="V7" s="306" t="b">
        <v>0</v>
      </c>
      <c r="W7" s="306" t="b">
        <v>0</v>
      </c>
      <c r="X7" s="306" t="b">
        <v>0</v>
      </c>
      <c r="Y7" s="306" t="b">
        <v>0</v>
      </c>
      <c r="Z7" s="306" t="b">
        <v>0</v>
      </c>
      <c r="AA7" s="306" t="b">
        <v>0</v>
      </c>
      <c r="AB7" s="306" t="b">
        <v>0</v>
      </c>
      <c r="AC7" s="306" t="b">
        <v>0</v>
      </c>
      <c r="AD7" s="306" t="b">
        <v>0</v>
      </c>
      <c r="AE7" s="306" t="b">
        <v>0</v>
      </c>
      <c r="AF7" s="306" t="b">
        <v>0</v>
      </c>
      <c r="AG7" s="306" t="b">
        <v>0</v>
      </c>
      <c r="AH7" s="306" t="b">
        <v>0</v>
      </c>
      <c r="AI7" s="306" t="b">
        <v>0</v>
      </c>
      <c r="AJ7" s="306" t="b">
        <v>0</v>
      </c>
      <c r="AK7" s="306" t="b">
        <v>0</v>
      </c>
      <c r="AL7" s="306" t="b">
        <v>0</v>
      </c>
      <c r="AM7" s="306" t="b">
        <v>0</v>
      </c>
      <c r="AN7" s="306" t="b">
        <v>0</v>
      </c>
      <c r="AO7" s="306" t="b">
        <v>0</v>
      </c>
      <c r="AP7" s="306" t="b">
        <v>0</v>
      </c>
      <c r="AQ7" s="306" t="b">
        <v>0</v>
      </c>
      <c r="AR7" s="306" t="b">
        <v>0</v>
      </c>
      <c r="AS7" s="306" t="b">
        <v>0</v>
      </c>
      <c r="AT7" s="306" t="b">
        <v>0</v>
      </c>
      <c r="AU7" s="306" t="b">
        <v>0</v>
      </c>
      <c r="AV7" s="306" t="b">
        <v>0</v>
      </c>
      <c r="AW7" s="306" t="b">
        <v>0</v>
      </c>
      <c r="AX7" s="306" t="b">
        <v>0</v>
      </c>
      <c r="AY7" s="306" t="b">
        <v>0</v>
      </c>
      <c r="AZ7" s="306" t="b">
        <v>0</v>
      </c>
      <c r="BA7" s="306"/>
      <c r="BB7" s="306" t="b">
        <v>0</v>
      </c>
      <c r="BC7" s="306"/>
      <c r="BD7" s="306"/>
      <c r="BE7" s="306"/>
      <c r="BF7" s="306"/>
      <c r="BG7" s="306"/>
      <c r="BH7" s="306"/>
      <c r="BI7" s="306"/>
      <c r="BJ7" s="306"/>
      <c r="BK7" s="306"/>
      <c r="BL7" s="306"/>
      <c r="BM7" s="306"/>
      <c r="BN7" s="306"/>
      <c r="BO7" s="306"/>
      <c r="BP7" s="306"/>
      <c r="BQ7" s="306"/>
      <c r="BR7" s="306"/>
      <c r="BS7" s="306"/>
    </row>
    <row r="8">
      <c r="A8" s="306" t="s">
        <v>152</v>
      </c>
      <c r="B8" s="306" t="b">
        <v>1</v>
      </c>
      <c r="C8" s="306" t="b">
        <v>1</v>
      </c>
      <c r="D8" s="306" t="b">
        <v>1</v>
      </c>
      <c r="E8" s="306" t="b">
        <v>1</v>
      </c>
      <c r="F8" s="306" t="b">
        <v>1</v>
      </c>
      <c r="G8" s="306" t="b">
        <v>1</v>
      </c>
      <c r="H8" s="306" t="b">
        <v>1</v>
      </c>
      <c r="I8" s="306" t="b">
        <v>1</v>
      </c>
      <c r="J8" s="306" t="b">
        <v>1</v>
      </c>
      <c r="K8" s="306" t="b">
        <v>0</v>
      </c>
      <c r="L8" s="306" t="b">
        <v>0</v>
      </c>
      <c r="M8" s="306" t="b">
        <v>0</v>
      </c>
      <c r="N8" s="306" t="b">
        <v>0</v>
      </c>
      <c r="O8" s="306" t="b">
        <v>0</v>
      </c>
      <c r="P8" s="306" t="b">
        <v>0</v>
      </c>
      <c r="Q8" s="306" t="b">
        <v>0</v>
      </c>
      <c r="R8" s="306" t="b">
        <v>0</v>
      </c>
      <c r="S8" s="306" t="b">
        <v>0</v>
      </c>
      <c r="U8" s="306" t="b">
        <v>0</v>
      </c>
      <c r="V8" s="306" t="b">
        <v>0</v>
      </c>
      <c r="W8" s="306" t="b">
        <v>0</v>
      </c>
      <c r="X8" s="306" t="b">
        <v>0</v>
      </c>
      <c r="Y8" s="306" t="b">
        <v>0</v>
      </c>
      <c r="Z8" s="306" t="b">
        <v>0</v>
      </c>
      <c r="AA8" s="306" t="b">
        <v>0</v>
      </c>
      <c r="AB8" s="306" t="b">
        <v>0</v>
      </c>
      <c r="AC8" s="306" t="b">
        <v>0</v>
      </c>
      <c r="AD8" s="306" t="b">
        <v>0</v>
      </c>
      <c r="AE8" s="306" t="b">
        <v>0</v>
      </c>
      <c r="AF8" s="306" t="b">
        <v>0</v>
      </c>
      <c r="AG8" s="306" t="b">
        <v>0</v>
      </c>
      <c r="AH8" s="306" t="b">
        <v>0</v>
      </c>
      <c r="AI8" s="306" t="b">
        <v>0</v>
      </c>
      <c r="AJ8" s="306" t="b">
        <v>0</v>
      </c>
      <c r="AK8" s="306" t="b">
        <v>0</v>
      </c>
      <c r="AL8" s="306" t="b">
        <v>0</v>
      </c>
      <c r="AM8" s="306" t="b">
        <v>0</v>
      </c>
      <c r="AN8" s="306" t="b">
        <v>0</v>
      </c>
      <c r="AO8" s="306" t="b">
        <v>0</v>
      </c>
      <c r="AP8" s="306" t="b">
        <v>0</v>
      </c>
      <c r="AQ8" s="306" t="b">
        <v>0</v>
      </c>
      <c r="AR8" s="306" t="b">
        <v>0</v>
      </c>
      <c r="AS8" s="306" t="b">
        <v>0</v>
      </c>
      <c r="AT8" s="306" t="b">
        <v>0</v>
      </c>
      <c r="AU8" s="306" t="b">
        <v>0</v>
      </c>
      <c r="AV8" s="306" t="b">
        <v>0</v>
      </c>
      <c r="AW8" s="306" t="b">
        <v>0</v>
      </c>
      <c r="AX8" s="306" t="b">
        <v>0</v>
      </c>
      <c r="AY8" s="306" t="b">
        <v>0</v>
      </c>
      <c r="AZ8" s="306" t="b">
        <v>0</v>
      </c>
      <c r="BA8" s="306"/>
      <c r="BB8" s="306" t="b">
        <v>0</v>
      </c>
      <c r="BC8" s="306"/>
      <c r="BD8" s="306"/>
      <c r="BE8" s="306"/>
      <c r="BF8" s="306"/>
      <c r="BG8" s="306"/>
      <c r="BH8" s="306"/>
      <c r="BI8" s="306"/>
      <c r="BJ8" s="306"/>
      <c r="BK8" s="306"/>
      <c r="BL8" s="306"/>
      <c r="BM8" s="306"/>
      <c r="BN8" s="306"/>
      <c r="BO8" s="306"/>
      <c r="BP8" s="306"/>
      <c r="BQ8" s="306"/>
      <c r="BR8" s="306"/>
      <c r="BS8" s="306"/>
    </row>
    <row r="9">
      <c r="A9" s="306" t="s">
        <v>132</v>
      </c>
      <c r="B9" s="306" t="b">
        <v>0</v>
      </c>
      <c r="C9" s="306" t="b">
        <v>0</v>
      </c>
      <c r="D9" s="306" t="b">
        <v>1</v>
      </c>
      <c r="E9" s="306" t="b">
        <v>1</v>
      </c>
      <c r="F9" s="306" t="b">
        <v>1</v>
      </c>
      <c r="G9" s="306" t="b">
        <v>1</v>
      </c>
      <c r="H9" s="306" t="b">
        <v>0</v>
      </c>
      <c r="I9" s="306" t="b">
        <v>1</v>
      </c>
      <c r="J9" s="306" t="b">
        <v>1</v>
      </c>
      <c r="K9" s="306" t="b">
        <v>0</v>
      </c>
      <c r="L9" s="306" t="b">
        <v>0</v>
      </c>
      <c r="M9" s="306" t="b">
        <v>0</v>
      </c>
      <c r="N9" s="306" t="b">
        <v>0</v>
      </c>
      <c r="O9" s="306" t="b">
        <v>0</v>
      </c>
      <c r="P9" s="306" t="b">
        <v>0</v>
      </c>
      <c r="Q9" s="306" t="b">
        <v>0</v>
      </c>
      <c r="R9" s="306" t="b">
        <v>0</v>
      </c>
      <c r="S9" s="306" t="b">
        <v>0</v>
      </c>
      <c r="U9" s="306" t="b">
        <v>0</v>
      </c>
      <c r="V9" s="306" t="b">
        <v>0</v>
      </c>
      <c r="W9" s="306" t="b">
        <v>0</v>
      </c>
      <c r="X9" s="306" t="b">
        <v>0</v>
      </c>
      <c r="Y9" s="306" t="b">
        <v>0</v>
      </c>
      <c r="Z9" s="306" t="b">
        <v>0</v>
      </c>
      <c r="AA9" s="306" t="b">
        <v>0</v>
      </c>
      <c r="AB9" s="306" t="b">
        <v>0</v>
      </c>
      <c r="AC9" s="306" t="b">
        <v>0</v>
      </c>
      <c r="AD9" s="306" t="b">
        <v>0</v>
      </c>
      <c r="AE9" s="306" t="b">
        <v>0</v>
      </c>
      <c r="AF9" s="306" t="b">
        <v>0</v>
      </c>
      <c r="AG9" s="306" t="b">
        <v>0</v>
      </c>
      <c r="AH9" s="306" t="b">
        <v>0</v>
      </c>
      <c r="AI9" s="306" t="b">
        <v>0</v>
      </c>
      <c r="AJ9" s="306" t="b">
        <v>0</v>
      </c>
      <c r="AK9" s="306" t="b">
        <v>0</v>
      </c>
      <c r="AL9" s="306" t="b">
        <v>0</v>
      </c>
      <c r="AM9" s="306" t="b">
        <v>0</v>
      </c>
      <c r="AN9" s="306" t="b">
        <v>0</v>
      </c>
      <c r="AO9" s="306" t="b">
        <v>0</v>
      </c>
      <c r="AP9" s="306" t="b">
        <v>0</v>
      </c>
      <c r="AQ9" s="306" t="b">
        <v>0</v>
      </c>
      <c r="AR9" s="306" t="b">
        <v>0</v>
      </c>
      <c r="AS9" s="306" t="b">
        <v>0</v>
      </c>
      <c r="AT9" s="306" t="b">
        <v>0</v>
      </c>
      <c r="AU9" s="306" t="b">
        <v>0</v>
      </c>
      <c r="AV9" s="306" t="b">
        <v>0</v>
      </c>
      <c r="AW9" s="306" t="b">
        <v>0</v>
      </c>
      <c r="AX9" s="306" t="b">
        <v>0</v>
      </c>
      <c r="AY9" s="306" t="b">
        <v>0</v>
      </c>
      <c r="AZ9" s="306" t="b">
        <v>0</v>
      </c>
      <c r="BA9" s="306"/>
      <c r="BB9" s="306" t="b">
        <v>0</v>
      </c>
      <c r="BC9" s="306"/>
      <c r="BD9" s="306"/>
      <c r="BE9" s="306"/>
      <c r="BF9" s="306"/>
      <c r="BG9" s="306"/>
      <c r="BH9" s="306"/>
      <c r="BI9" s="306"/>
      <c r="BJ9" s="306"/>
      <c r="BK9" s="306"/>
      <c r="BL9" s="306"/>
      <c r="BM9" s="306"/>
      <c r="BN9" s="306"/>
      <c r="BO9" s="306"/>
      <c r="BP9" s="306"/>
      <c r="BQ9" s="306"/>
      <c r="BR9" s="306"/>
      <c r="BS9" s="306"/>
    </row>
    <row r="10">
      <c r="A10" s="306" t="s">
        <v>162</v>
      </c>
      <c r="B10" s="306" t="b">
        <v>0</v>
      </c>
      <c r="C10" s="306" t="b">
        <v>0</v>
      </c>
      <c r="D10" s="306" t="b">
        <v>0</v>
      </c>
      <c r="E10" s="306" t="b">
        <v>0</v>
      </c>
      <c r="F10" s="306" t="b">
        <v>0</v>
      </c>
      <c r="G10" s="306" t="b">
        <v>0</v>
      </c>
      <c r="H10" s="306" t="b">
        <v>0</v>
      </c>
      <c r="I10" s="306" t="b">
        <v>0</v>
      </c>
      <c r="J10" s="306" t="b">
        <v>0</v>
      </c>
      <c r="K10" s="306" t="b">
        <v>0</v>
      </c>
      <c r="L10" s="306" t="b">
        <v>0</v>
      </c>
      <c r="M10" s="306" t="b">
        <v>0</v>
      </c>
      <c r="N10" s="306" t="b">
        <v>0</v>
      </c>
      <c r="O10" s="306" t="b">
        <v>0</v>
      </c>
      <c r="P10" s="306" t="b">
        <v>0</v>
      </c>
      <c r="Q10" s="306" t="b">
        <v>0</v>
      </c>
      <c r="R10" s="306" t="b">
        <v>0</v>
      </c>
      <c r="S10" s="306" t="b">
        <v>0</v>
      </c>
      <c r="U10" s="306" t="b">
        <v>0</v>
      </c>
      <c r="V10" s="306" t="b">
        <v>0</v>
      </c>
      <c r="W10" s="306" t="b">
        <v>0</v>
      </c>
      <c r="X10" s="306" t="b">
        <v>0</v>
      </c>
      <c r="Y10" s="306" t="b">
        <v>0</v>
      </c>
      <c r="Z10" s="306" t="b">
        <v>0</v>
      </c>
      <c r="AA10" s="306" t="b">
        <v>0</v>
      </c>
      <c r="AB10" s="306" t="b">
        <v>0</v>
      </c>
      <c r="AC10" s="306" t="b">
        <v>0</v>
      </c>
      <c r="AD10" s="306" t="b">
        <v>0</v>
      </c>
      <c r="AE10" s="306" t="b">
        <v>0</v>
      </c>
      <c r="AF10" s="306" t="b">
        <v>0</v>
      </c>
      <c r="AG10" s="306" t="b">
        <v>0</v>
      </c>
      <c r="AH10" s="306" t="b">
        <v>0</v>
      </c>
      <c r="AI10" s="306" t="b">
        <v>0</v>
      </c>
      <c r="AJ10" s="306" t="b">
        <v>0</v>
      </c>
      <c r="AK10" s="306" t="b">
        <v>0</v>
      </c>
      <c r="AL10" s="306" t="b">
        <v>0</v>
      </c>
      <c r="AM10" s="306" t="b">
        <v>0</v>
      </c>
      <c r="AN10" s="306" t="b">
        <v>0</v>
      </c>
      <c r="AO10" s="306" t="b">
        <v>0</v>
      </c>
      <c r="AP10" s="306" t="b">
        <v>0</v>
      </c>
      <c r="AQ10" s="306" t="b">
        <v>0</v>
      </c>
      <c r="AR10" s="306" t="b">
        <v>0</v>
      </c>
      <c r="AS10" s="306" t="b">
        <v>0</v>
      </c>
      <c r="AT10" s="306" t="b">
        <v>0</v>
      </c>
      <c r="AU10" s="306" t="b">
        <v>0</v>
      </c>
      <c r="AV10" s="306" t="b">
        <v>0</v>
      </c>
      <c r="AW10" s="306" t="b">
        <v>0</v>
      </c>
      <c r="AX10" s="306" t="b">
        <v>0</v>
      </c>
      <c r="AY10" s="306" t="b">
        <v>0</v>
      </c>
      <c r="AZ10" s="306" t="b">
        <v>0</v>
      </c>
      <c r="BA10" s="306"/>
      <c r="BB10" s="306" t="b">
        <v>0</v>
      </c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6"/>
      <c r="BP10" s="306"/>
      <c r="BQ10" s="306"/>
      <c r="BR10" s="306"/>
      <c r="BS10" s="306"/>
    </row>
    <row r="11">
      <c r="A11" s="306" t="s">
        <v>171</v>
      </c>
      <c r="B11" s="306" t="b">
        <v>0</v>
      </c>
      <c r="C11" s="306" t="b">
        <v>0</v>
      </c>
      <c r="D11" s="306" t="b">
        <v>0</v>
      </c>
      <c r="E11" s="306" t="b">
        <v>0</v>
      </c>
      <c r="F11" s="306" t="b">
        <v>0</v>
      </c>
      <c r="G11" s="306" t="b">
        <v>0</v>
      </c>
      <c r="H11" s="306" t="b">
        <v>0</v>
      </c>
      <c r="I11" s="306" t="b">
        <v>0</v>
      </c>
      <c r="J11" s="306" t="b">
        <v>0</v>
      </c>
      <c r="K11" s="306" t="b">
        <v>0</v>
      </c>
      <c r="L11" s="306" t="b">
        <v>0</v>
      </c>
      <c r="M11" s="306" t="b">
        <v>0</v>
      </c>
      <c r="N11" s="306" t="b">
        <v>0</v>
      </c>
      <c r="O11" s="306" t="b">
        <v>0</v>
      </c>
      <c r="P11" s="306" t="b">
        <v>0</v>
      </c>
      <c r="Q11" s="306" t="b">
        <v>0</v>
      </c>
      <c r="R11" s="306" t="b">
        <v>0</v>
      </c>
      <c r="S11" s="306" t="b">
        <v>0</v>
      </c>
      <c r="U11" s="306" t="b">
        <v>0</v>
      </c>
      <c r="V11" s="306" t="b">
        <v>0</v>
      </c>
      <c r="W11" s="306" t="b">
        <v>0</v>
      </c>
      <c r="X11" s="306" t="b">
        <v>0</v>
      </c>
      <c r="Y11" s="306" t="b">
        <v>0</v>
      </c>
      <c r="Z11" s="306" t="b">
        <v>0</v>
      </c>
      <c r="AA11" s="306" t="b">
        <v>0</v>
      </c>
      <c r="AB11" s="306" t="b">
        <v>0</v>
      </c>
      <c r="AC11" s="306" t="b">
        <v>0</v>
      </c>
      <c r="AD11" s="306" t="b">
        <v>0</v>
      </c>
      <c r="AE11" s="306" t="b">
        <v>0</v>
      </c>
      <c r="AF11" s="306" t="b">
        <v>0</v>
      </c>
      <c r="AG11" s="306" t="b">
        <v>0</v>
      </c>
      <c r="AH11" s="306" t="b">
        <v>0</v>
      </c>
      <c r="AI11" s="306" t="b">
        <v>0</v>
      </c>
      <c r="AJ11" s="306" t="b">
        <v>0</v>
      </c>
      <c r="AK11" s="306" t="b">
        <v>0</v>
      </c>
      <c r="AL11" s="306" t="b">
        <v>0</v>
      </c>
      <c r="AM11" s="306" t="b">
        <v>0</v>
      </c>
      <c r="AN11" s="306" t="b">
        <v>0</v>
      </c>
      <c r="AO11" s="306" t="b">
        <v>0</v>
      </c>
      <c r="AP11" s="306" t="b">
        <v>0</v>
      </c>
      <c r="AQ11" s="306" t="b">
        <v>0</v>
      </c>
      <c r="AR11" s="306" t="b">
        <v>0</v>
      </c>
      <c r="AS11" s="306" t="b">
        <v>0</v>
      </c>
      <c r="AT11" s="306" t="b">
        <v>0</v>
      </c>
      <c r="AU11" s="306" t="b">
        <v>0</v>
      </c>
      <c r="AV11" s="306" t="b">
        <v>0</v>
      </c>
      <c r="AW11" s="306" t="b">
        <v>0</v>
      </c>
      <c r="AX11" s="306" t="b">
        <v>0</v>
      </c>
      <c r="AY11" s="306" t="b">
        <v>0</v>
      </c>
      <c r="AZ11" s="306" t="b">
        <v>0</v>
      </c>
      <c r="BA11" s="306"/>
      <c r="BB11" s="306" t="b">
        <v>0</v>
      </c>
      <c r="BC11" s="306"/>
      <c r="BD11" s="306"/>
      <c r="BE11" s="306"/>
      <c r="BF11" s="306"/>
      <c r="BG11" s="306"/>
      <c r="BH11" s="306"/>
      <c r="BI11" s="306"/>
      <c r="BJ11" s="306"/>
      <c r="BK11" s="306"/>
      <c r="BL11" s="306"/>
      <c r="BM11" s="306"/>
      <c r="BN11" s="306"/>
      <c r="BO11" s="306"/>
      <c r="BP11" s="306"/>
      <c r="BQ11" s="306"/>
      <c r="BR11" s="306"/>
      <c r="BS11" s="306"/>
    </row>
    <row r="12">
      <c r="A12" s="306" t="s">
        <v>179</v>
      </c>
      <c r="B12" s="306" t="b">
        <v>0</v>
      </c>
      <c r="C12" s="306" t="b">
        <v>0</v>
      </c>
      <c r="D12" s="306" t="b">
        <v>0</v>
      </c>
      <c r="E12" s="306" t="b">
        <v>0</v>
      </c>
      <c r="F12" s="306" t="b">
        <v>0</v>
      </c>
      <c r="G12" s="306" t="b">
        <v>0</v>
      </c>
      <c r="H12" s="306" t="b">
        <v>0</v>
      </c>
      <c r="I12" s="306" t="b">
        <v>0</v>
      </c>
      <c r="J12" s="306" t="b">
        <v>0</v>
      </c>
      <c r="K12" s="306" t="b">
        <v>0</v>
      </c>
      <c r="L12" s="306" t="b">
        <v>0</v>
      </c>
      <c r="M12" s="306" t="b">
        <v>0</v>
      </c>
      <c r="N12" s="306" t="b">
        <v>0</v>
      </c>
      <c r="O12" s="306" t="b">
        <v>0</v>
      </c>
      <c r="P12" s="306" t="b">
        <v>0</v>
      </c>
      <c r="Q12" s="306" t="b">
        <v>0</v>
      </c>
      <c r="R12" s="306" t="b">
        <v>0</v>
      </c>
      <c r="S12" s="306" t="b">
        <v>0</v>
      </c>
      <c r="U12" s="306" t="b">
        <v>0</v>
      </c>
      <c r="V12" s="306" t="b">
        <v>0</v>
      </c>
      <c r="W12" s="306" t="b">
        <v>0</v>
      </c>
      <c r="X12" s="306" t="b">
        <v>0</v>
      </c>
      <c r="Y12" s="306" t="b">
        <v>0</v>
      </c>
      <c r="Z12" s="306" t="b">
        <v>0</v>
      </c>
      <c r="AA12" s="306" t="b">
        <v>0</v>
      </c>
      <c r="AB12" s="306" t="b">
        <v>0</v>
      </c>
      <c r="AC12" s="306" t="b">
        <v>0</v>
      </c>
      <c r="AD12" s="306" t="b">
        <v>0</v>
      </c>
      <c r="AE12" s="306" t="b">
        <v>0</v>
      </c>
      <c r="AF12" s="306" t="b">
        <v>0</v>
      </c>
      <c r="AG12" s="306" t="b">
        <v>0</v>
      </c>
      <c r="AH12" s="306" t="b">
        <v>0</v>
      </c>
      <c r="AI12" s="306" t="b">
        <v>0</v>
      </c>
      <c r="AJ12" s="306" t="b">
        <v>0</v>
      </c>
      <c r="AK12" s="306" t="b">
        <v>0</v>
      </c>
      <c r="AL12" s="306" t="b">
        <v>0</v>
      </c>
      <c r="AM12" s="306" t="b">
        <v>0</v>
      </c>
      <c r="AN12" s="306" t="b">
        <v>0</v>
      </c>
      <c r="AO12" s="306" t="b">
        <v>0</v>
      </c>
      <c r="AP12" s="306" t="b">
        <v>0</v>
      </c>
      <c r="AQ12" s="306" t="b">
        <v>0</v>
      </c>
      <c r="AR12" s="306" t="b">
        <v>0</v>
      </c>
      <c r="AS12" s="306" t="b">
        <v>0</v>
      </c>
      <c r="AT12" s="306" t="b">
        <v>0</v>
      </c>
      <c r="AU12" s="306" t="b">
        <v>0</v>
      </c>
      <c r="AV12" s="306" t="b">
        <v>0</v>
      </c>
      <c r="AW12" s="306" t="b">
        <v>0</v>
      </c>
      <c r="AX12" s="306" t="b">
        <v>0</v>
      </c>
      <c r="AY12" s="306" t="b">
        <v>0</v>
      </c>
      <c r="AZ12" s="306" t="b">
        <v>0</v>
      </c>
      <c r="BA12" s="306"/>
      <c r="BB12" s="306" t="b">
        <v>0</v>
      </c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</row>
    <row r="13">
      <c r="A13" s="306" t="s">
        <v>186</v>
      </c>
      <c r="B13" s="306" t="b">
        <v>0</v>
      </c>
      <c r="C13" s="306" t="b">
        <v>0</v>
      </c>
      <c r="D13" s="306" t="b">
        <v>0</v>
      </c>
      <c r="E13" s="306" t="b">
        <v>0</v>
      </c>
      <c r="F13" s="306" t="b">
        <v>0</v>
      </c>
      <c r="G13" s="306" t="b">
        <v>0</v>
      </c>
      <c r="H13" s="306" t="b">
        <v>0</v>
      </c>
      <c r="I13" s="306" t="b">
        <v>0</v>
      </c>
      <c r="J13" s="306" t="b">
        <v>0</v>
      </c>
      <c r="K13" s="306" t="b">
        <v>0</v>
      </c>
      <c r="L13" s="306" t="b">
        <v>0</v>
      </c>
      <c r="M13" s="306" t="b">
        <v>0</v>
      </c>
      <c r="N13" s="306" t="b">
        <v>0</v>
      </c>
      <c r="O13" s="306" t="b">
        <v>0</v>
      </c>
      <c r="P13" s="306" t="b">
        <v>0</v>
      </c>
      <c r="Q13" s="306" t="b">
        <v>0</v>
      </c>
      <c r="R13" s="306" t="b">
        <v>0</v>
      </c>
      <c r="S13" s="306" t="b">
        <v>0</v>
      </c>
      <c r="U13" s="306" t="b">
        <v>0</v>
      </c>
      <c r="V13" s="306" t="b">
        <v>0</v>
      </c>
      <c r="W13" s="306" t="b">
        <v>0</v>
      </c>
      <c r="X13" s="306" t="b">
        <v>0</v>
      </c>
      <c r="Y13" s="306" t="b">
        <v>0</v>
      </c>
      <c r="Z13" s="306" t="b">
        <v>0</v>
      </c>
      <c r="AA13" s="306" t="b">
        <v>0</v>
      </c>
      <c r="AB13" s="306" t="b">
        <v>0</v>
      </c>
      <c r="AC13" s="306" t="b">
        <v>0</v>
      </c>
      <c r="AD13" s="306" t="b">
        <v>0</v>
      </c>
      <c r="AE13" s="306" t="b">
        <v>0</v>
      </c>
      <c r="AF13" s="306" t="b">
        <v>0</v>
      </c>
      <c r="AG13" s="306" t="b">
        <v>0</v>
      </c>
      <c r="AH13" s="306" t="b">
        <v>0</v>
      </c>
      <c r="AI13" s="306" t="b">
        <v>0</v>
      </c>
      <c r="AJ13" s="306" t="b">
        <v>0</v>
      </c>
      <c r="AK13" s="306" t="b">
        <v>0</v>
      </c>
      <c r="AL13" s="306" t="b">
        <v>0</v>
      </c>
      <c r="AM13" s="306" t="b">
        <v>0</v>
      </c>
      <c r="AN13" s="306" t="b">
        <v>0</v>
      </c>
      <c r="AO13" s="306" t="b">
        <v>0</v>
      </c>
      <c r="AP13" s="306" t="b">
        <v>0</v>
      </c>
      <c r="AQ13" s="306" t="b">
        <v>0</v>
      </c>
      <c r="AR13" s="306" t="b">
        <v>0</v>
      </c>
      <c r="AS13" s="306" t="b">
        <v>0</v>
      </c>
      <c r="AT13" s="306" t="b">
        <v>0</v>
      </c>
      <c r="AU13" s="306" t="b">
        <v>0</v>
      </c>
      <c r="AV13" s="306" t="b">
        <v>0</v>
      </c>
      <c r="AW13" s="306" t="b">
        <v>0</v>
      </c>
      <c r="AX13" s="306" t="b">
        <v>0</v>
      </c>
      <c r="AY13" s="306" t="b">
        <v>0</v>
      </c>
      <c r="AZ13" s="306" t="b">
        <v>0</v>
      </c>
      <c r="BA13" s="306"/>
      <c r="BB13" s="306" t="b">
        <v>0</v>
      </c>
      <c r="BC13" s="306"/>
      <c r="BD13" s="306"/>
      <c r="BE13" s="306"/>
      <c r="BF13" s="306"/>
      <c r="BG13" s="306"/>
      <c r="BH13" s="306"/>
      <c r="BI13" s="306"/>
      <c r="BJ13" s="306"/>
      <c r="BK13" s="306"/>
      <c r="BL13" s="306"/>
      <c r="BM13" s="306"/>
      <c r="BN13" s="306"/>
      <c r="BO13" s="306"/>
      <c r="BP13" s="306"/>
      <c r="BQ13" s="306"/>
      <c r="BR13" s="306"/>
      <c r="BS13" s="306"/>
    </row>
    <row r="14">
      <c r="A14" s="306" t="s">
        <v>192</v>
      </c>
      <c r="B14" s="306" t="b">
        <v>0</v>
      </c>
      <c r="C14" s="306" t="b">
        <v>0</v>
      </c>
      <c r="D14" s="306" t="b">
        <v>0</v>
      </c>
      <c r="E14" s="306" t="b">
        <v>0</v>
      </c>
      <c r="F14" s="306" t="b">
        <v>0</v>
      </c>
      <c r="G14" s="306" t="b">
        <v>0</v>
      </c>
      <c r="H14" s="306" t="b">
        <v>0</v>
      </c>
      <c r="I14" s="306" t="b">
        <v>0</v>
      </c>
      <c r="J14" s="306" t="b">
        <v>0</v>
      </c>
      <c r="K14" s="306" t="b">
        <v>0</v>
      </c>
      <c r="L14" s="306" t="b">
        <v>0</v>
      </c>
      <c r="M14" s="306" t="b">
        <v>0</v>
      </c>
      <c r="N14" s="306" t="b">
        <v>0</v>
      </c>
      <c r="O14" s="306" t="b">
        <v>0</v>
      </c>
      <c r="P14" s="306" t="b">
        <v>0</v>
      </c>
      <c r="Q14" s="306" t="b">
        <v>0</v>
      </c>
      <c r="R14" s="306" t="b">
        <v>0</v>
      </c>
      <c r="S14" s="306" t="b">
        <v>0</v>
      </c>
      <c r="U14" s="306" t="b">
        <v>0</v>
      </c>
      <c r="V14" s="306" t="b">
        <v>0</v>
      </c>
      <c r="W14" s="306" t="b">
        <v>0</v>
      </c>
      <c r="X14" s="306" t="b">
        <v>0</v>
      </c>
      <c r="Y14" s="306" t="b">
        <v>0</v>
      </c>
      <c r="Z14" s="306" t="b">
        <v>0</v>
      </c>
      <c r="AA14" s="306" t="b">
        <v>0</v>
      </c>
      <c r="AB14" s="306" t="b">
        <v>0</v>
      </c>
      <c r="AC14" s="306" t="b">
        <v>0</v>
      </c>
      <c r="AD14" s="306" t="b">
        <v>0</v>
      </c>
      <c r="AE14" s="306" t="b">
        <v>0</v>
      </c>
      <c r="AF14" s="306" t="b">
        <v>0</v>
      </c>
      <c r="AG14" s="306" t="b">
        <v>0</v>
      </c>
      <c r="AH14" s="306" t="b">
        <v>0</v>
      </c>
      <c r="AI14" s="306" t="b">
        <v>0</v>
      </c>
      <c r="AJ14" s="306" t="b">
        <v>0</v>
      </c>
      <c r="AK14" s="306" t="b">
        <v>0</v>
      </c>
      <c r="AL14" s="306" t="b">
        <v>0</v>
      </c>
      <c r="AM14" s="306" t="b">
        <v>0</v>
      </c>
      <c r="AN14" s="306" t="b">
        <v>0</v>
      </c>
      <c r="AO14" s="306" t="b">
        <v>0</v>
      </c>
      <c r="AP14" s="306" t="b">
        <v>0</v>
      </c>
      <c r="AQ14" s="306" t="b">
        <v>0</v>
      </c>
      <c r="AR14" s="306" t="b">
        <v>0</v>
      </c>
      <c r="AS14" s="306" t="b">
        <v>0</v>
      </c>
      <c r="AT14" s="306" t="b">
        <v>0</v>
      </c>
      <c r="AU14" s="306" t="b">
        <v>0</v>
      </c>
      <c r="AV14" s="306" t="b">
        <v>0</v>
      </c>
      <c r="AW14" s="306" t="b">
        <v>0</v>
      </c>
      <c r="AX14" s="306" t="b">
        <v>0</v>
      </c>
      <c r="AY14" s="306" t="b">
        <v>0</v>
      </c>
      <c r="AZ14" s="306" t="b">
        <v>0</v>
      </c>
      <c r="BA14" s="306"/>
      <c r="BB14" s="306" t="b">
        <v>0</v>
      </c>
      <c r="BC14" s="306"/>
      <c r="BD14" s="306"/>
      <c r="BE14" s="306"/>
      <c r="BF14" s="306"/>
      <c r="BG14" s="306"/>
      <c r="BH14" s="306"/>
      <c r="BI14" s="306"/>
      <c r="BJ14" s="306"/>
      <c r="BK14" s="306"/>
      <c r="BL14" s="306"/>
      <c r="BM14" s="306"/>
      <c r="BN14" s="306"/>
      <c r="BO14" s="306"/>
      <c r="BP14" s="306"/>
      <c r="BQ14" s="306"/>
      <c r="BR14" s="306"/>
      <c r="BS14" s="306"/>
    </row>
    <row r="15">
      <c r="A15" s="306" t="s">
        <v>198</v>
      </c>
      <c r="B15" s="306" t="b">
        <v>0</v>
      </c>
      <c r="C15" s="306" t="b">
        <v>0</v>
      </c>
      <c r="D15" s="306" t="b">
        <v>0</v>
      </c>
      <c r="E15" s="306" t="b">
        <v>0</v>
      </c>
      <c r="F15" s="306" t="b">
        <v>0</v>
      </c>
      <c r="G15" s="306" t="b">
        <v>0</v>
      </c>
      <c r="H15" s="306" t="b">
        <v>0</v>
      </c>
      <c r="I15" s="306" t="b">
        <v>0</v>
      </c>
      <c r="J15" s="306" t="b">
        <v>0</v>
      </c>
      <c r="K15" s="306" t="b">
        <v>0</v>
      </c>
      <c r="L15" s="306" t="b">
        <v>0</v>
      </c>
      <c r="M15" s="306" t="b">
        <v>0</v>
      </c>
      <c r="N15" s="306" t="b">
        <v>0</v>
      </c>
      <c r="O15" s="306" t="b">
        <v>0</v>
      </c>
      <c r="P15" s="306" t="b">
        <v>0</v>
      </c>
      <c r="Q15" s="306" t="b">
        <v>0</v>
      </c>
      <c r="R15" s="306" t="b">
        <v>0</v>
      </c>
      <c r="S15" s="306" t="b">
        <v>0</v>
      </c>
      <c r="U15" s="306" t="b">
        <v>0</v>
      </c>
      <c r="V15" s="306" t="b">
        <v>0</v>
      </c>
      <c r="W15" s="306" t="b">
        <v>0</v>
      </c>
      <c r="X15" s="306" t="b">
        <v>0</v>
      </c>
      <c r="Y15" s="306" t="b">
        <v>0</v>
      </c>
      <c r="Z15" s="306" t="b">
        <v>0</v>
      </c>
      <c r="AA15" s="306" t="b">
        <v>0</v>
      </c>
      <c r="AB15" s="306" t="b">
        <v>0</v>
      </c>
      <c r="AC15" s="306" t="b">
        <v>0</v>
      </c>
      <c r="AD15" s="306" t="b">
        <v>0</v>
      </c>
      <c r="AE15" s="306" t="b">
        <v>0</v>
      </c>
      <c r="AF15" s="306" t="b">
        <v>0</v>
      </c>
      <c r="AG15" s="306" t="b">
        <v>0</v>
      </c>
      <c r="AH15" s="306" t="b">
        <v>0</v>
      </c>
      <c r="AI15" s="306" t="b">
        <v>0</v>
      </c>
      <c r="AJ15" s="306" t="b">
        <v>0</v>
      </c>
      <c r="AK15" s="306" t="b">
        <v>0</v>
      </c>
      <c r="AL15" s="306" t="b">
        <v>0</v>
      </c>
      <c r="AM15" s="306" t="b">
        <v>0</v>
      </c>
      <c r="AN15" s="306" t="b">
        <v>0</v>
      </c>
      <c r="AO15" s="306" t="b">
        <v>0</v>
      </c>
      <c r="AP15" s="306" t="b">
        <v>0</v>
      </c>
      <c r="AQ15" s="306" t="b">
        <v>0</v>
      </c>
      <c r="AR15" s="306" t="b">
        <v>0</v>
      </c>
      <c r="AS15" s="306" t="b">
        <v>0</v>
      </c>
      <c r="AT15" s="306" t="b">
        <v>0</v>
      </c>
      <c r="AU15" s="306" t="b">
        <v>0</v>
      </c>
      <c r="AV15" s="306" t="b">
        <v>0</v>
      </c>
      <c r="AW15" s="306" t="b">
        <v>0</v>
      </c>
      <c r="AX15" s="306" t="b">
        <v>0</v>
      </c>
      <c r="AY15" s="306" t="b">
        <v>0</v>
      </c>
      <c r="AZ15" s="306" t="b">
        <v>0</v>
      </c>
      <c r="BA15" s="306"/>
      <c r="BB15" s="306" t="b">
        <v>0</v>
      </c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</row>
    <row r="16">
      <c r="A16" s="306" t="s">
        <v>206</v>
      </c>
      <c r="B16" s="306" t="b">
        <v>1</v>
      </c>
      <c r="C16" s="306" t="b">
        <v>1</v>
      </c>
      <c r="D16" s="306" t="b">
        <v>0</v>
      </c>
      <c r="E16" s="306" t="b">
        <v>0</v>
      </c>
      <c r="F16" s="306" t="b">
        <v>0</v>
      </c>
      <c r="G16" s="306" t="b">
        <v>0</v>
      </c>
      <c r="H16" s="306" t="b">
        <v>0</v>
      </c>
      <c r="I16" s="306" t="b">
        <v>0</v>
      </c>
      <c r="J16" s="306" t="b">
        <v>0</v>
      </c>
      <c r="K16" s="306" t="b">
        <v>0</v>
      </c>
      <c r="L16" s="306" t="b">
        <v>0</v>
      </c>
      <c r="M16" s="306" t="b">
        <v>0</v>
      </c>
      <c r="N16" s="306" t="b">
        <v>0</v>
      </c>
      <c r="O16" s="306" t="b">
        <v>0</v>
      </c>
      <c r="P16" s="306" t="b">
        <v>0</v>
      </c>
      <c r="Q16" s="306" t="b">
        <v>0</v>
      </c>
      <c r="R16" s="306" t="b">
        <v>0</v>
      </c>
      <c r="S16" s="306" t="b">
        <v>0</v>
      </c>
      <c r="U16" s="306" t="b">
        <v>0</v>
      </c>
      <c r="V16" s="306" t="b">
        <v>0</v>
      </c>
      <c r="W16" s="306" t="b">
        <v>0</v>
      </c>
      <c r="X16" s="306" t="b">
        <v>0</v>
      </c>
      <c r="Y16" s="306" t="b">
        <v>0</v>
      </c>
      <c r="Z16" s="306" t="b">
        <v>0</v>
      </c>
      <c r="AA16" s="306" t="b">
        <v>0</v>
      </c>
      <c r="AB16" s="306" t="b">
        <v>0</v>
      </c>
      <c r="AC16" s="306" t="b">
        <v>0</v>
      </c>
      <c r="AD16" s="306" t="b">
        <v>0</v>
      </c>
      <c r="AE16" s="306" t="b">
        <v>0</v>
      </c>
      <c r="AF16" s="306" t="b">
        <v>0</v>
      </c>
      <c r="AG16" s="306" t="b">
        <v>0</v>
      </c>
      <c r="AH16" s="306" t="b">
        <v>0</v>
      </c>
      <c r="AI16" s="306" t="b">
        <v>0</v>
      </c>
      <c r="AJ16" s="306" t="b">
        <v>0</v>
      </c>
      <c r="AK16" s="306" t="b">
        <v>0</v>
      </c>
      <c r="AL16" s="306" t="b">
        <v>0</v>
      </c>
      <c r="AM16" s="306" t="b">
        <v>0</v>
      </c>
      <c r="AN16" s="306" t="b">
        <v>0</v>
      </c>
      <c r="AO16" s="306" t="b">
        <v>0</v>
      </c>
      <c r="AP16" s="306" t="b">
        <v>0</v>
      </c>
      <c r="AQ16" s="306" t="b">
        <v>0</v>
      </c>
      <c r="AR16" s="306" t="b">
        <v>0</v>
      </c>
      <c r="AS16" s="306" t="b">
        <v>0</v>
      </c>
      <c r="AT16" s="306" t="b">
        <v>0</v>
      </c>
      <c r="AU16" s="306" t="b">
        <v>0</v>
      </c>
      <c r="AV16" s="306" t="b">
        <v>0</v>
      </c>
      <c r="AW16" s="306" t="b">
        <v>0</v>
      </c>
      <c r="AX16" s="306" t="b">
        <v>0</v>
      </c>
      <c r="AY16" s="306" t="b">
        <v>0</v>
      </c>
      <c r="AZ16" s="306" t="b">
        <v>0</v>
      </c>
      <c r="BA16" s="306"/>
      <c r="BB16" s="306" t="b">
        <v>0</v>
      </c>
      <c r="BC16" s="306"/>
      <c r="BD16" s="306"/>
      <c r="BE16" s="306"/>
      <c r="BF16" s="306"/>
      <c r="BG16" s="306"/>
      <c r="BH16" s="306"/>
      <c r="BI16" s="306"/>
      <c r="BJ16" s="306"/>
      <c r="BK16" s="306"/>
      <c r="BL16" s="306"/>
      <c r="BM16" s="306"/>
      <c r="BN16" s="306"/>
      <c r="BO16" s="306"/>
      <c r="BP16" s="306"/>
      <c r="BQ16" s="306"/>
      <c r="BR16" s="306"/>
      <c r="BS16" s="306"/>
    </row>
    <row r="17">
      <c r="A17" s="306" t="s">
        <v>216</v>
      </c>
      <c r="B17" s="306" t="b">
        <v>0</v>
      </c>
      <c r="C17" s="306" t="b">
        <v>0</v>
      </c>
      <c r="D17" s="306" t="b">
        <v>0</v>
      </c>
      <c r="E17" s="306" t="b">
        <v>0</v>
      </c>
      <c r="F17" s="306" t="b">
        <v>0</v>
      </c>
      <c r="G17" s="306" t="b">
        <v>0</v>
      </c>
      <c r="H17" s="306" t="b">
        <v>0</v>
      </c>
      <c r="I17" s="306" t="b">
        <v>0</v>
      </c>
      <c r="J17" s="306" t="b">
        <v>0</v>
      </c>
      <c r="K17" s="306" t="b">
        <v>0</v>
      </c>
      <c r="L17" s="306" t="b">
        <v>0</v>
      </c>
      <c r="M17" s="306" t="b">
        <v>0</v>
      </c>
      <c r="N17" s="306" t="b">
        <v>0</v>
      </c>
      <c r="O17" s="306" t="b">
        <v>0</v>
      </c>
      <c r="P17" s="306" t="b">
        <v>0</v>
      </c>
      <c r="Q17" s="306" t="b">
        <v>0</v>
      </c>
      <c r="R17" s="306" t="b">
        <v>0</v>
      </c>
      <c r="S17" s="306" t="b">
        <v>0</v>
      </c>
      <c r="U17" s="306" t="b">
        <v>0</v>
      </c>
      <c r="V17" s="306" t="b">
        <v>0</v>
      </c>
      <c r="W17" s="306" t="b">
        <v>0</v>
      </c>
      <c r="X17" s="306" t="b">
        <v>0</v>
      </c>
      <c r="Y17" s="306" t="b">
        <v>0</v>
      </c>
      <c r="Z17" s="306" t="b">
        <v>0</v>
      </c>
      <c r="AA17" s="306" t="b">
        <v>0</v>
      </c>
      <c r="AB17" s="306" t="b">
        <v>0</v>
      </c>
      <c r="AC17" s="306" t="b">
        <v>0</v>
      </c>
      <c r="AD17" s="306" t="b">
        <v>0</v>
      </c>
      <c r="AE17" s="306" t="b">
        <v>0</v>
      </c>
      <c r="AF17" s="306" t="b">
        <v>0</v>
      </c>
      <c r="AG17" s="306" t="b">
        <v>0</v>
      </c>
      <c r="AH17" s="306" t="b">
        <v>0</v>
      </c>
      <c r="AI17" s="306" t="b">
        <v>0</v>
      </c>
      <c r="AJ17" s="306" t="b">
        <v>0</v>
      </c>
      <c r="AK17" s="306" t="b">
        <v>0</v>
      </c>
      <c r="AL17" s="306" t="b">
        <v>0</v>
      </c>
      <c r="AM17" s="306" t="b">
        <v>0</v>
      </c>
      <c r="AN17" s="306" t="b">
        <v>0</v>
      </c>
      <c r="AO17" s="306" t="b">
        <v>0</v>
      </c>
      <c r="AP17" s="306" t="b">
        <v>0</v>
      </c>
      <c r="AQ17" s="306" t="b">
        <v>0</v>
      </c>
      <c r="AR17" s="306" t="b">
        <v>0</v>
      </c>
      <c r="AS17" s="306" t="b">
        <v>0</v>
      </c>
      <c r="AT17" s="306" t="b">
        <v>0</v>
      </c>
      <c r="AU17" s="306" t="b">
        <v>0</v>
      </c>
      <c r="AV17" s="306" t="b">
        <v>0</v>
      </c>
      <c r="AW17" s="306" t="b">
        <v>0</v>
      </c>
      <c r="AX17" s="306" t="b">
        <v>0</v>
      </c>
      <c r="AY17" s="306" t="b">
        <v>0</v>
      </c>
      <c r="AZ17" s="306" t="b">
        <v>0</v>
      </c>
      <c r="BA17" s="306"/>
      <c r="BB17" s="306" t="b">
        <v>0</v>
      </c>
      <c r="BC17" s="306"/>
      <c r="BD17" s="306"/>
      <c r="BE17" s="306"/>
      <c r="BF17" s="306"/>
      <c r="BG17" s="306"/>
      <c r="BH17" s="306"/>
      <c r="BI17" s="306"/>
      <c r="BJ17" s="306"/>
      <c r="BK17" s="306"/>
      <c r="BL17" s="306"/>
      <c r="BM17" s="306"/>
      <c r="BN17" s="306"/>
      <c r="BO17" s="306"/>
      <c r="BP17" s="306"/>
      <c r="BQ17" s="306"/>
      <c r="BR17" s="306"/>
      <c r="BS17" s="306"/>
    </row>
    <row r="18">
      <c r="A18" s="306" t="s">
        <v>225</v>
      </c>
      <c r="B18" s="306" t="b">
        <v>0</v>
      </c>
      <c r="C18" s="306" t="b">
        <v>0</v>
      </c>
      <c r="D18" s="306" t="b">
        <v>0</v>
      </c>
      <c r="E18" s="306" t="b">
        <v>0</v>
      </c>
      <c r="F18" s="306" t="b">
        <v>0</v>
      </c>
      <c r="G18" s="306" t="b">
        <v>0</v>
      </c>
      <c r="H18" s="306" t="b">
        <v>0</v>
      </c>
      <c r="I18" s="306" t="b">
        <v>0</v>
      </c>
      <c r="J18" s="306" t="b">
        <v>0</v>
      </c>
      <c r="K18" s="306" t="b">
        <v>0</v>
      </c>
      <c r="L18" s="306" t="b">
        <v>0</v>
      </c>
      <c r="M18" s="306" t="b">
        <v>0</v>
      </c>
      <c r="N18" s="306" t="b">
        <v>0</v>
      </c>
      <c r="O18" s="306" t="b">
        <v>0</v>
      </c>
      <c r="P18" s="306" t="b">
        <v>0</v>
      </c>
      <c r="Q18" s="306" t="b">
        <v>0</v>
      </c>
      <c r="R18" s="306" t="b">
        <v>0</v>
      </c>
      <c r="S18" s="306" t="b">
        <v>0</v>
      </c>
      <c r="U18" s="306" t="b">
        <v>0</v>
      </c>
      <c r="V18" s="306" t="b">
        <v>0</v>
      </c>
      <c r="W18" s="306" t="b">
        <v>0</v>
      </c>
      <c r="X18" s="306" t="b">
        <v>0</v>
      </c>
      <c r="Y18" s="306" t="b">
        <v>0</v>
      </c>
      <c r="Z18" s="306" t="b">
        <v>0</v>
      </c>
      <c r="AA18" s="306" t="b">
        <v>0</v>
      </c>
      <c r="AB18" s="306" t="b">
        <v>0</v>
      </c>
      <c r="AC18" s="306" t="b">
        <v>0</v>
      </c>
      <c r="AD18" s="306" t="b">
        <v>0</v>
      </c>
      <c r="AE18" s="306" t="b">
        <v>0</v>
      </c>
      <c r="AF18" s="306" t="b">
        <v>0</v>
      </c>
      <c r="AG18" s="306" t="b">
        <v>0</v>
      </c>
      <c r="AH18" s="306" t="b">
        <v>0</v>
      </c>
      <c r="AI18" s="306" t="b">
        <v>0</v>
      </c>
      <c r="AJ18" s="306" t="b">
        <v>0</v>
      </c>
      <c r="AK18" s="306" t="b">
        <v>0</v>
      </c>
      <c r="AL18" s="306" t="b">
        <v>0</v>
      </c>
      <c r="AM18" s="306" t="b">
        <v>0</v>
      </c>
      <c r="AN18" s="306" t="b">
        <v>0</v>
      </c>
      <c r="AO18" s="306" t="b">
        <v>0</v>
      </c>
      <c r="AP18" s="306" t="b">
        <v>0</v>
      </c>
      <c r="AQ18" s="306" t="b">
        <v>0</v>
      </c>
      <c r="AR18" s="306" t="b">
        <v>0</v>
      </c>
      <c r="AS18" s="306" t="b">
        <v>0</v>
      </c>
      <c r="AT18" s="306" t="b">
        <v>0</v>
      </c>
      <c r="AU18" s="306" t="b">
        <v>0</v>
      </c>
      <c r="AV18" s="306" t="b">
        <v>0</v>
      </c>
      <c r="AW18" s="306" t="b">
        <v>0</v>
      </c>
      <c r="AX18" s="306" t="b">
        <v>0</v>
      </c>
      <c r="AY18" s="306" t="b">
        <v>0</v>
      </c>
      <c r="AZ18" s="306" t="b">
        <v>0</v>
      </c>
      <c r="BA18" s="306"/>
      <c r="BB18" s="306" t="b">
        <v>0</v>
      </c>
      <c r="BC18" s="306"/>
      <c r="BD18" s="306"/>
      <c r="BE18" s="306"/>
      <c r="BF18" s="306"/>
      <c r="BG18" s="306"/>
      <c r="BH18" s="306"/>
      <c r="BI18" s="306"/>
      <c r="BJ18" s="306"/>
      <c r="BK18" s="306"/>
      <c r="BL18" s="306"/>
      <c r="BM18" s="306"/>
      <c r="BN18" s="306"/>
      <c r="BO18" s="306"/>
      <c r="BP18" s="306"/>
      <c r="BQ18" s="306"/>
      <c r="BR18" s="306"/>
      <c r="BS18" s="306"/>
    </row>
    <row r="19">
      <c r="A19" s="306" t="s">
        <v>233</v>
      </c>
      <c r="B19" s="306" t="b">
        <v>0</v>
      </c>
      <c r="C19" s="306" t="b">
        <v>0</v>
      </c>
      <c r="D19" s="306" t="b">
        <v>0</v>
      </c>
      <c r="E19" s="306" t="b">
        <v>0</v>
      </c>
      <c r="F19" s="306" t="b">
        <v>0</v>
      </c>
      <c r="G19" s="306" t="b">
        <v>0</v>
      </c>
      <c r="H19" s="306" t="b">
        <v>0</v>
      </c>
      <c r="I19" s="306" t="b">
        <v>0</v>
      </c>
      <c r="J19" s="306" t="b">
        <v>0</v>
      </c>
      <c r="K19" s="306" t="b">
        <v>0</v>
      </c>
      <c r="L19" s="306" t="b">
        <v>0</v>
      </c>
      <c r="M19" s="306" t="b">
        <v>0</v>
      </c>
      <c r="N19" s="306" t="b">
        <v>0</v>
      </c>
      <c r="O19" s="306" t="b">
        <v>0</v>
      </c>
      <c r="P19" s="306" t="b">
        <v>0</v>
      </c>
      <c r="Q19" s="306" t="b">
        <v>0</v>
      </c>
      <c r="R19" s="306" t="b">
        <v>0</v>
      </c>
      <c r="S19" s="306" t="b">
        <v>0</v>
      </c>
      <c r="U19" s="306" t="b">
        <v>0</v>
      </c>
      <c r="V19" s="306" t="b">
        <v>0</v>
      </c>
      <c r="W19" s="306" t="b">
        <v>0</v>
      </c>
      <c r="X19" s="306" t="b">
        <v>0</v>
      </c>
      <c r="Y19" s="306" t="b">
        <v>0</v>
      </c>
      <c r="Z19" s="306" t="b">
        <v>0</v>
      </c>
      <c r="AA19" s="306" t="b">
        <v>0</v>
      </c>
      <c r="AB19" s="306" t="b">
        <v>0</v>
      </c>
      <c r="AC19" s="306" t="b">
        <v>0</v>
      </c>
      <c r="AD19" s="306" t="b">
        <v>0</v>
      </c>
      <c r="AE19" s="306" t="b">
        <v>0</v>
      </c>
      <c r="AF19" s="306" t="b">
        <v>0</v>
      </c>
      <c r="AG19" s="306" t="b">
        <v>0</v>
      </c>
      <c r="AH19" s="306" t="b">
        <v>0</v>
      </c>
      <c r="AI19" s="306" t="b">
        <v>0</v>
      </c>
      <c r="AJ19" s="306" t="b">
        <v>0</v>
      </c>
      <c r="AK19" s="306" t="b">
        <v>0</v>
      </c>
      <c r="AL19" s="306" t="b">
        <v>0</v>
      </c>
      <c r="AM19" s="306" t="b">
        <v>0</v>
      </c>
      <c r="AN19" s="306" t="b">
        <v>0</v>
      </c>
      <c r="AO19" s="306" t="b">
        <v>0</v>
      </c>
      <c r="AP19" s="306" t="b">
        <v>0</v>
      </c>
      <c r="AQ19" s="306" t="b">
        <v>0</v>
      </c>
      <c r="AR19" s="306" t="b">
        <v>0</v>
      </c>
      <c r="AS19" s="306" t="b">
        <v>0</v>
      </c>
      <c r="AT19" s="306" t="b">
        <v>0</v>
      </c>
      <c r="AU19" s="306" t="b">
        <v>0</v>
      </c>
      <c r="AV19" s="306" t="b">
        <v>0</v>
      </c>
      <c r="AW19" s="306" t="b">
        <v>0</v>
      </c>
      <c r="AX19" s="306" t="b">
        <v>0</v>
      </c>
      <c r="AY19" s="306" t="b">
        <v>0</v>
      </c>
      <c r="AZ19" s="306" t="b">
        <v>0</v>
      </c>
      <c r="BA19" s="306"/>
      <c r="BB19" s="306" t="b">
        <v>0</v>
      </c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</row>
    <row r="20">
      <c r="A20" s="306" t="s">
        <v>241</v>
      </c>
      <c r="B20" s="306" t="b">
        <v>0</v>
      </c>
      <c r="C20" s="306" t="b">
        <v>0</v>
      </c>
      <c r="D20" s="306" t="b">
        <v>0</v>
      </c>
      <c r="E20" s="306" t="b">
        <v>0</v>
      </c>
      <c r="F20" s="306" t="b">
        <v>0</v>
      </c>
      <c r="G20" s="306" t="b">
        <v>0</v>
      </c>
      <c r="H20" s="306" t="b">
        <v>0</v>
      </c>
      <c r="I20" s="306" t="b">
        <v>0</v>
      </c>
      <c r="J20" s="306" t="b">
        <v>0</v>
      </c>
      <c r="K20" s="306" t="b">
        <v>0</v>
      </c>
      <c r="L20" s="306" t="b">
        <v>0</v>
      </c>
      <c r="M20" s="306" t="b">
        <v>0</v>
      </c>
      <c r="N20" s="306" t="b">
        <v>0</v>
      </c>
      <c r="O20" s="306" t="b">
        <v>0</v>
      </c>
      <c r="P20" s="306" t="b">
        <v>0</v>
      </c>
      <c r="Q20" s="306" t="b">
        <v>0</v>
      </c>
      <c r="R20" s="306" t="b">
        <v>0</v>
      </c>
      <c r="S20" s="306" t="b">
        <v>0</v>
      </c>
      <c r="U20" s="306" t="b">
        <v>0</v>
      </c>
      <c r="V20" s="306" t="b">
        <v>0</v>
      </c>
      <c r="W20" s="306" t="b">
        <v>0</v>
      </c>
      <c r="X20" s="306" t="b">
        <v>0</v>
      </c>
      <c r="Y20" s="306" t="b">
        <v>0</v>
      </c>
      <c r="Z20" s="306" t="b">
        <v>0</v>
      </c>
      <c r="AA20" s="306" t="b">
        <v>0</v>
      </c>
      <c r="AB20" s="306" t="b">
        <v>0</v>
      </c>
      <c r="AC20" s="306" t="b">
        <v>0</v>
      </c>
      <c r="AD20" s="306" t="b">
        <v>0</v>
      </c>
      <c r="AE20" s="306" t="b">
        <v>0</v>
      </c>
      <c r="AF20" s="306" t="b">
        <v>0</v>
      </c>
      <c r="AG20" s="306" t="b">
        <v>0</v>
      </c>
      <c r="AH20" s="306" t="b">
        <v>0</v>
      </c>
      <c r="AI20" s="306" t="b">
        <v>0</v>
      </c>
      <c r="AJ20" s="306" t="b">
        <v>0</v>
      </c>
      <c r="AK20" s="306" t="b">
        <v>0</v>
      </c>
      <c r="AL20" s="306" t="b">
        <v>0</v>
      </c>
      <c r="AM20" s="306" t="b">
        <v>0</v>
      </c>
      <c r="AN20" s="306" t="b">
        <v>0</v>
      </c>
      <c r="AO20" s="306" t="b">
        <v>0</v>
      </c>
      <c r="AP20" s="306" t="b">
        <v>0</v>
      </c>
      <c r="AQ20" s="306" t="b">
        <v>0</v>
      </c>
      <c r="AR20" s="306" t="b">
        <v>0</v>
      </c>
      <c r="AS20" s="306" t="b">
        <v>0</v>
      </c>
      <c r="AT20" s="306" t="b">
        <v>0</v>
      </c>
      <c r="AU20" s="306" t="b">
        <v>0</v>
      </c>
      <c r="AV20" s="306" t="b">
        <v>0</v>
      </c>
      <c r="AW20" s="306" t="b">
        <v>0</v>
      </c>
      <c r="AX20" s="306" t="b">
        <v>0</v>
      </c>
      <c r="AY20" s="306" t="b">
        <v>0</v>
      </c>
      <c r="AZ20" s="306" t="b">
        <v>0</v>
      </c>
      <c r="BA20" s="306"/>
      <c r="BB20" s="306" t="b">
        <v>0</v>
      </c>
      <c r="BC20" s="306"/>
      <c r="BD20" s="306"/>
      <c r="BE20" s="306"/>
      <c r="BF20" s="306"/>
      <c r="BG20" s="306"/>
      <c r="BH20" s="306"/>
      <c r="BI20" s="306"/>
      <c r="BJ20" s="306"/>
      <c r="BK20" s="306"/>
      <c r="BL20" s="306"/>
      <c r="BM20" s="306"/>
      <c r="BN20" s="306"/>
      <c r="BO20" s="306"/>
      <c r="BP20" s="306"/>
      <c r="BQ20" s="306"/>
      <c r="BR20" s="306"/>
      <c r="BS20" s="306"/>
    </row>
    <row r="21">
      <c r="A21" s="306" t="s">
        <v>248</v>
      </c>
      <c r="B21" s="306" t="b">
        <v>0</v>
      </c>
      <c r="C21" s="306" t="b">
        <v>0</v>
      </c>
      <c r="D21" s="306" t="b">
        <v>0</v>
      </c>
      <c r="E21" s="306" t="b">
        <v>0</v>
      </c>
      <c r="F21" s="306" t="b">
        <v>0</v>
      </c>
      <c r="G21" s="306" t="b">
        <v>0</v>
      </c>
      <c r="H21" s="306" t="b">
        <v>0</v>
      </c>
      <c r="I21" s="306" t="b">
        <v>0</v>
      </c>
      <c r="J21" s="306" t="b">
        <v>0</v>
      </c>
      <c r="K21" s="306" t="b">
        <v>0</v>
      </c>
      <c r="L21" s="306" t="b">
        <v>0</v>
      </c>
      <c r="M21" s="306" t="b">
        <v>0</v>
      </c>
      <c r="N21" s="306" t="b">
        <v>0</v>
      </c>
      <c r="O21" s="306" t="b">
        <v>0</v>
      </c>
      <c r="P21" s="306" t="b">
        <v>0</v>
      </c>
      <c r="Q21" s="306" t="b">
        <v>0</v>
      </c>
      <c r="R21" s="306" t="b">
        <v>0</v>
      </c>
      <c r="S21" s="306" t="b">
        <v>0</v>
      </c>
      <c r="U21" s="306" t="b">
        <v>0</v>
      </c>
      <c r="V21" s="306" t="b">
        <v>0</v>
      </c>
      <c r="W21" s="306" t="b">
        <v>0</v>
      </c>
      <c r="X21" s="306" t="b">
        <v>0</v>
      </c>
      <c r="Y21" s="306" t="b">
        <v>0</v>
      </c>
      <c r="Z21" s="306" t="b">
        <v>0</v>
      </c>
      <c r="AA21" s="306" t="b">
        <v>0</v>
      </c>
      <c r="AB21" s="306" t="b">
        <v>0</v>
      </c>
      <c r="AC21" s="306" t="b">
        <v>0</v>
      </c>
      <c r="AD21" s="306" t="b">
        <v>0</v>
      </c>
      <c r="AE21" s="306" t="b">
        <v>0</v>
      </c>
      <c r="AF21" s="306" t="b">
        <v>0</v>
      </c>
      <c r="AG21" s="306" t="b">
        <v>0</v>
      </c>
      <c r="AH21" s="306" t="b">
        <v>0</v>
      </c>
      <c r="AI21" s="306" t="b">
        <v>0</v>
      </c>
      <c r="AJ21" s="306" t="b">
        <v>0</v>
      </c>
      <c r="AK21" s="306" t="b">
        <v>0</v>
      </c>
      <c r="AL21" s="306" t="b">
        <v>0</v>
      </c>
      <c r="AM21" s="306" t="b">
        <v>0</v>
      </c>
      <c r="AN21" s="306" t="b">
        <v>0</v>
      </c>
      <c r="AO21" s="306" t="b">
        <v>0</v>
      </c>
      <c r="AP21" s="306" t="b">
        <v>0</v>
      </c>
      <c r="AQ21" s="306" t="b">
        <v>0</v>
      </c>
      <c r="AR21" s="306" t="b">
        <v>0</v>
      </c>
      <c r="AS21" s="306" t="b">
        <v>0</v>
      </c>
      <c r="AT21" s="306" t="b">
        <v>0</v>
      </c>
      <c r="AU21" s="306" t="b">
        <v>0</v>
      </c>
      <c r="AV21" s="306" t="b">
        <v>0</v>
      </c>
      <c r="AW21" s="306" t="b">
        <v>0</v>
      </c>
      <c r="AX21" s="306" t="b">
        <v>0</v>
      </c>
      <c r="AY21" s="306" t="b">
        <v>0</v>
      </c>
      <c r="AZ21" s="306" t="b">
        <v>0</v>
      </c>
      <c r="BA21" s="306"/>
      <c r="BB21" s="306" t="b">
        <v>0</v>
      </c>
      <c r="BC21" s="306"/>
      <c r="BD21" s="306"/>
      <c r="BE21" s="306"/>
      <c r="BF21" s="306"/>
      <c r="BG21" s="306"/>
      <c r="BH21" s="306"/>
      <c r="BI21" s="306"/>
      <c r="BJ21" s="306"/>
      <c r="BK21" s="306"/>
      <c r="BL21" s="306"/>
      <c r="BM21" s="306"/>
      <c r="BN21" s="306"/>
      <c r="BO21" s="306"/>
      <c r="BP21" s="306"/>
      <c r="BQ21" s="306"/>
      <c r="BR21" s="306"/>
      <c r="BS21" s="306"/>
    </row>
    <row r="22">
      <c r="A22" s="306" t="s">
        <v>256</v>
      </c>
      <c r="B22" s="306" t="b">
        <v>0</v>
      </c>
      <c r="C22" s="306" t="b">
        <v>0</v>
      </c>
      <c r="D22" s="306" t="b">
        <v>0</v>
      </c>
      <c r="E22" s="306" t="b">
        <v>1</v>
      </c>
      <c r="F22" s="306" t="b">
        <v>1</v>
      </c>
      <c r="G22" s="306" t="b">
        <v>1</v>
      </c>
      <c r="H22" s="306" t="b">
        <v>1</v>
      </c>
      <c r="I22" s="306" t="b">
        <v>1</v>
      </c>
      <c r="J22" s="306" t="b">
        <v>0</v>
      </c>
      <c r="K22" s="306" t="b">
        <v>0</v>
      </c>
      <c r="L22" s="306" t="b">
        <v>0</v>
      </c>
      <c r="M22" s="306" t="b">
        <v>0</v>
      </c>
      <c r="N22" s="306" t="b">
        <v>0</v>
      </c>
      <c r="O22" s="306" t="b">
        <v>0</v>
      </c>
      <c r="P22" s="306" t="b">
        <v>0</v>
      </c>
      <c r="Q22" s="306" t="b">
        <v>0</v>
      </c>
      <c r="R22" s="306" t="b">
        <v>0</v>
      </c>
      <c r="S22" s="306" t="b">
        <v>0</v>
      </c>
      <c r="U22" s="306" t="b">
        <v>0</v>
      </c>
      <c r="V22" s="306" t="b">
        <v>0</v>
      </c>
      <c r="W22" s="306" t="b">
        <v>0</v>
      </c>
      <c r="X22" s="306" t="b">
        <v>0</v>
      </c>
      <c r="Y22" s="306" t="b">
        <v>0</v>
      </c>
      <c r="Z22" s="306" t="b">
        <v>0</v>
      </c>
      <c r="AA22" s="306" t="b">
        <v>0</v>
      </c>
      <c r="AB22" s="306" t="b">
        <v>0</v>
      </c>
      <c r="AC22" s="306" t="b">
        <v>0</v>
      </c>
      <c r="AD22" s="306" t="b">
        <v>0</v>
      </c>
      <c r="AE22" s="306" t="b">
        <v>0</v>
      </c>
      <c r="AF22" s="306" t="b">
        <v>0</v>
      </c>
      <c r="AG22" s="306" t="b">
        <v>0</v>
      </c>
      <c r="AH22" s="306" t="b">
        <v>0</v>
      </c>
      <c r="AI22" s="306" t="b">
        <v>0</v>
      </c>
      <c r="AJ22" s="306" t="b">
        <v>0</v>
      </c>
      <c r="AK22" s="306" t="b">
        <v>0</v>
      </c>
      <c r="AL22" s="306" t="b">
        <v>0</v>
      </c>
      <c r="AM22" s="306" t="b">
        <v>0</v>
      </c>
      <c r="AN22" s="306" t="b">
        <v>0</v>
      </c>
      <c r="AO22" s="306" t="b">
        <v>0</v>
      </c>
      <c r="AP22" s="306" t="b">
        <v>0</v>
      </c>
      <c r="AQ22" s="306" t="b">
        <v>0</v>
      </c>
      <c r="AR22" s="306" t="b">
        <v>0</v>
      </c>
      <c r="AS22" s="306" t="b">
        <v>0</v>
      </c>
      <c r="AT22" s="306" t="b">
        <v>0</v>
      </c>
      <c r="AU22" s="306" t="b">
        <v>0</v>
      </c>
      <c r="AV22" s="306" t="b">
        <v>0</v>
      </c>
      <c r="AW22" s="306" t="b">
        <v>0</v>
      </c>
      <c r="AX22" s="306" t="b">
        <v>0</v>
      </c>
      <c r="AY22" s="306" t="b">
        <v>0</v>
      </c>
      <c r="AZ22" s="306" t="b">
        <v>0</v>
      </c>
      <c r="BA22" s="306"/>
      <c r="BB22" s="306" t="b">
        <v>0</v>
      </c>
      <c r="BC22" s="306"/>
      <c r="BD22" s="306"/>
      <c r="BE22" s="306"/>
      <c r="BF22" s="306"/>
      <c r="BG22" s="306"/>
      <c r="BH22" s="306"/>
      <c r="BI22" s="306"/>
      <c r="BJ22" s="306"/>
      <c r="BK22" s="306"/>
      <c r="BL22" s="306"/>
      <c r="BM22" s="306"/>
      <c r="BN22" s="306"/>
      <c r="BO22" s="306"/>
      <c r="BP22" s="306"/>
      <c r="BQ22" s="306"/>
      <c r="BR22" s="306"/>
      <c r="BS22" s="306"/>
    </row>
    <row r="23">
      <c r="A23" s="306" t="s">
        <v>267</v>
      </c>
      <c r="B23" s="306" t="b">
        <v>0</v>
      </c>
      <c r="C23" s="306" t="b">
        <v>0</v>
      </c>
      <c r="D23" s="306" t="b">
        <v>0</v>
      </c>
      <c r="E23" s="306" t="b">
        <v>0</v>
      </c>
      <c r="F23" s="306" t="b">
        <v>0</v>
      </c>
      <c r="G23" s="306" t="b">
        <v>0</v>
      </c>
      <c r="H23" s="306" t="b">
        <v>0</v>
      </c>
      <c r="I23" s="306" t="b">
        <v>1</v>
      </c>
      <c r="J23" s="306" t="b">
        <v>0</v>
      </c>
      <c r="K23" s="306" t="b">
        <v>0</v>
      </c>
      <c r="L23" s="306" t="b">
        <v>0</v>
      </c>
      <c r="M23" s="306" t="b">
        <v>0</v>
      </c>
      <c r="N23" s="306" t="b">
        <v>0</v>
      </c>
      <c r="O23" s="306" t="b">
        <v>0</v>
      </c>
      <c r="P23" s="306" t="b">
        <v>0</v>
      </c>
      <c r="Q23" s="306" t="b">
        <v>0</v>
      </c>
      <c r="R23" s="306" t="b">
        <v>0</v>
      </c>
      <c r="S23" s="306" t="b">
        <v>0</v>
      </c>
      <c r="U23" s="306" t="b">
        <v>0</v>
      </c>
      <c r="V23" s="306" t="b">
        <v>0</v>
      </c>
      <c r="W23" s="306" t="b">
        <v>0</v>
      </c>
      <c r="X23" s="306" t="b">
        <v>0</v>
      </c>
      <c r="Y23" s="306" t="b">
        <v>0</v>
      </c>
      <c r="Z23" s="306" t="b">
        <v>0</v>
      </c>
      <c r="AA23" s="306" t="b">
        <v>0</v>
      </c>
      <c r="AB23" s="306" t="b">
        <v>0</v>
      </c>
      <c r="AC23" s="306" t="b">
        <v>0</v>
      </c>
      <c r="AD23" s="306" t="b">
        <v>0</v>
      </c>
      <c r="AE23" s="306" t="b">
        <v>0</v>
      </c>
      <c r="AF23" s="306" t="b">
        <v>0</v>
      </c>
      <c r="AG23" s="306" t="b">
        <v>0</v>
      </c>
      <c r="AH23" s="306" t="b">
        <v>0</v>
      </c>
      <c r="AI23" s="306" t="b">
        <v>0</v>
      </c>
      <c r="AJ23" s="306" t="b">
        <v>0</v>
      </c>
      <c r="AK23" s="306" t="b">
        <v>0</v>
      </c>
      <c r="AL23" s="306" t="b">
        <v>0</v>
      </c>
      <c r="AM23" s="306" t="b">
        <v>0</v>
      </c>
      <c r="AN23" s="306" t="b">
        <v>0</v>
      </c>
      <c r="AO23" s="306" t="b">
        <v>0</v>
      </c>
      <c r="AP23" s="306" t="b">
        <v>0</v>
      </c>
      <c r="AQ23" s="306" t="b">
        <v>0</v>
      </c>
      <c r="AR23" s="306" t="b">
        <v>0</v>
      </c>
      <c r="AS23" s="306" t="b">
        <v>0</v>
      </c>
      <c r="AT23" s="306" t="b">
        <v>0</v>
      </c>
      <c r="AU23" s="306" t="b">
        <v>0</v>
      </c>
      <c r="AV23" s="306" t="b">
        <v>0</v>
      </c>
      <c r="AW23" s="306" t="b">
        <v>0</v>
      </c>
      <c r="AX23" s="306" t="b">
        <v>0</v>
      </c>
      <c r="AY23" s="306" t="b">
        <v>0</v>
      </c>
      <c r="AZ23" s="306" t="b">
        <v>0</v>
      </c>
      <c r="BA23" s="306"/>
      <c r="BB23" s="306" t="b">
        <v>0</v>
      </c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</row>
    <row r="24">
      <c r="A24" s="306" t="s">
        <v>275</v>
      </c>
      <c r="B24" s="306" t="b">
        <v>0</v>
      </c>
      <c r="C24" s="306" t="b">
        <v>0</v>
      </c>
      <c r="D24" s="306" t="b">
        <v>0</v>
      </c>
      <c r="E24" s="306" t="b">
        <v>0</v>
      </c>
      <c r="F24" s="306" t="b">
        <v>0</v>
      </c>
      <c r="G24" s="306" t="b">
        <v>0</v>
      </c>
      <c r="H24" s="306" t="b">
        <v>0</v>
      </c>
      <c r="I24" s="306" t="b">
        <v>0</v>
      </c>
      <c r="J24" s="306" t="b">
        <v>0</v>
      </c>
      <c r="K24" s="306" t="b">
        <v>0</v>
      </c>
      <c r="L24" s="306" t="b">
        <v>0</v>
      </c>
      <c r="M24" s="306" t="b">
        <v>0</v>
      </c>
      <c r="N24" s="306" t="b">
        <v>0</v>
      </c>
      <c r="O24" s="306" t="b">
        <v>0</v>
      </c>
      <c r="P24" s="306" t="b">
        <v>0</v>
      </c>
      <c r="Q24" s="306" t="b">
        <v>0</v>
      </c>
      <c r="R24" s="306" t="b">
        <v>0</v>
      </c>
      <c r="S24" s="306" t="b">
        <v>0</v>
      </c>
      <c r="U24" s="306" t="b">
        <v>0</v>
      </c>
      <c r="V24" s="306" t="b">
        <v>0</v>
      </c>
      <c r="W24" s="306" t="b">
        <v>0</v>
      </c>
      <c r="X24" s="306" t="b">
        <v>0</v>
      </c>
      <c r="Y24" s="306" t="b">
        <v>0</v>
      </c>
      <c r="Z24" s="306" t="b">
        <v>0</v>
      </c>
      <c r="AA24" s="306" t="b">
        <v>0</v>
      </c>
      <c r="AB24" s="306" t="b">
        <v>0</v>
      </c>
      <c r="AC24" s="306" t="b">
        <v>0</v>
      </c>
      <c r="AD24" s="306" t="b">
        <v>0</v>
      </c>
      <c r="AE24" s="306" t="b">
        <v>0</v>
      </c>
      <c r="AF24" s="306" t="b">
        <v>0</v>
      </c>
      <c r="AG24" s="306" t="b">
        <v>0</v>
      </c>
      <c r="AH24" s="306" t="b">
        <v>0</v>
      </c>
      <c r="AI24" s="306" t="b">
        <v>0</v>
      </c>
      <c r="AJ24" s="306" t="b">
        <v>0</v>
      </c>
      <c r="AK24" s="306" t="b">
        <v>0</v>
      </c>
      <c r="AL24" s="306" t="b">
        <v>0</v>
      </c>
      <c r="AM24" s="306" t="b">
        <v>0</v>
      </c>
      <c r="AN24" s="306" t="b">
        <v>0</v>
      </c>
      <c r="AO24" s="306" t="b">
        <v>0</v>
      </c>
      <c r="AP24" s="306" t="b">
        <v>0</v>
      </c>
      <c r="AQ24" s="306" t="b">
        <v>0</v>
      </c>
      <c r="AR24" s="306" t="b">
        <v>0</v>
      </c>
      <c r="AS24" s="306" t="b">
        <v>0</v>
      </c>
      <c r="AT24" s="306" t="b">
        <v>0</v>
      </c>
      <c r="AU24" s="306" t="b">
        <v>0</v>
      </c>
      <c r="AV24" s="306" t="b">
        <v>0</v>
      </c>
      <c r="AW24" s="306" t="b">
        <v>0</v>
      </c>
      <c r="AX24" s="306" t="b">
        <v>0</v>
      </c>
      <c r="AY24" s="306" t="b">
        <v>0</v>
      </c>
      <c r="AZ24" s="306" t="b">
        <v>0</v>
      </c>
      <c r="BA24" s="306"/>
      <c r="BB24" s="306" t="b">
        <v>0</v>
      </c>
      <c r="BC24" s="306"/>
      <c r="BD24" s="306"/>
      <c r="BE24" s="306"/>
      <c r="BF24" s="306"/>
      <c r="BG24" s="306"/>
      <c r="BH24" s="306"/>
      <c r="BI24" s="306"/>
      <c r="BJ24" s="306"/>
      <c r="BK24" s="306"/>
      <c r="BL24" s="306"/>
      <c r="BM24" s="306"/>
      <c r="BN24" s="306"/>
      <c r="BO24" s="306"/>
      <c r="BP24" s="306"/>
      <c r="BQ24" s="306"/>
      <c r="BR24" s="306"/>
      <c r="BS24" s="306"/>
    </row>
    <row r="25">
      <c r="A25" s="306" t="s">
        <v>283</v>
      </c>
      <c r="B25" s="306" t="b">
        <v>0</v>
      </c>
      <c r="C25" s="306" t="b">
        <v>0</v>
      </c>
      <c r="D25" s="306" t="b">
        <v>0</v>
      </c>
      <c r="E25" s="306" t="b">
        <v>0</v>
      </c>
      <c r="F25" s="306" t="b">
        <v>0</v>
      </c>
      <c r="G25" s="306" t="b">
        <v>0</v>
      </c>
      <c r="H25" s="306" t="b">
        <v>0</v>
      </c>
      <c r="I25" s="306" t="b">
        <v>0</v>
      </c>
      <c r="J25" s="306" t="b">
        <v>0</v>
      </c>
      <c r="K25" s="306" t="b">
        <v>0</v>
      </c>
      <c r="L25" s="306" t="b">
        <v>0</v>
      </c>
      <c r="M25" s="306" t="b">
        <v>0</v>
      </c>
      <c r="N25" s="306" t="b">
        <v>0</v>
      </c>
      <c r="O25" s="306" t="b">
        <v>0</v>
      </c>
      <c r="P25" s="306" t="b">
        <v>0</v>
      </c>
      <c r="Q25" s="306" t="b">
        <v>0</v>
      </c>
      <c r="R25" s="306" t="b">
        <v>0</v>
      </c>
      <c r="S25" s="306" t="b">
        <v>0</v>
      </c>
      <c r="U25" s="306" t="b">
        <v>0</v>
      </c>
      <c r="V25" s="306" t="b">
        <v>0</v>
      </c>
      <c r="W25" s="306" t="b">
        <v>0</v>
      </c>
      <c r="X25" s="306" t="b">
        <v>0</v>
      </c>
      <c r="Y25" s="306" t="b">
        <v>0</v>
      </c>
      <c r="Z25" s="306" t="b">
        <v>0</v>
      </c>
      <c r="AA25" s="306" t="b">
        <v>0</v>
      </c>
      <c r="AB25" s="306" t="b">
        <v>0</v>
      </c>
      <c r="AC25" s="306" t="b">
        <v>0</v>
      </c>
      <c r="AD25" s="306" t="b">
        <v>0</v>
      </c>
      <c r="AE25" s="306" t="b">
        <v>0</v>
      </c>
      <c r="AF25" s="306" t="b">
        <v>0</v>
      </c>
      <c r="AG25" s="306" t="b">
        <v>0</v>
      </c>
      <c r="AH25" s="306" t="b">
        <v>0</v>
      </c>
      <c r="AI25" s="306" t="b">
        <v>0</v>
      </c>
      <c r="AJ25" s="306" t="b">
        <v>0</v>
      </c>
      <c r="AK25" s="306" t="b">
        <v>0</v>
      </c>
      <c r="AL25" s="306" t="b">
        <v>0</v>
      </c>
      <c r="AM25" s="306" t="b">
        <v>0</v>
      </c>
      <c r="AN25" s="306" t="b">
        <v>0</v>
      </c>
      <c r="AO25" s="306" t="b">
        <v>0</v>
      </c>
      <c r="AP25" s="306" t="b">
        <v>0</v>
      </c>
      <c r="AQ25" s="306" t="b">
        <v>0</v>
      </c>
      <c r="AR25" s="306" t="b">
        <v>0</v>
      </c>
      <c r="AS25" s="306" t="b">
        <v>0</v>
      </c>
      <c r="AT25" s="306" t="b">
        <v>0</v>
      </c>
      <c r="AU25" s="306" t="b">
        <v>0</v>
      </c>
      <c r="AV25" s="306" t="b">
        <v>0</v>
      </c>
      <c r="AW25" s="306" t="b">
        <v>0</v>
      </c>
      <c r="AX25" s="306" t="b">
        <v>0</v>
      </c>
      <c r="AY25" s="306" t="b">
        <v>0</v>
      </c>
      <c r="AZ25" s="306" t="b">
        <v>0</v>
      </c>
      <c r="BA25" s="306"/>
      <c r="BB25" s="306" t="b">
        <v>0</v>
      </c>
      <c r="BC25" s="306"/>
      <c r="BD25" s="306"/>
      <c r="BE25" s="306"/>
      <c r="BF25" s="306"/>
      <c r="BG25" s="306"/>
      <c r="BH25" s="306"/>
      <c r="BI25" s="306"/>
      <c r="BJ25" s="306"/>
      <c r="BK25" s="306"/>
      <c r="BL25" s="306"/>
      <c r="BM25" s="306"/>
      <c r="BN25" s="306"/>
      <c r="BO25" s="306"/>
      <c r="BP25" s="306"/>
      <c r="BQ25" s="306"/>
      <c r="BR25" s="306"/>
      <c r="BS25" s="306"/>
    </row>
    <row r="26">
      <c r="A26" s="306" t="s">
        <v>293</v>
      </c>
      <c r="B26" s="306" t="b">
        <v>0</v>
      </c>
      <c r="C26" s="306" t="b">
        <v>0</v>
      </c>
      <c r="D26" s="306" t="b">
        <v>0</v>
      </c>
      <c r="E26" s="306" t="b">
        <v>0</v>
      </c>
      <c r="F26" s="306" t="b">
        <v>0</v>
      </c>
      <c r="G26" s="306" t="b">
        <v>0</v>
      </c>
      <c r="H26" s="306" t="b">
        <v>0</v>
      </c>
      <c r="I26" s="306" t="b">
        <v>0</v>
      </c>
      <c r="J26" s="306" t="b">
        <v>0</v>
      </c>
      <c r="K26" s="306" t="b">
        <v>0</v>
      </c>
      <c r="L26" s="306" t="b">
        <v>0</v>
      </c>
      <c r="M26" s="306" t="b">
        <v>0</v>
      </c>
      <c r="N26" s="306" t="b">
        <v>0</v>
      </c>
      <c r="O26" s="306" t="b">
        <v>0</v>
      </c>
      <c r="P26" s="306" t="b">
        <v>0</v>
      </c>
      <c r="Q26" s="306" t="b">
        <v>0</v>
      </c>
      <c r="R26" s="306" t="b">
        <v>0</v>
      </c>
      <c r="S26" s="306" t="b">
        <v>0</v>
      </c>
      <c r="U26" s="306" t="b">
        <v>0</v>
      </c>
      <c r="V26" s="306" t="b">
        <v>0</v>
      </c>
      <c r="W26" s="306" t="b">
        <v>0</v>
      </c>
      <c r="X26" s="306" t="b">
        <v>0</v>
      </c>
      <c r="Y26" s="306" t="b">
        <v>0</v>
      </c>
      <c r="Z26" s="306" t="b">
        <v>0</v>
      </c>
      <c r="AA26" s="306" t="b">
        <v>0</v>
      </c>
      <c r="AB26" s="306" t="b">
        <v>0</v>
      </c>
      <c r="AC26" s="306" t="b">
        <v>0</v>
      </c>
      <c r="AD26" s="306" t="b">
        <v>0</v>
      </c>
      <c r="AE26" s="306" t="b">
        <v>0</v>
      </c>
      <c r="AF26" s="306" t="b">
        <v>0</v>
      </c>
      <c r="AG26" s="306" t="b">
        <v>0</v>
      </c>
      <c r="AH26" s="306" t="b">
        <v>0</v>
      </c>
      <c r="AI26" s="306" t="b">
        <v>0</v>
      </c>
      <c r="AJ26" s="306" t="b">
        <v>0</v>
      </c>
      <c r="AK26" s="306" t="b">
        <v>0</v>
      </c>
      <c r="AL26" s="306" t="b">
        <v>0</v>
      </c>
      <c r="AM26" s="306" t="b">
        <v>0</v>
      </c>
      <c r="AN26" s="306" t="b">
        <v>0</v>
      </c>
      <c r="AO26" s="306" t="b">
        <v>0</v>
      </c>
      <c r="AP26" s="306" t="b">
        <v>0</v>
      </c>
      <c r="AQ26" s="306" t="b">
        <v>0</v>
      </c>
      <c r="AR26" s="306" t="b">
        <v>0</v>
      </c>
      <c r="AS26" s="306" t="b">
        <v>0</v>
      </c>
      <c r="AT26" s="306" t="b">
        <v>0</v>
      </c>
      <c r="AU26" s="306" t="b">
        <v>0</v>
      </c>
      <c r="AV26" s="306" t="b">
        <v>0</v>
      </c>
      <c r="AW26" s="306" t="b">
        <v>0</v>
      </c>
      <c r="AX26" s="306" t="b">
        <v>0</v>
      </c>
      <c r="AY26" s="306" t="b">
        <v>0</v>
      </c>
      <c r="AZ26" s="306" t="b">
        <v>0</v>
      </c>
      <c r="BA26" s="306"/>
      <c r="BB26" s="306" t="b">
        <v>0</v>
      </c>
      <c r="BC26" s="306"/>
      <c r="BD26" s="306"/>
      <c r="BE26" s="306"/>
      <c r="BF26" s="306"/>
      <c r="BG26" s="306"/>
      <c r="BH26" s="306"/>
      <c r="BI26" s="306"/>
      <c r="BJ26" s="306"/>
      <c r="BK26" s="306"/>
      <c r="BL26" s="306"/>
      <c r="BM26" s="306"/>
      <c r="BN26" s="306"/>
      <c r="BO26" s="306"/>
      <c r="BP26" s="306"/>
      <c r="BQ26" s="306"/>
      <c r="BR26" s="306"/>
      <c r="BS26" s="306"/>
    </row>
    <row r="27">
      <c r="A27" s="306" t="s">
        <v>300</v>
      </c>
      <c r="B27" s="306" t="b">
        <v>0</v>
      </c>
      <c r="C27" s="306" t="b">
        <v>0</v>
      </c>
      <c r="D27" s="306" t="b">
        <v>0</v>
      </c>
      <c r="E27" s="306" t="b">
        <v>0</v>
      </c>
      <c r="F27" s="306" t="b">
        <v>0</v>
      </c>
      <c r="G27" s="306" t="b">
        <v>0</v>
      </c>
      <c r="H27" s="306" t="b">
        <v>0</v>
      </c>
      <c r="I27" s="306" t="b">
        <v>0</v>
      </c>
      <c r="J27" s="306" t="b">
        <v>0</v>
      </c>
      <c r="K27" s="306" t="b">
        <v>0</v>
      </c>
      <c r="L27" s="306" t="b">
        <v>0</v>
      </c>
      <c r="M27" s="306" t="b">
        <v>0</v>
      </c>
      <c r="N27" s="306" t="b">
        <v>0</v>
      </c>
      <c r="O27" s="306" t="b">
        <v>0</v>
      </c>
      <c r="P27" s="306" t="b">
        <v>0</v>
      </c>
      <c r="Q27" s="306" t="b">
        <v>0</v>
      </c>
      <c r="R27" s="306" t="b">
        <v>0</v>
      </c>
      <c r="S27" s="306" t="b">
        <v>0</v>
      </c>
      <c r="U27" s="306" t="b">
        <v>0</v>
      </c>
      <c r="V27" s="306" t="b">
        <v>0</v>
      </c>
      <c r="W27" s="306" t="b">
        <v>0</v>
      </c>
      <c r="X27" s="306" t="b">
        <v>0</v>
      </c>
      <c r="Y27" s="306" t="b">
        <v>0</v>
      </c>
      <c r="Z27" s="306" t="b">
        <v>0</v>
      </c>
      <c r="AA27" s="306" t="b">
        <v>0</v>
      </c>
      <c r="AB27" s="306" t="b">
        <v>0</v>
      </c>
      <c r="AC27" s="306" t="b">
        <v>0</v>
      </c>
      <c r="AD27" s="306" t="b">
        <v>0</v>
      </c>
      <c r="AE27" s="306" t="b">
        <v>0</v>
      </c>
      <c r="AF27" s="306" t="b">
        <v>0</v>
      </c>
      <c r="AG27" s="306" t="b">
        <v>0</v>
      </c>
      <c r="AH27" s="306" t="b">
        <v>0</v>
      </c>
      <c r="AI27" s="306" t="b">
        <v>0</v>
      </c>
      <c r="AJ27" s="306" t="b">
        <v>0</v>
      </c>
      <c r="AK27" s="306" t="b">
        <v>0</v>
      </c>
      <c r="AL27" s="306" t="b">
        <v>0</v>
      </c>
      <c r="AM27" s="306" t="b">
        <v>0</v>
      </c>
      <c r="AN27" s="306" t="b">
        <v>0</v>
      </c>
      <c r="AO27" s="306" t="b">
        <v>0</v>
      </c>
      <c r="AP27" s="306" t="b">
        <v>0</v>
      </c>
      <c r="AQ27" s="306" t="b">
        <v>0</v>
      </c>
      <c r="AR27" s="306" t="b">
        <v>0</v>
      </c>
      <c r="AS27" s="306" t="b">
        <v>0</v>
      </c>
      <c r="AT27" s="306" t="b">
        <v>0</v>
      </c>
      <c r="AU27" s="306" t="b">
        <v>0</v>
      </c>
      <c r="AV27" s="306" t="b">
        <v>0</v>
      </c>
      <c r="AW27" s="306" t="b">
        <v>0</v>
      </c>
      <c r="AX27" s="306" t="b">
        <v>0</v>
      </c>
      <c r="AY27" s="306" t="b">
        <v>0</v>
      </c>
      <c r="AZ27" s="306" t="b">
        <v>0</v>
      </c>
      <c r="BA27" s="306"/>
      <c r="BB27" s="306" t="b">
        <v>0</v>
      </c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</row>
    <row r="28">
      <c r="A28" s="306" t="s">
        <v>307</v>
      </c>
      <c r="B28" s="306" t="b">
        <v>0</v>
      </c>
      <c r="C28" s="306" t="b">
        <v>0</v>
      </c>
      <c r="D28" s="306" t="b">
        <v>0</v>
      </c>
      <c r="E28" s="306" t="b">
        <v>0</v>
      </c>
      <c r="F28" s="306" t="b">
        <v>0</v>
      </c>
      <c r="G28" s="306" t="b">
        <v>0</v>
      </c>
      <c r="H28" s="306" t="b">
        <v>0</v>
      </c>
      <c r="I28" s="306" t="b">
        <v>0</v>
      </c>
      <c r="J28" s="306" t="b">
        <v>0</v>
      </c>
      <c r="K28" s="306" t="b">
        <v>0</v>
      </c>
      <c r="L28" s="306" t="b">
        <v>0</v>
      </c>
      <c r="M28" s="306" t="b">
        <v>0</v>
      </c>
      <c r="N28" s="306" t="b">
        <v>0</v>
      </c>
      <c r="O28" s="306" t="b">
        <v>0</v>
      </c>
      <c r="P28" s="306" t="b">
        <v>0</v>
      </c>
      <c r="Q28" s="306" t="b">
        <v>0</v>
      </c>
      <c r="R28" s="306" t="b">
        <v>0</v>
      </c>
      <c r="S28" s="306" t="b">
        <v>0</v>
      </c>
      <c r="U28" s="306" t="b">
        <v>0</v>
      </c>
      <c r="V28" s="306" t="b">
        <v>0</v>
      </c>
      <c r="W28" s="306" t="b">
        <v>0</v>
      </c>
      <c r="X28" s="306" t="b">
        <v>0</v>
      </c>
      <c r="Y28" s="306" t="b">
        <v>0</v>
      </c>
      <c r="Z28" s="306" t="b">
        <v>0</v>
      </c>
      <c r="AA28" s="306" t="b">
        <v>0</v>
      </c>
      <c r="AB28" s="306" t="b">
        <v>0</v>
      </c>
      <c r="AC28" s="306" t="b">
        <v>0</v>
      </c>
      <c r="AD28" s="306" t="b">
        <v>0</v>
      </c>
      <c r="AE28" s="306" t="b">
        <v>0</v>
      </c>
      <c r="AF28" s="306" t="b">
        <v>0</v>
      </c>
      <c r="AG28" s="306" t="b">
        <v>0</v>
      </c>
      <c r="AH28" s="306" t="b">
        <v>0</v>
      </c>
      <c r="AI28" s="306" t="b">
        <v>0</v>
      </c>
      <c r="AJ28" s="306" t="b">
        <v>0</v>
      </c>
      <c r="AK28" s="306" t="b">
        <v>0</v>
      </c>
      <c r="AL28" s="306" t="b">
        <v>0</v>
      </c>
      <c r="AM28" s="306" t="b">
        <v>0</v>
      </c>
      <c r="AN28" s="306" t="b">
        <v>0</v>
      </c>
      <c r="AO28" s="306" t="b">
        <v>0</v>
      </c>
      <c r="AP28" s="306" t="b">
        <v>0</v>
      </c>
      <c r="AQ28" s="306" t="b">
        <v>0</v>
      </c>
      <c r="AR28" s="306" t="b">
        <v>0</v>
      </c>
      <c r="AS28" s="306" t="b">
        <v>0</v>
      </c>
      <c r="AT28" s="306" t="b">
        <v>0</v>
      </c>
      <c r="AU28" s="306" t="b">
        <v>0</v>
      </c>
      <c r="AV28" s="306" t="b">
        <v>0</v>
      </c>
      <c r="AW28" s="306" t="b">
        <v>0</v>
      </c>
      <c r="AX28" s="306" t="b">
        <v>0</v>
      </c>
      <c r="AY28" s="306" t="b">
        <v>0</v>
      </c>
      <c r="AZ28" s="306" t="b">
        <v>0</v>
      </c>
      <c r="BA28" s="306"/>
      <c r="BB28" s="306" t="b">
        <v>0</v>
      </c>
      <c r="BC28" s="306"/>
      <c r="BD28" s="306"/>
      <c r="BE28" s="306"/>
      <c r="BF28" s="306"/>
      <c r="BG28" s="306"/>
      <c r="BH28" s="306"/>
      <c r="BI28" s="306"/>
      <c r="BJ28" s="306"/>
      <c r="BK28" s="306"/>
      <c r="BL28" s="306"/>
      <c r="BM28" s="306"/>
      <c r="BN28" s="306"/>
      <c r="BO28" s="306"/>
      <c r="BP28" s="306"/>
      <c r="BQ28" s="306"/>
      <c r="BR28" s="306"/>
      <c r="BS28" s="306"/>
    </row>
    <row r="29">
      <c r="A29" s="306" t="s">
        <v>314</v>
      </c>
      <c r="B29" s="306" t="b">
        <v>0</v>
      </c>
      <c r="C29" s="306" t="b">
        <v>0</v>
      </c>
      <c r="D29" s="306" t="b">
        <v>0</v>
      </c>
      <c r="E29" s="306" t="b">
        <v>0</v>
      </c>
      <c r="F29" s="306" t="b">
        <v>0</v>
      </c>
      <c r="G29" s="306" t="b">
        <v>0</v>
      </c>
      <c r="H29" s="306" t="b">
        <v>0</v>
      </c>
      <c r="I29" s="306" t="b">
        <v>0</v>
      </c>
      <c r="J29" s="306" t="b">
        <v>0</v>
      </c>
      <c r="K29" s="306" t="b">
        <v>0</v>
      </c>
      <c r="L29" s="306" t="b">
        <v>0</v>
      </c>
      <c r="M29" s="306" t="b">
        <v>0</v>
      </c>
      <c r="N29" s="306" t="b">
        <v>0</v>
      </c>
      <c r="O29" s="306" t="b">
        <v>0</v>
      </c>
      <c r="P29" s="306" t="b">
        <v>0</v>
      </c>
      <c r="Q29" s="306" t="b">
        <v>0</v>
      </c>
      <c r="R29" s="306" t="b">
        <v>0</v>
      </c>
      <c r="S29" s="306" t="b">
        <v>0</v>
      </c>
      <c r="U29" s="306" t="b">
        <v>0</v>
      </c>
      <c r="V29" s="306" t="b">
        <v>0</v>
      </c>
      <c r="W29" s="306" t="b">
        <v>0</v>
      </c>
      <c r="X29" s="306" t="b">
        <v>0</v>
      </c>
      <c r="Y29" s="306" t="b">
        <v>0</v>
      </c>
      <c r="Z29" s="306" t="b">
        <v>0</v>
      </c>
      <c r="AA29" s="306" t="b">
        <v>0</v>
      </c>
      <c r="AB29" s="306" t="b">
        <v>0</v>
      </c>
      <c r="AC29" s="306" t="b">
        <v>0</v>
      </c>
      <c r="AD29" s="306" t="b">
        <v>0</v>
      </c>
      <c r="AE29" s="306" t="b">
        <v>0</v>
      </c>
      <c r="AF29" s="306" t="b">
        <v>0</v>
      </c>
      <c r="AG29" s="306" t="b">
        <v>0</v>
      </c>
      <c r="AH29" s="306" t="b">
        <v>0</v>
      </c>
      <c r="AI29" s="306" t="b">
        <v>0</v>
      </c>
      <c r="AJ29" s="306" t="b">
        <v>0</v>
      </c>
      <c r="AK29" s="306" t="b">
        <v>0</v>
      </c>
      <c r="AL29" s="306" t="b">
        <v>0</v>
      </c>
      <c r="AM29" s="306" t="b">
        <v>0</v>
      </c>
      <c r="AN29" s="306" t="b">
        <v>0</v>
      </c>
      <c r="AO29" s="306" t="b">
        <v>0</v>
      </c>
      <c r="AP29" s="306" t="b">
        <v>0</v>
      </c>
      <c r="AQ29" s="306" t="b">
        <v>0</v>
      </c>
      <c r="AR29" s="306" t="b">
        <v>0</v>
      </c>
      <c r="AS29" s="306" t="b">
        <v>0</v>
      </c>
      <c r="AT29" s="306" t="b">
        <v>0</v>
      </c>
      <c r="AU29" s="306" t="b">
        <v>0</v>
      </c>
      <c r="AV29" s="306" t="b">
        <v>0</v>
      </c>
      <c r="AW29" s="306" t="b">
        <v>0</v>
      </c>
      <c r="AX29" s="306" t="b">
        <v>0</v>
      </c>
      <c r="AY29" s="306" t="b">
        <v>0</v>
      </c>
      <c r="AZ29" s="306" t="b">
        <v>0</v>
      </c>
      <c r="BA29" s="306"/>
      <c r="BB29" s="306" t="b">
        <v>0</v>
      </c>
      <c r="BC29" s="306"/>
      <c r="BD29" s="306"/>
      <c r="BE29" s="306"/>
      <c r="BF29" s="306"/>
      <c r="BG29" s="306"/>
      <c r="BH29" s="306"/>
      <c r="BI29" s="306"/>
      <c r="BJ29" s="306"/>
      <c r="BK29" s="306"/>
      <c r="BL29" s="306"/>
      <c r="BM29" s="306"/>
      <c r="BN29" s="306"/>
      <c r="BO29" s="306"/>
      <c r="BP29" s="306"/>
      <c r="BQ29" s="306"/>
      <c r="BR29" s="306"/>
      <c r="BS29" s="306"/>
    </row>
    <row r="30">
      <c r="A30" s="306" t="s">
        <v>322</v>
      </c>
      <c r="B30" s="306" t="b">
        <v>0</v>
      </c>
      <c r="C30" s="306" t="b">
        <v>0</v>
      </c>
      <c r="D30" s="306" t="b">
        <v>0</v>
      </c>
      <c r="E30" s="306" t="b">
        <v>0</v>
      </c>
      <c r="F30" s="306" t="b">
        <v>0</v>
      </c>
      <c r="G30" s="306" t="b">
        <v>0</v>
      </c>
      <c r="H30" s="306" t="b">
        <v>0</v>
      </c>
      <c r="I30" s="306" t="b">
        <v>0</v>
      </c>
      <c r="J30" s="306" t="b">
        <v>0</v>
      </c>
      <c r="K30" s="306" t="b">
        <v>0</v>
      </c>
      <c r="L30" s="306" t="b">
        <v>0</v>
      </c>
      <c r="M30" s="306" t="b">
        <v>0</v>
      </c>
      <c r="N30" s="306" t="b">
        <v>0</v>
      </c>
      <c r="O30" s="306" t="b">
        <v>0</v>
      </c>
      <c r="P30" s="306" t="b">
        <v>0</v>
      </c>
      <c r="Q30" s="306" t="b">
        <v>0</v>
      </c>
      <c r="R30" s="306" t="b">
        <v>0</v>
      </c>
      <c r="S30" s="306" t="b">
        <v>0</v>
      </c>
      <c r="U30" s="306" t="b">
        <v>0</v>
      </c>
      <c r="V30" s="306" t="b">
        <v>0</v>
      </c>
      <c r="W30" s="306" t="b">
        <v>0</v>
      </c>
      <c r="X30" s="306" t="b">
        <v>0</v>
      </c>
      <c r="Y30" s="306" t="b">
        <v>0</v>
      </c>
      <c r="Z30" s="306" t="b">
        <v>0</v>
      </c>
      <c r="AA30" s="306" t="b">
        <v>0</v>
      </c>
      <c r="AB30" s="306" t="b">
        <v>0</v>
      </c>
      <c r="AC30" s="306" t="b">
        <v>0</v>
      </c>
      <c r="AD30" s="306" t="b">
        <v>0</v>
      </c>
      <c r="AE30" s="306" t="b">
        <v>0</v>
      </c>
      <c r="AF30" s="306" t="b">
        <v>0</v>
      </c>
      <c r="AG30" s="306" t="b">
        <v>0</v>
      </c>
      <c r="AH30" s="306" t="b">
        <v>0</v>
      </c>
      <c r="AI30" s="306" t="b">
        <v>0</v>
      </c>
      <c r="AJ30" s="306" t="b">
        <v>0</v>
      </c>
      <c r="AK30" s="306" t="b">
        <v>0</v>
      </c>
      <c r="AL30" s="306" t="b">
        <v>0</v>
      </c>
      <c r="AM30" s="306" t="b">
        <v>0</v>
      </c>
      <c r="AN30" s="306" t="b">
        <v>0</v>
      </c>
      <c r="AO30" s="306" t="b">
        <v>0</v>
      </c>
      <c r="AP30" s="306" t="b">
        <v>0</v>
      </c>
      <c r="AQ30" s="306" t="b">
        <v>0</v>
      </c>
      <c r="AR30" s="306" t="b">
        <v>0</v>
      </c>
      <c r="AS30" s="306" t="b">
        <v>0</v>
      </c>
      <c r="AT30" s="306" t="b">
        <v>0</v>
      </c>
      <c r="AU30" s="306" t="b">
        <v>0</v>
      </c>
      <c r="AV30" s="306" t="b">
        <v>0</v>
      </c>
      <c r="AW30" s="306" t="b">
        <v>0</v>
      </c>
      <c r="AX30" s="306" t="b">
        <v>0</v>
      </c>
      <c r="AY30" s="306" t="b">
        <v>0</v>
      </c>
      <c r="AZ30" s="306" t="b">
        <v>0</v>
      </c>
      <c r="BA30" s="306"/>
      <c r="BB30" s="306" t="b">
        <v>0</v>
      </c>
      <c r="BC30" s="306"/>
      <c r="BD30" s="306"/>
      <c r="BE30" s="306"/>
      <c r="BF30" s="306"/>
      <c r="BG30" s="306"/>
      <c r="BH30" s="306"/>
      <c r="BI30" s="306"/>
      <c r="BJ30" s="306"/>
      <c r="BK30" s="306"/>
      <c r="BL30" s="306"/>
      <c r="BM30" s="306"/>
      <c r="BN30" s="306"/>
      <c r="BO30" s="306"/>
      <c r="BP30" s="306"/>
      <c r="BQ30" s="306"/>
      <c r="BR30" s="306"/>
      <c r="BS30" s="306"/>
    </row>
    <row r="31">
      <c r="A31" s="306" t="s">
        <v>328</v>
      </c>
      <c r="B31" s="306" t="b">
        <v>0</v>
      </c>
      <c r="C31" s="306" t="b">
        <v>0</v>
      </c>
      <c r="D31" s="306" t="b">
        <v>0</v>
      </c>
      <c r="E31" s="306" t="b">
        <v>0</v>
      </c>
      <c r="F31" s="306" t="b">
        <v>0</v>
      </c>
      <c r="G31" s="306" t="b">
        <v>0</v>
      </c>
      <c r="H31" s="306" t="b">
        <v>0</v>
      </c>
      <c r="I31" s="306" t="b">
        <v>0</v>
      </c>
      <c r="J31" s="306" t="b">
        <v>0</v>
      </c>
      <c r="K31" s="306" t="b">
        <v>0</v>
      </c>
      <c r="L31" s="306" t="b">
        <v>0</v>
      </c>
      <c r="M31" s="306" t="b">
        <v>0</v>
      </c>
      <c r="N31" s="306" t="b">
        <v>0</v>
      </c>
      <c r="O31" s="306" t="b">
        <v>0</v>
      </c>
      <c r="P31" s="306" t="b">
        <v>0</v>
      </c>
      <c r="Q31" s="306" t="b">
        <v>0</v>
      </c>
      <c r="R31" s="306" t="b">
        <v>0</v>
      </c>
      <c r="S31" s="306" t="b">
        <v>0</v>
      </c>
      <c r="U31" s="306" t="b">
        <v>0</v>
      </c>
      <c r="V31" s="306" t="b">
        <v>0</v>
      </c>
      <c r="W31" s="306" t="b">
        <v>0</v>
      </c>
      <c r="X31" s="306" t="b">
        <v>0</v>
      </c>
      <c r="Y31" s="306" t="b">
        <v>0</v>
      </c>
      <c r="Z31" s="306" t="b">
        <v>0</v>
      </c>
      <c r="AA31" s="306" t="b">
        <v>0</v>
      </c>
      <c r="AB31" s="306" t="b">
        <v>0</v>
      </c>
      <c r="AC31" s="306" t="b">
        <v>0</v>
      </c>
      <c r="AD31" s="306" t="b">
        <v>0</v>
      </c>
      <c r="AE31" s="306" t="b">
        <v>0</v>
      </c>
      <c r="AF31" s="306" t="b">
        <v>0</v>
      </c>
      <c r="AG31" s="306" t="b">
        <v>0</v>
      </c>
      <c r="AH31" s="306" t="b">
        <v>0</v>
      </c>
      <c r="AI31" s="306" t="b">
        <v>0</v>
      </c>
      <c r="AJ31" s="306" t="b">
        <v>0</v>
      </c>
      <c r="AK31" s="306" t="b">
        <v>0</v>
      </c>
      <c r="AL31" s="306" t="b">
        <v>0</v>
      </c>
      <c r="AM31" s="306" t="b">
        <v>0</v>
      </c>
      <c r="AN31" s="306" t="b">
        <v>0</v>
      </c>
      <c r="AO31" s="306" t="b">
        <v>0</v>
      </c>
      <c r="AP31" s="306" t="b">
        <v>0</v>
      </c>
      <c r="AQ31" s="306" t="b">
        <v>0</v>
      </c>
      <c r="AR31" s="306" t="b">
        <v>0</v>
      </c>
      <c r="AS31" s="306" t="b">
        <v>0</v>
      </c>
      <c r="AT31" s="306" t="b">
        <v>0</v>
      </c>
      <c r="AU31" s="306" t="b">
        <v>0</v>
      </c>
      <c r="AV31" s="306" t="b">
        <v>0</v>
      </c>
      <c r="AW31" s="306" t="b">
        <v>0</v>
      </c>
      <c r="AX31" s="306" t="b">
        <v>0</v>
      </c>
      <c r="AY31" s="306" t="b">
        <v>0</v>
      </c>
      <c r="AZ31" s="306" t="b">
        <v>0</v>
      </c>
      <c r="BA31" s="306"/>
      <c r="BB31" s="306" t="b">
        <v>0</v>
      </c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</row>
    <row r="32">
      <c r="A32" s="306" t="s">
        <v>335</v>
      </c>
      <c r="B32" s="306" t="b">
        <v>0</v>
      </c>
      <c r="C32" s="306" t="b">
        <v>0</v>
      </c>
      <c r="D32" s="306" t="b">
        <v>0</v>
      </c>
      <c r="E32" s="306" t="b">
        <v>0</v>
      </c>
      <c r="F32" s="306" t="b">
        <v>0</v>
      </c>
      <c r="G32" s="306" t="b">
        <v>0</v>
      </c>
      <c r="H32" s="306" t="b">
        <v>0</v>
      </c>
      <c r="I32" s="306" t="b">
        <v>0</v>
      </c>
      <c r="J32" s="306" t="b">
        <v>0</v>
      </c>
      <c r="K32" s="306" t="b">
        <v>0</v>
      </c>
      <c r="L32" s="306" t="b">
        <v>0</v>
      </c>
      <c r="M32" s="306" t="b">
        <v>0</v>
      </c>
      <c r="N32" s="306" t="b">
        <v>0</v>
      </c>
      <c r="O32" s="306" t="b">
        <v>0</v>
      </c>
      <c r="P32" s="306" t="b">
        <v>0</v>
      </c>
      <c r="Q32" s="306" t="b">
        <v>0</v>
      </c>
      <c r="R32" s="306" t="b">
        <v>0</v>
      </c>
      <c r="S32" s="306" t="b">
        <v>0</v>
      </c>
      <c r="U32" s="306" t="b">
        <v>0</v>
      </c>
      <c r="V32" s="306" t="b">
        <v>0</v>
      </c>
      <c r="W32" s="306" t="b">
        <v>0</v>
      </c>
      <c r="X32" s="306" t="b">
        <v>0</v>
      </c>
      <c r="Y32" s="306" t="b">
        <v>0</v>
      </c>
      <c r="Z32" s="306" t="b">
        <v>0</v>
      </c>
      <c r="AA32" s="306" t="b">
        <v>0</v>
      </c>
      <c r="AB32" s="306" t="b">
        <v>0</v>
      </c>
      <c r="AC32" s="306" t="b">
        <v>0</v>
      </c>
      <c r="AD32" s="306" t="b">
        <v>0</v>
      </c>
      <c r="AE32" s="306" t="b">
        <v>0</v>
      </c>
      <c r="AF32" s="306" t="b">
        <v>0</v>
      </c>
      <c r="AG32" s="306" t="b">
        <v>0</v>
      </c>
      <c r="AH32" s="306" t="b">
        <v>0</v>
      </c>
      <c r="AI32" s="306" t="b">
        <v>0</v>
      </c>
      <c r="AJ32" s="306" t="b">
        <v>0</v>
      </c>
      <c r="AK32" s="306" t="b">
        <v>0</v>
      </c>
      <c r="AL32" s="306" t="b">
        <v>0</v>
      </c>
      <c r="AM32" s="306" t="b">
        <v>0</v>
      </c>
      <c r="AN32" s="306" t="b">
        <v>0</v>
      </c>
      <c r="AO32" s="306" t="b">
        <v>0</v>
      </c>
      <c r="AP32" s="306" t="b">
        <v>0</v>
      </c>
      <c r="AQ32" s="306" t="b">
        <v>0</v>
      </c>
      <c r="AR32" s="306" t="b">
        <v>0</v>
      </c>
      <c r="AS32" s="306" t="b">
        <v>0</v>
      </c>
      <c r="AT32" s="306" t="b">
        <v>0</v>
      </c>
      <c r="AU32" s="306" t="b">
        <v>0</v>
      </c>
      <c r="AV32" s="306" t="b">
        <v>0</v>
      </c>
      <c r="AW32" s="306" t="b">
        <v>0</v>
      </c>
      <c r="AX32" s="306" t="b">
        <v>0</v>
      </c>
      <c r="AY32" s="306" t="b">
        <v>0</v>
      </c>
      <c r="AZ32" s="306" t="b">
        <v>0</v>
      </c>
      <c r="BA32" s="306"/>
      <c r="BB32" s="306" t="b">
        <v>0</v>
      </c>
      <c r="BC32" s="306"/>
      <c r="BD32" s="306"/>
      <c r="BE32" s="306"/>
      <c r="BF32" s="306"/>
      <c r="BG32" s="306"/>
      <c r="BH32" s="306"/>
      <c r="BI32" s="306"/>
      <c r="BJ32" s="306"/>
      <c r="BK32" s="306"/>
      <c r="BL32" s="306"/>
      <c r="BM32" s="306"/>
      <c r="BN32" s="306"/>
      <c r="BO32" s="306"/>
      <c r="BP32" s="306"/>
      <c r="BQ32" s="306"/>
      <c r="BR32" s="306"/>
      <c r="BS32" s="306"/>
    </row>
    <row r="33">
      <c r="A33" s="306" t="s">
        <v>342</v>
      </c>
      <c r="B33" s="306" t="b">
        <v>0</v>
      </c>
      <c r="C33" s="306" t="b">
        <v>0</v>
      </c>
      <c r="D33" s="306" t="b">
        <v>0</v>
      </c>
      <c r="E33" s="306" t="b">
        <v>0</v>
      </c>
      <c r="F33" s="306" t="b">
        <v>0</v>
      </c>
      <c r="G33" s="306" t="b">
        <v>0</v>
      </c>
      <c r="H33" s="306" t="b">
        <v>0</v>
      </c>
      <c r="I33" s="306" t="b">
        <v>0</v>
      </c>
      <c r="J33" s="306" t="b">
        <v>0</v>
      </c>
      <c r="K33" s="306" t="b">
        <v>0</v>
      </c>
      <c r="L33" s="306" t="b">
        <v>0</v>
      </c>
      <c r="M33" s="306" t="b">
        <v>0</v>
      </c>
      <c r="N33" s="306" t="b">
        <v>0</v>
      </c>
      <c r="O33" s="306" t="b">
        <v>0</v>
      </c>
      <c r="P33" s="306" t="b">
        <v>0</v>
      </c>
      <c r="Q33" s="306" t="b">
        <v>0</v>
      </c>
      <c r="R33" s="306" t="b">
        <v>0</v>
      </c>
      <c r="S33" s="306" t="b">
        <v>0</v>
      </c>
      <c r="U33" s="306" t="b">
        <v>0</v>
      </c>
      <c r="V33" s="306" t="b">
        <v>0</v>
      </c>
      <c r="W33" s="306" t="b">
        <v>0</v>
      </c>
      <c r="X33" s="306" t="b">
        <v>0</v>
      </c>
      <c r="Y33" s="306" t="b">
        <v>0</v>
      </c>
      <c r="Z33" s="306" t="b">
        <v>0</v>
      </c>
      <c r="AA33" s="306" t="b">
        <v>0</v>
      </c>
      <c r="AB33" s="306" t="b">
        <v>0</v>
      </c>
      <c r="AC33" s="306" t="b">
        <v>0</v>
      </c>
      <c r="AD33" s="306" t="b">
        <v>0</v>
      </c>
      <c r="AE33" s="306" t="b">
        <v>0</v>
      </c>
      <c r="AF33" s="306" t="b">
        <v>0</v>
      </c>
      <c r="AG33" s="306" t="b">
        <v>0</v>
      </c>
      <c r="AH33" s="306" t="b">
        <v>0</v>
      </c>
      <c r="AI33" s="306" t="b">
        <v>0</v>
      </c>
      <c r="AJ33" s="306" t="b">
        <v>0</v>
      </c>
      <c r="AK33" s="306" t="b">
        <v>0</v>
      </c>
      <c r="AL33" s="306" t="b">
        <v>0</v>
      </c>
      <c r="AM33" s="306" t="b">
        <v>0</v>
      </c>
      <c r="AN33" s="306" t="b">
        <v>0</v>
      </c>
      <c r="AO33" s="306" t="b">
        <v>0</v>
      </c>
      <c r="AP33" s="306" t="b">
        <v>0</v>
      </c>
      <c r="AQ33" s="306" t="b">
        <v>0</v>
      </c>
      <c r="AR33" s="306" t="b">
        <v>0</v>
      </c>
      <c r="AS33" s="306" t="b">
        <v>0</v>
      </c>
      <c r="AT33" s="306" t="b">
        <v>0</v>
      </c>
      <c r="AU33" s="306" t="b">
        <v>0</v>
      </c>
      <c r="AV33" s="306" t="b">
        <v>0</v>
      </c>
      <c r="AW33" s="306" t="b">
        <v>0</v>
      </c>
      <c r="AX33" s="306" t="b">
        <v>0</v>
      </c>
      <c r="AY33" s="306" t="b">
        <v>0</v>
      </c>
      <c r="AZ33" s="306" t="b">
        <v>0</v>
      </c>
      <c r="BA33" s="306"/>
      <c r="BB33" s="306" t="b">
        <v>0</v>
      </c>
      <c r="BC33" s="306"/>
      <c r="BD33" s="306"/>
      <c r="BE33" s="306"/>
      <c r="BF33" s="306"/>
      <c r="BG33" s="306"/>
      <c r="BH33" s="306"/>
      <c r="BI33" s="306"/>
      <c r="BJ33" s="306"/>
      <c r="BK33" s="306"/>
      <c r="BL33" s="306"/>
      <c r="BM33" s="306"/>
      <c r="BN33" s="306"/>
      <c r="BO33" s="306"/>
      <c r="BP33" s="306"/>
      <c r="BQ33" s="306"/>
      <c r="BR33" s="306"/>
      <c r="BS33" s="306"/>
    </row>
    <row r="34">
      <c r="A34" s="306" t="s">
        <v>349</v>
      </c>
      <c r="B34" s="306" t="b">
        <v>0</v>
      </c>
      <c r="C34" s="306" t="b">
        <v>0</v>
      </c>
      <c r="D34" s="306" t="b">
        <v>0</v>
      </c>
      <c r="E34" s="306" t="b">
        <v>0</v>
      </c>
      <c r="F34" s="306" t="b">
        <v>0</v>
      </c>
      <c r="G34" s="306" t="b">
        <v>0</v>
      </c>
      <c r="H34" s="306" t="b">
        <v>0</v>
      </c>
      <c r="I34" s="306" t="b">
        <v>0</v>
      </c>
      <c r="J34" s="306" t="b">
        <v>0</v>
      </c>
      <c r="K34" s="306" t="b">
        <v>0</v>
      </c>
      <c r="L34" s="306" t="b">
        <v>0</v>
      </c>
      <c r="M34" s="306" t="b">
        <v>0</v>
      </c>
      <c r="N34" s="306" t="b">
        <v>0</v>
      </c>
      <c r="O34" s="306" t="b">
        <v>0</v>
      </c>
      <c r="P34" s="306" t="b">
        <v>0</v>
      </c>
      <c r="Q34" s="306" t="b">
        <v>0</v>
      </c>
      <c r="R34" s="306" t="b">
        <v>0</v>
      </c>
      <c r="S34" s="306" t="b">
        <v>0</v>
      </c>
      <c r="U34" s="306" t="b">
        <v>0</v>
      </c>
      <c r="V34" s="306" t="b">
        <v>0</v>
      </c>
      <c r="W34" s="306" t="b">
        <v>0</v>
      </c>
      <c r="X34" s="306" t="b">
        <v>0</v>
      </c>
      <c r="Y34" s="306" t="b">
        <v>0</v>
      </c>
      <c r="Z34" s="306" t="b">
        <v>0</v>
      </c>
      <c r="AA34" s="306" t="b">
        <v>0</v>
      </c>
      <c r="AB34" s="306" t="b">
        <v>0</v>
      </c>
      <c r="AC34" s="306" t="b">
        <v>0</v>
      </c>
      <c r="AD34" s="306" t="b">
        <v>0</v>
      </c>
      <c r="AE34" s="306" t="b">
        <v>0</v>
      </c>
      <c r="AF34" s="306" t="b">
        <v>0</v>
      </c>
      <c r="AG34" s="306" t="b">
        <v>0</v>
      </c>
      <c r="AH34" s="306" t="b">
        <v>0</v>
      </c>
      <c r="AI34" s="306" t="b">
        <v>0</v>
      </c>
      <c r="AJ34" s="306" t="b">
        <v>0</v>
      </c>
      <c r="AK34" s="306" t="b">
        <v>0</v>
      </c>
      <c r="AL34" s="306" t="b">
        <v>0</v>
      </c>
      <c r="AM34" s="306" t="b">
        <v>0</v>
      </c>
      <c r="AN34" s="306" t="b">
        <v>0</v>
      </c>
      <c r="AO34" s="306" t="b">
        <v>0</v>
      </c>
      <c r="AP34" s="306" t="b">
        <v>0</v>
      </c>
      <c r="AQ34" s="306" t="b">
        <v>0</v>
      </c>
      <c r="AR34" s="306" t="b">
        <v>0</v>
      </c>
      <c r="AS34" s="306" t="b">
        <v>0</v>
      </c>
      <c r="AT34" s="306" t="b">
        <v>0</v>
      </c>
      <c r="AU34" s="306" t="b">
        <v>0</v>
      </c>
      <c r="AV34" s="306" t="b">
        <v>0</v>
      </c>
      <c r="AW34" s="306" t="b">
        <v>0</v>
      </c>
      <c r="AX34" s="306" t="b">
        <v>0</v>
      </c>
      <c r="AY34" s="306" t="b">
        <v>0</v>
      </c>
      <c r="AZ34" s="306" t="b">
        <v>0</v>
      </c>
      <c r="BA34" s="306"/>
      <c r="BB34" s="306" t="b">
        <v>0</v>
      </c>
      <c r="BC34" s="306"/>
      <c r="BD34" s="306"/>
      <c r="BE34" s="306"/>
      <c r="BF34" s="306"/>
      <c r="BG34" s="306"/>
      <c r="BH34" s="306"/>
      <c r="BI34" s="306"/>
      <c r="BJ34" s="306"/>
      <c r="BK34" s="306"/>
      <c r="BL34" s="306"/>
      <c r="BM34" s="306"/>
      <c r="BN34" s="306"/>
      <c r="BO34" s="306"/>
      <c r="BP34" s="306"/>
      <c r="BQ34" s="306"/>
      <c r="BR34" s="306"/>
      <c r="BS34" s="306"/>
    </row>
    <row r="35">
      <c r="A35" s="306" t="s">
        <v>356</v>
      </c>
      <c r="B35" s="306" t="b">
        <v>0</v>
      </c>
      <c r="C35" s="306" t="b">
        <v>0</v>
      </c>
      <c r="D35" s="306" t="b">
        <v>0</v>
      </c>
      <c r="E35" s="306" t="b">
        <v>0</v>
      </c>
      <c r="F35" s="306" t="b">
        <v>0</v>
      </c>
      <c r="G35" s="306" t="b">
        <v>0</v>
      </c>
      <c r="H35" s="306" t="b">
        <v>0</v>
      </c>
      <c r="I35" s="306" t="b">
        <v>0</v>
      </c>
      <c r="J35" s="306" t="b">
        <v>0</v>
      </c>
      <c r="K35" s="306" t="b">
        <v>0</v>
      </c>
      <c r="L35" s="306" t="b">
        <v>0</v>
      </c>
      <c r="M35" s="306" t="b">
        <v>0</v>
      </c>
      <c r="N35" s="306" t="b">
        <v>0</v>
      </c>
      <c r="O35" s="306" t="b">
        <v>0</v>
      </c>
      <c r="P35" s="306" t="b">
        <v>0</v>
      </c>
      <c r="Q35" s="306" t="b">
        <v>0</v>
      </c>
      <c r="R35" s="306" t="b">
        <v>0</v>
      </c>
      <c r="S35" s="306" t="b">
        <v>0</v>
      </c>
      <c r="U35" s="306" t="b">
        <v>0</v>
      </c>
      <c r="V35" s="306" t="b">
        <v>0</v>
      </c>
      <c r="W35" s="306" t="b">
        <v>0</v>
      </c>
      <c r="X35" s="306" t="b">
        <v>0</v>
      </c>
      <c r="Y35" s="306" t="b">
        <v>0</v>
      </c>
      <c r="Z35" s="306" t="b">
        <v>0</v>
      </c>
      <c r="AA35" s="306" t="b">
        <v>0</v>
      </c>
      <c r="AB35" s="306" t="b">
        <v>0</v>
      </c>
      <c r="AC35" s="306" t="b">
        <v>0</v>
      </c>
      <c r="AD35" s="306" t="b">
        <v>0</v>
      </c>
      <c r="AE35" s="306" t="b">
        <v>0</v>
      </c>
      <c r="AF35" s="306" t="b">
        <v>0</v>
      </c>
      <c r="AG35" s="306" t="b">
        <v>0</v>
      </c>
      <c r="AH35" s="306" t="b">
        <v>0</v>
      </c>
      <c r="AI35" s="306" t="b">
        <v>0</v>
      </c>
      <c r="AJ35" s="306" t="b">
        <v>0</v>
      </c>
      <c r="AK35" s="306" t="b">
        <v>0</v>
      </c>
      <c r="AL35" s="306" t="b">
        <v>0</v>
      </c>
      <c r="AM35" s="306" t="b">
        <v>0</v>
      </c>
      <c r="AN35" s="306" t="b">
        <v>0</v>
      </c>
      <c r="AO35" s="306" t="b">
        <v>0</v>
      </c>
      <c r="AP35" s="306" t="b">
        <v>0</v>
      </c>
      <c r="AQ35" s="306" t="b">
        <v>0</v>
      </c>
      <c r="AR35" s="306" t="b">
        <v>0</v>
      </c>
      <c r="AS35" s="306" t="b">
        <v>0</v>
      </c>
      <c r="AT35" s="306" t="b">
        <v>0</v>
      </c>
      <c r="AU35" s="306" t="b">
        <v>0</v>
      </c>
      <c r="AV35" s="306" t="b">
        <v>0</v>
      </c>
      <c r="AW35" s="306" t="b">
        <v>0</v>
      </c>
      <c r="AX35" s="306" t="b">
        <v>0</v>
      </c>
      <c r="AY35" s="306" t="b">
        <v>0</v>
      </c>
      <c r="AZ35" s="306" t="b">
        <v>0</v>
      </c>
      <c r="BA35" s="306"/>
      <c r="BB35" s="306" t="b">
        <v>0</v>
      </c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</row>
    <row r="36">
      <c r="A36" s="306" t="s">
        <v>365</v>
      </c>
      <c r="B36" s="306" t="b">
        <v>0</v>
      </c>
      <c r="C36" s="306" t="b">
        <v>0</v>
      </c>
      <c r="D36" s="306" t="b">
        <v>0</v>
      </c>
      <c r="E36" s="306" t="b">
        <v>0</v>
      </c>
      <c r="F36" s="306" t="b">
        <v>0</v>
      </c>
      <c r="G36" s="306" t="b">
        <v>0</v>
      </c>
      <c r="H36" s="306" t="b">
        <v>0</v>
      </c>
      <c r="I36" s="306" t="b">
        <v>0</v>
      </c>
      <c r="J36" s="306" t="b">
        <v>0</v>
      </c>
      <c r="K36" s="306" t="b">
        <v>0</v>
      </c>
      <c r="L36" s="306" t="b">
        <v>0</v>
      </c>
      <c r="M36" s="306" t="b">
        <v>0</v>
      </c>
      <c r="N36" s="306" t="b">
        <v>0</v>
      </c>
      <c r="O36" s="306" t="b">
        <v>0</v>
      </c>
      <c r="P36" s="306" t="b">
        <v>0</v>
      </c>
      <c r="Q36" s="306" t="b">
        <v>0</v>
      </c>
      <c r="R36" s="306" t="b">
        <v>0</v>
      </c>
      <c r="S36" s="306" t="b">
        <v>0</v>
      </c>
      <c r="U36" s="306" t="b">
        <v>0</v>
      </c>
      <c r="V36" s="306" t="b">
        <v>0</v>
      </c>
      <c r="W36" s="306" t="b">
        <v>0</v>
      </c>
      <c r="X36" s="306" t="b">
        <v>0</v>
      </c>
      <c r="Y36" s="306" t="b">
        <v>0</v>
      </c>
      <c r="Z36" s="306" t="b">
        <v>0</v>
      </c>
      <c r="AA36" s="306" t="b">
        <v>0</v>
      </c>
      <c r="AB36" s="306" t="b">
        <v>0</v>
      </c>
      <c r="AC36" s="306" t="b">
        <v>0</v>
      </c>
      <c r="AD36" s="306" t="b">
        <v>0</v>
      </c>
      <c r="AE36" s="306" t="b">
        <v>0</v>
      </c>
      <c r="AF36" s="306" t="b">
        <v>0</v>
      </c>
      <c r="AG36" s="306" t="b">
        <v>0</v>
      </c>
      <c r="AH36" s="306" t="b">
        <v>0</v>
      </c>
      <c r="AI36" s="306" t="b">
        <v>0</v>
      </c>
      <c r="AJ36" s="306" t="b">
        <v>0</v>
      </c>
      <c r="AK36" s="306" t="b">
        <v>0</v>
      </c>
      <c r="AL36" s="306" t="b">
        <v>0</v>
      </c>
      <c r="AM36" s="306" t="b">
        <v>0</v>
      </c>
      <c r="AN36" s="306" t="b">
        <v>0</v>
      </c>
      <c r="AO36" s="306" t="b">
        <v>0</v>
      </c>
      <c r="AP36" s="306" t="b">
        <v>0</v>
      </c>
      <c r="AQ36" s="306" t="b">
        <v>0</v>
      </c>
      <c r="AR36" s="306" t="b">
        <v>0</v>
      </c>
      <c r="AS36" s="306" t="b">
        <v>0</v>
      </c>
      <c r="AT36" s="306" t="b">
        <v>0</v>
      </c>
      <c r="AU36" s="306" t="b">
        <v>0</v>
      </c>
      <c r="AV36" s="306" t="b">
        <v>0</v>
      </c>
      <c r="AW36" s="306" t="b">
        <v>0</v>
      </c>
      <c r="AX36" s="306" t="b">
        <v>0</v>
      </c>
      <c r="AY36" s="306" t="b">
        <v>0</v>
      </c>
      <c r="AZ36" s="306" t="b">
        <v>0</v>
      </c>
      <c r="BA36" s="306"/>
      <c r="BB36" s="306" t="b">
        <v>0</v>
      </c>
      <c r="BC36" s="306"/>
      <c r="BD36" s="306"/>
      <c r="BE36" s="306"/>
      <c r="BF36" s="306"/>
      <c r="BG36" s="306"/>
      <c r="BH36" s="306"/>
      <c r="BI36" s="306"/>
      <c r="BJ36" s="306"/>
      <c r="BK36" s="306"/>
      <c r="BL36" s="306"/>
      <c r="BM36" s="306"/>
      <c r="BN36" s="306"/>
      <c r="BO36" s="306"/>
      <c r="BP36" s="306"/>
      <c r="BQ36" s="306"/>
      <c r="BR36" s="306"/>
      <c r="BS36" s="306"/>
    </row>
    <row r="37">
      <c r="A37" s="306" t="s">
        <v>371</v>
      </c>
      <c r="B37" s="306" t="b">
        <v>0</v>
      </c>
      <c r="C37" s="306" t="b">
        <v>0</v>
      </c>
      <c r="D37" s="306" t="b">
        <v>0</v>
      </c>
      <c r="E37" s="306" t="b">
        <v>0</v>
      </c>
      <c r="F37" s="306" t="b">
        <v>0</v>
      </c>
      <c r="G37" s="306" t="b">
        <v>0</v>
      </c>
      <c r="H37" s="306" t="b">
        <v>0</v>
      </c>
      <c r="I37" s="306" t="b">
        <v>0</v>
      </c>
      <c r="J37" s="306" t="b">
        <v>0</v>
      </c>
      <c r="K37" s="306" t="b">
        <v>0</v>
      </c>
      <c r="L37" s="306" t="b">
        <v>0</v>
      </c>
      <c r="M37" s="306" t="b">
        <v>0</v>
      </c>
      <c r="N37" s="306" t="b">
        <v>0</v>
      </c>
      <c r="O37" s="306" t="b">
        <v>0</v>
      </c>
      <c r="P37" s="306" t="b">
        <v>0</v>
      </c>
      <c r="Q37" s="306" t="b">
        <v>0</v>
      </c>
      <c r="R37" s="306" t="b">
        <v>0</v>
      </c>
      <c r="S37" s="306" t="b">
        <v>0</v>
      </c>
      <c r="U37" s="306" t="b">
        <v>0</v>
      </c>
      <c r="V37" s="306" t="b">
        <v>0</v>
      </c>
      <c r="W37" s="306" t="b">
        <v>0</v>
      </c>
      <c r="X37" s="306" t="b">
        <v>0</v>
      </c>
      <c r="Y37" s="306" t="b">
        <v>0</v>
      </c>
      <c r="Z37" s="306" t="b">
        <v>0</v>
      </c>
      <c r="AA37" s="306" t="b">
        <v>0</v>
      </c>
      <c r="AB37" s="306" t="b">
        <v>0</v>
      </c>
      <c r="AC37" s="306" t="b">
        <v>0</v>
      </c>
      <c r="AD37" s="306" t="b">
        <v>0</v>
      </c>
      <c r="AE37" s="306" t="b">
        <v>0</v>
      </c>
      <c r="AF37" s="306" t="b">
        <v>0</v>
      </c>
      <c r="AG37" s="306" t="b">
        <v>0</v>
      </c>
      <c r="AH37" s="306" t="b">
        <v>0</v>
      </c>
      <c r="AI37" s="306" t="b">
        <v>0</v>
      </c>
      <c r="AJ37" s="306" t="b">
        <v>0</v>
      </c>
      <c r="AK37" s="306" t="b">
        <v>0</v>
      </c>
      <c r="AL37" s="306" t="b">
        <v>0</v>
      </c>
      <c r="AM37" s="306" t="b">
        <v>0</v>
      </c>
      <c r="AN37" s="306" t="b">
        <v>0</v>
      </c>
      <c r="AO37" s="306" t="b">
        <v>0</v>
      </c>
      <c r="AP37" s="306" t="b">
        <v>0</v>
      </c>
      <c r="AQ37" s="306" t="b">
        <v>0</v>
      </c>
      <c r="AR37" s="306" t="b">
        <v>0</v>
      </c>
      <c r="AS37" s="306" t="b">
        <v>0</v>
      </c>
      <c r="AT37" s="306" t="b">
        <v>0</v>
      </c>
      <c r="AU37" s="306" t="b">
        <v>0</v>
      </c>
      <c r="AV37" s="306" t="b">
        <v>0</v>
      </c>
      <c r="AW37" s="306" t="b">
        <v>0</v>
      </c>
      <c r="AX37" s="306" t="b">
        <v>0</v>
      </c>
      <c r="AY37" s="306" t="b">
        <v>0</v>
      </c>
      <c r="AZ37" s="306" t="b">
        <v>0</v>
      </c>
      <c r="BA37" s="306"/>
      <c r="BB37" s="306" t="b">
        <v>0</v>
      </c>
      <c r="BC37" s="306"/>
      <c r="BD37" s="306"/>
      <c r="BE37" s="306"/>
      <c r="BF37" s="306"/>
      <c r="BG37" s="306"/>
      <c r="BH37" s="306"/>
      <c r="BI37" s="306"/>
      <c r="BJ37" s="306"/>
      <c r="BK37" s="306"/>
      <c r="BL37" s="306"/>
      <c r="BM37" s="306"/>
      <c r="BN37" s="306"/>
      <c r="BO37" s="306"/>
      <c r="BP37" s="306"/>
      <c r="BQ37" s="306"/>
      <c r="BR37" s="306"/>
      <c r="BS37" s="306"/>
    </row>
    <row r="38">
      <c r="A38" s="306" t="s">
        <v>378</v>
      </c>
      <c r="B38" s="306" t="b">
        <v>0</v>
      </c>
      <c r="C38" s="306" t="b">
        <v>0</v>
      </c>
      <c r="D38" s="306" t="b">
        <v>0</v>
      </c>
      <c r="E38" s="306" t="b">
        <v>0</v>
      </c>
      <c r="F38" s="306" t="b">
        <v>0</v>
      </c>
      <c r="G38" s="306" t="b">
        <v>0</v>
      </c>
      <c r="H38" s="306" t="b">
        <v>0</v>
      </c>
      <c r="I38" s="306" t="b">
        <v>0</v>
      </c>
      <c r="J38" s="306" t="b">
        <v>0</v>
      </c>
      <c r="K38" s="306" t="b">
        <v>0</v>
      </c>
      <c r="L38" s="306" t="b">
        <v>0</v>
      </c>
      <c r="M38" s="306" t="b">
        <v>0</v>
      </c>
      <c r="N38" s="306" t="b">
        <v>0</v>
      </c>
      <c r="O38" s="306" t="b">
        <v>0</v>
      </c>
      <c r="P38" s="306" t="b">
        <v>0</v>
      </c>
      <c r="Q38" s="306" t="b">
        <v>0</v>
      </c>
      <c r="R38" s="306" t="b">
        <v>0</v>
      </c>
      <c r="S38" s="306" t="b">
        <v>0</v>
      </c>
      <c r="U38" s="306" t="b">
        <v>0</v>
      </c>
      <c r="V38" s="306" t="b">
        <v>0</v>
      </c>
      <c r="W38" s="306" t="b">
        <v>0</v>
      </c>
      <c r="X38" s="306" t="b">
        <v>0</v>
      </c>
      <c r="Y38" s="306" t="b">
        <v>0</v>
      </c>
      <c r="Z38" s="306" t="b">
        <v>0</v>
      </c>
      <c r="AA38" s="306" t="b">
        <v>0</v>
      </c>
      <c r="AB38" s="306" t="b">
        <v>0</v>
      </c>
      <c r="AC38" s="306" t="b">
        <v>0</v>
      </c>
      <c r="AD38" s="306" t="b">
        <v>0</v>
      </c>
      <c r="AE38" s="306" t="b">
        <v>0</v>
      </c>
      <c r="AF38" s="306" t="b">
        <v>0</v>
      </c>
      <c r="AG38" s="306" t="b">
        <v>0</v>
      </c>
      <c r="AH38" s="306" t="b">
        <v>0</v>
      </c>
      <c r="AI38" s="306" t="b">
        <v>0</v>
      </c>
      <c r="AJ38" s="306" t="b">
        <v>0</v>
      </c>
      <c r="AK38" s="306" t="b">
        <v>0</v>
      </c>
      <c r="AL38" s="306" t="b">
        <v>0</v>
      </c>
      <c r="AM38" s="306" t="b">
        <v>0</v>
      </c>
      <c r="AN38" s="306" t="b">
        <v>0</v>
      </c>
      <c r="AO38" s="306" t="b">
        <v>0</v>
      </c>
      <c r="AP38" s="306" t="b">
        <v>0</v>
      </c>
      <c r="AQ38" s="306" t="b">
        <v>0</v>
      </c>
      <c r="AR38" s="306" t="b">
        <v>0</v>
      </c>
      <c r="AS38" s="306" t="b">
        <v>0</v>
      </c>
      <c r="AT38" s="306" t="b">
        <v>0</v>
      </c>
      <c r="AU38" s="306" t="b">
        <v>0</v>
      </c>
      <c r="AV38" s="306" t="b">
        <v>0</v>
      </c>
      <c r="AW38" s="306" t="b">
        <v>0</v>
      </c>
      <c r="AX38" s="306" t="b">
        <v>0</v>
      </c>
      <c r="AY38" s="306" t="b">
        <v>0</v>
      </c>
      <c r="AZ38" s="306" t="b">
        <v>0</v>
      </c>
      <c r="BA38" s="306"/>
      <c r="BB38" s="306" t="b">
        <v>0</v>
      </c>
      <c r="BC38" s="306"/>
      <c r="BD38" s="306"/>
      <c r="BE38" s="306"/>
      <c r="BF38" s="306"/>
      <c r="BG38" s="306"/>
      <c r="BH38" s="306"/>
      <c r="BI38" s="306"/>
      <c r="BJ38" s="306"/>
      <c r="BK38" s="306"/>
      <c r="BL38" s="306"/>
      <c r="BM38" s="306"/>
      <c r="BN38" s="306"/>
      <c r="BO38" s="306"/>
      <c r="BP38" s="306"/>
      <c r="BQ38" s="306"/>
      <c r="BR38" s="306"/>
      <c r="BS38" s="306"/>
    </row>
    <row r="39">
      <c r="A39" s="306" t="s">
        <v>386</v>
      </c>
      <c r="B39" s="306" t="b">
        <v>0</v>
      </c>
      <c r="C39" s="306" t="b">
        <v>0</v>
      </c>
      <c r="D39" s="306" t="b">
        <v>0</v>
      </c>
      <c r="E39" s="306" t="b">
        <v>0</v>
      </c>
      <c r="F39" s="306" t="b">
        <v>0</v>
      </c>
      <c r="G39" s="306" t="b">
        <v>0</v>
      </c>
      <c r="H39" s="306" t="b">
        <v>0</v>
      </c>
      <c r="I39" s="306" t="b">
        <v>0</v>
      </c>
      <c r="J39" s="306" t="b">
        <v>0</v>
      </c>
      <c r="K39" s="306" t="b">
        <v>0</v>
      </c>
      <c r="L39" s="306" t="b">
        <v>0</v>
      </c>
      <c r="M39" s="306" t="b">
        <v>0</v>
      </c>
      <c r="N39" s="306" t="b">
        <v>0</v>
      </c>
      <c r="O39" s="306" t="b">
        <v>0</v>
      </c>
      <c r="P39" s="306" t="b">
        <v>0</v>
      </c>
      <c r="Q39" s="306" t="b">
        <v>0</v>
      </c>
      <c r="R39" s="306" t="b">
        <v>0</v>
      </c>
      <c r="S39" s="306" t="b">
        <v>0</v>
      </c>
      <c r="U39" s="306" t="b">
        <v>0</v>
      </c>
      <c r="V39" s="306" t="b">
        <v>0</v>
      </c>
      <c r="W39" s="306" t="b">
        <v>0</v>
      </c>
      <c r="X39" s="306" t="b">
        <v>0</v>
      </c>
      <c r="Y39" s="306" t="b">
        <v>0</v>
      </c>
      <c r="Z39" s="306" t="b">
        <v>0</v>
      </c>
      <c r="AA39" s="306" t="b">
        <v>0</v>
      </c>
      <c r="AB39" s="306" t="b">
        <v>0</v>
      </c>
      <c r="AC39" s="306" t="b">
        <v>0</v>
      </c>
      <c r="AD39" s="306" t="b">
        <v>0</v>
      </c>
      <c r="AE39" s="306" t="b">
        <v>0</v>
      </c>
      <c r="AF39" s="306" t="b">
        <v>0</v>
      </c>
      <c r="AG39" s="306" t="b">
        <v>0</v>
      </c>
      <c r="AH39" s="306" t="b">
        <v>0</v>
      </c>
      <c r="AI39" s="306" t="b">
        <v>0</v>
      </c>
      <c r="AJ39" s="306" t="b">
        <v>0</v>
      </c>
      <c r="AK39" s="306" t="b">
        <v>0</v>
      </c>
      <c r="AL39" s="306" t="b">
        <v>0</v>
      </c>
      <c r="AM39" s="306" t="b">
        <v>0</v>
      </c>
      <c r="AN39" s="306" t="b">
        <v>0</v>
      </c>
      <c r="AO39" s="306" t="b">
        <v>0</v>
      </c>
      <c r="AP39" s="306" t="b">
        <v>0</v>
      </c>
      <c r="AQ39" s="306" t="b">
        <v>0</v>
      </c>
      <c r="AR39" s="306" t="b">
        <v>0</v>
      </c>
      <c r="AS39" s="306" t="b">
        <v>0</v>
      </c>
      <c r="AT39" s="306" t="b">
        <v>0</v>
      </c>
      <c r="AU39" s="306" t="b">
        <v>0</v>
      </c>
      <c r="AV39" s="306" t="b">
        <v>0</v>
      </c>
      <c r="AW39" s="306" t="b">
        <v>0</v>
      </c>
      <c r="AX39" s="306" t="b">
        <v>0</v>
      </c>
      <c r="AY39" s="306" t="b">
        <v>0</v>
      </c>
      <c r="AZ39" s="306" t="b">
        <v>0</v>
      </c>
      <c r="BA39" s="306"/>
      <c r="BB39" s="306" t="b">
        <v>0</v>
      </c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</row>
    <row r="40">
      <c r="A40" s="306" t="s">
        <v>392</v>
      </c>
      <c r="B40" s="306" t="b">
        <v>0</v>
      </c>
      <c r="C40" s="306" t="b">
        <v>0</v>
      </c>
      <c r="D40" s="306" t="b">
        <v>0</v>
      </c>
      <c r="E40" s="306" t="b">
        <v>0</v>
      </c>
      <c r="F40" s="306" t="b">
        <v>0</v>
      </c>
      <c r="G40" s="306" t="b">
        <v>0</v>
      </c>
      <c r="H40" s="306" t="b">
        <v>0</v>
      </c>
      <c r="I40" s="306" t="b">
        <v>0</v>
      </c>
      <c r="J40" s="306" t="b">
        <v>0</v>
      </c>
      <c r="K40" s="306" t="b">
        <v>0</v>
      </c>
      <c r="L40" s="306" t="b">
        <v>0</v>
      </c>
      <c r="M40" s="306" t="b">
        <v>0</v>
      </c>
      <c r="N40" s="306" t="b">
        <v>0</v>
      </c>
      <c r="O40" s="306" t="b">
        <v>0</v>
      </c>
      <c r="P40" s="306" t="b">
        <v>0</v>
      </c>
      <c r="Q40" s="306" t="b">
        <v>0</v>
      </c>
      <c r="R40" s="306" t="b">
        <v>0</v>
      </c>
      <c r="S40" s="306" t="b">
        <v>0</v>
      </c>
      <c r="U40" s="306" t="b">
        <v>0</v>
      </c>
      <c r="V40" s="306" t="b">
        <v>0</v>
      </c>
      <c r="W40" s="306" t="b">
        <v>0</v>
      </c>
      <c r="X40" s="306" t="b">
        <v>0</v>
      </c>
      <c r="Y40" s="306" t="b">
        <v>0</v>
      </c>
      <c r="Z40" s="306" t="b">
        <v>0</v>
      </c>
      <c r="AA40" s="306" t="b">
        <v>0</v>
      </c>
      <c r="AB40" s="306" t="b">
        <v>0</v>
      </c>
      <c r="AC40" s="306" t="b">
        <v>0</v>
      </c>
      <c r="AD40" s="306" t="b">
        <v>0</v>
      </c>
      <c r="AE40" s="306" t="b">
        <v>0</v>
      </c>
      <c r="AF40" s="306" t="b">
        <v>0</v>
      </c>
      <c r="AG40" s="306" t="b">
        <v>0</v>
      </c>
      <c r="AH40" s="306" t="b">
        <v>0</v>
      </c>
      <c r="AI40" s="306" t="b">
        <v>0</v>
      </c>
      <c r="AJ40" s="306" t="b">
        <v>0</v>
      </c>
      <c r="AK40" s="306" t="b">
        <v>0</v>
      </c>
      <c r="AL40" s="306" t="b">
        <v>0</v>
      </c>
      <c r="AM40" s="306" t="b">
        <v>0</v>
      </c>
      <c r="AN40" s="306" t="b">
        <v>0</v>
      </c>
      <c r="AO40" s="306" t="b">
        <v>0</v>
      </c>
      <c r="AP40" s="306" t="b">
        <v>0</v>
      </c>
      <c r="AQ40" s="306" t="b">
        <v>0</v>
      </c>
      <c r="AR40" s="306" t="b">
        <v>0</v>
      </c>
      <c r="AS40" s="306" t="b">
        <v>0</v>
      </c>
      <c r="AT40" s="306" t="b">
        <v>0</v>
      </c>
      <c r="AU40" s="306" t="b">
        <v>0</v>
      </c>
      <c r="AV40" s="306" t="b">
        <v>0</v>
      </c>
      <c r="AW40" s="306" t="b">
        <v>0</v>
      </c>
      <c r="AX40" s="306" t="b">
        <v>0</v>
      </c>
      <c r="AY40" s="306" t="b">
        <v>0</v>
      </c>
      <c r="AZ40" s="306" t="b">
        <v>0</v>
      </c>
      <c r="BA40" s="306"/>
      <c r="BB40" s="306" t="b">
        <v>0</v>
      </c>
      <c r="BC40" s="306"/>
      <c r="BD40" s="306"/>
      <c r="BE40" s="306"/>
      <c r="BF40" s="306"/>
      <c r="BG40" s="306"/>
      <c r="BH40" s="306"/>
      <c r="BI40" s="306"/>
      <c r="BJ40" s="306"/>
      <c r="BK40" s="306"/>
      <c r="BL40" s="306"/>
      <c r="BM40" s="306"/>
      <c r="BN40" s="306"/>
      <c r="BO40" s="306"/>
      <c r="BP40" s="306"/>
      <c r="BQ40" s="306"/>
      <c r="BR40" s="306"/>
      <c r="BS40" s="306"/>
    </row>
    <row r="41">
      <c r="A41" s="306" t="s">
        <v>399</v>
      </c>
      <c r="B41" s="306" t="b">
        <v>0</v>
      </c>
      <c r="C41" s="306" t="b">
        <v>0</v>
      </c>
      <c r="D41" s="306" t="b">
        <v>0</v>
      </c>
      <c r="E41" s="306" t="b">
        <v>0</v>
      </c>
      <c r="F41" s="306" t="b">
        <v>0</v>
      </c>
      <c r="G41" s="306" t="b">
        <v>0</v>
      </c>
      <c r="H41" s="306" t="b">
        <v>0</v>
      </c>
      <c r="I41" s="306" t="b">
        <v>0</v>
      </c>
      <c r="J41" s="306" t="b">
        <v>0</v>
      </c>
      <c r="K41" s="306" t="b">
        <v>0</v>
      </c>
      <c r="L41" s="306" t="b">
        <v>0</v>
      </c>
      <c r="M41" s="306" t="b">
        <v>0</v>
      </c>
      <c r="N41" s="306" t="b">
        <v>0</v>
      </c>
      <c r="O41" s="306" t="b">
        <v>0</v>
      </c>
      <c r="P41" s="306" t="b">
        <v>0</v>
      </c>
      <c r="Q41" s="306" t="b">
        <v>0</v>
      </c>
      <c r="R41" s="306" t="b">
        <v>0</v>
      </c>
      <c r="S41" s="306" t="b">
        <v>0</v>
      </c>
      <c r="U41" s="306" t="b">
        <v>0</v>
      </c>
      <c r="V41" s="306" t="b">
        <v>0</v>
      </c>
      <c r="W41" s="306" t="b">
        <v>0</v>
      </c>
      <c r="X41" s="306" t="b">
        <v>0</v>
      </c>
      <c r="Y41" s="306" t="b">
        <v>0</v>
      </c>
      <c r="Z41" s="306" t="b">
        <v>0</v>
      </c>
      <c r="AA41" s="306" t="b">
        <v>0</v>
      </c>
      <c r="AB41" s="306" t="b">
        <v>0</v>
      </c>
      <c r="AC41" s="306" t="b">
        <v>0</v>
      </c>
      <c r="AD41" s="306" t="b">
        <v>0</v>
      </c>
      <c r="AE41" s="306" t="b">
        <v>0</v>
      </c>
      <c r="AF41" s="306" t="b">
        <v>0</v>
      </c>
      <c r="AG41" s="306" t="b">
        <v>0</v>
      </c>
      <c r="AH41" s="306" t="b">
        <v>0</v>
      </c>
      <c r="AI41" s="306" t="b">
        <v>0</v>
      </c>
      <c r="AJ41" s="306" t="b">
        <v>0</v>
      </c>
      <c r="AK41" s="306" t="b">
        <v>0</v>
      </c>
      <c r="AL41" s="306" t="b">
        <v>0</v>
      </c>
      <c r="AM41" s="306" t="b">
        <v>0</v>
      </c>
      <c r="AN41" s="306" t="b">
        <v>0</v>
      </c>
      <c r="AO41" s="306" t="b">
        <v>0</v>
      </c>
      <c r="AP41" s="306" t="b">
        <v>0</v>
      </c>
      <c r="AQ41" s="306" t="b">
        <v>0</v>
      </c>
      <c r="AR41" s="306" t="b">
        <v>0</v>
      </c>
      <c r="AS41" s="306" t="b">
        <v>0</v>
      </c>
      <c r="AT41" s="306" t="b">
        <v>0</v>
      </c>
      <c r="AU41" s="306" t="b">
        <v>0</v>
      </c>
      <c r="AV41" s="306" t="b">
        <v>0</v>
      </c>
      <c r="AW41" s="306" t="b">
        <v>0</v>
      </c>
      <c r="AX41" s="306" t="b">
        <v>0</v>
      </c>
      <c r="AY41" s="306" t="b">
        <v>0</v>
      </c>
      <c r="AZ41" s="306" t="b">
        <v>0</v>
      </c>
      <c r="BA41" s="306"/>
      <c r="BB41" s="306" t="b">
        <v>0</v>
      </c>
      <c r="BC41" s="306"/>
      <c r="BD41" s="306"/>
      <c r="BE41" s="306"/>
      <c r="BF41" s="306"/>
      <c r="BG41" s="306"/>
      <c r="BH41" s="306"/>
      <c r="BI41" s="306"/>
      <c r="BJ41" s="306"/>
      <c r="BK41" s="306"/>
      <c r="BL41" s="306"/>
      <c r="BM41" s="306"/>
      <c r="BN41" s="306"/>
      <c r="BO41" s="306"/>
      <c r="BP41" s="306"/>
      <c r="BQ41" s="306"/>
      <c r="BR41" s="306"/>
      <c r="BS41" s="306"/>
    </row>
    <row r="42">
      <c r="A42" s="306" t="s">
        <v>406</v>
      </c>
      <c r="B42" s="306" t="b">
        <v>0</v>
      </c>
      <c r="C42" s="306" t="b">
        <v>0</v>
      </c>
      <c r="D42" s="306" t="b">
        <v>0</v>
      </c>
      <c r="E42" s="306" t="b">
        <v>0</v>
      </c>
      <c r="F42" s="306" t="b">
        <v>0</v>
      </c>
      <c r="G42" s="306" t="b">
        <v>0</v>
      </c>
      <c r="H42" s="306" t="b">
        <v>0</v>
      </c>
      <c r="I42" s="306" t="b">
        <v>0</v>
      </c>
      <c r="J42" s="306" t="b">
        <v>0</v>
      </c>
      <c r="K42" s="306" t="b">
        <v>0</v>
      </c>
      <c r="L42" s="306" t="b">
        <v>0</v>
      </c>
      <c r="M42" s="306" t="b">
        <v>0</v>
      </c>
      <c r="N42" s="306" t="b">
        <v>0</v>
      </c>
      <c r="O42" s="306" t="b">
        <v>0</v>
      </c>
      <c r="P42" s="306" t="b">
        <v>0</v>
      </c>
      <c r="Q42" s="306" t="b">
        <v>0</v>
      </c>
      <c r="R42" s="306" t="b">
        <v>0</v>
      </c>
      <c r="S42" s="306" t="b">
        <v>0</v>
      </c>
      <c r="U42" s="306" t="b">
        <v>0</v>
      </c>
      <c r="V42" s="306" t="b">
        <v>0</v>
      </c>
      <c r="W42" s="306" t="b">
        <v>0</v>
      </c>
      <c r="X42" s="306" t="b">
        <v>0</v>
      </c>
      <c r="Y42" s="306" t="b">
        <v>0</v>
      </c>
      <c r="Z42" s="306" t="b">
        <v>0</v>
      </c>
      <c r="AA42" s="306" t="b">
        <v>0</v>
      </c>
      <c r="AB42" s="306" t="b">
        <v>0</v>
      </c>
      <c r="AC42" s="306" t="b">
        <v>0</v>
      </c>
      <c r="AD42" s="306" t="b">
        <v>0</v>
      </c>
      <c r="AE42" s="306" t="b">
        <v>0</v>
      </c>
      <c r="AF42" s="306" t="b">
        <v>0</v>
      </c>
      <c r="AG42" s="306" t="b">
        <v>0</v>
      </c>
      <c r="AH42" s="306" t="b">
        <v>0</v>
      </c>
      <c r="AI42" s="306" t="b">
        <v>0</v>
      </c>
      <c r="AJ42" s="306" t="b">
        <v>0</v>
      </c>
      <c r="AK42" s="306" t="b">
        <v>0</v>
      </c>
      <c r="AL42" s="306" t="b">
        <v>0</v>
      </c>
      <c r="AM42" s="306" t="b">
        <v>0</v>
      </c>
      <c r="AN42" s="306" t="b">
        <v>0</v>
      </c>
      <c r="AO42" s="306" t="b">
        <v>0</v>
      </c>
      <c r="AP42" s="306" t="b">
        <v>0</v>
      </c>
      <c r="AQ42" s="306" t="b">
        <v>0</v>
      </c>
      <c r="AR42" s="306" t="b">
        <v>0</v>
      </c>
      <c r="AS42" s="306" t="b">
        <v>0</v>
      </c>
      <c r="AT42" s="306" t="b">
        <v>0</v>
      </c>
      <c r="AU42" s="306" t="b">
        <v>0</v>
      </c>
      <c r="AV42" s="306" t="b">
        <v>0</v>
      </c>
      <c r="AW42" s="306" t="b">
        <v>0</v>
      </c>
      <c r="AX42" s="306" t="b">
        <v>0</v>
      </c>
      <c r="AY42" s="306" t="b">
        <v>0</v>
      </c>
      <c r="AZ42" s="306" t="b">
        <v>0</v>
      </c>
      <c r="BA42" s="306"/>
      <c r="BB42" s="306" t="b">
        <v>0</v>
      </c>
      <c r="BC42" s="306"/>
      <c r="BD42" s="306"/>
      <c r="BE42" s="306"/>
      <c r="BF42" s="306"/>
      <c r="BG42" s="306"/>
      <c r="BH42" s="306"/>
      <c r="BI42" s="306"/>
      <c r="BJ42" s="306"/>
      <c r="BK42" s="306"/>
      <c r="BL42" s="306"/>
      <c r="BM42" s="306"/>
      <c r="BN42" s="306"/>
      <c r="BO42" s="306"/>
      <c r="BP42" s="306"/>
      <c r="BQ42" s="306"/>
      <c r="BR42" s="306"/>
      <c r="BS42" s="306"/>
    </row>
    <row r="43">
      <c r="A43" s="306" t="s">
        <v>414</v>
      </c>
      <c r="B43" s="306" t="b">
        <v>0</v>
      </c>
      <c r="C43" s="306" t="b">
        <v>0</v>
      </c>
      <c r="D43" s="306" t="b">
        <v>0</v>
      </c>
      <c r="E43" s="306" t="b">
        <v>0</v>
      </c>
      <c r="F43" s="306" t="b">
        <v>0</v>
      </c>
      <c r="G43" s="306" t="b">
        <v>0</v>
      </c>
      <c r="H43" s="306" t="b">
        <v>0</v>
      </c>
      <c r="I43" s="306" t="b">
        <v>0</v>
      </c>
      <c r="J43" s="306" t="b">
        <v>0</v>
      </c>
      <c r="K43" s="306" t="b">
        <v>0</v>
      </c>
      <c r="L43" s="306" t="b">
        <v>0</v>
      </c>
      <c r="M43" s="306" t="b">
        <v>0</v>
      </c>
      <c r="N43" s="306" t="b">
        <v>0</v>
      </c>
      <c r="O43" s="306" t="b">
        <v>0</v>
      </c>
      <c r="P43" s="306" t="b">
        <v>0</v>
      </c>
      <c r="Q43" s="306" t="b">
        <v>0</v>
      </c>
      <c r="R43" s="306" t="b">
        <v>0</v>
      </c>
      <c r="S43" s="306" t="b">
        <v>0</v>
      </c>
      <c r="U43" s="306" t="b">
        <v>0</v>
      </c>
      <c r="V43" s="306" t="b">
        <v>0</v>
      </c>
      <c r="W43" s="306" t="b">
        <v>0</v>
      </c>
      <c r="X43" s="306" t="b">
        <v>0</v>
      </c>
      <c r="Y43" s="306" t="b">
        <v>0</v>
      </c>
      <c r="Z43" s="306" t="b">
        <v>0</v>
      </c>
      <c r="AA43" s="306" t="b">
        <v>0</v>
      </c>
      <c r="AB43" s="306" t="b">
        <v>0</v>
      </c>
      <c r="AC43" s="306" t="b">
        <v>0</v>
      </c>
      <c r="AD43" s="306" t="b">
        <v>0</v>
      </c>
      <c r="AE43" s="306" t="b">
        <v>0</v>
      </c>
      <c r="AF43" s="306" t="b">
        <v>0</v>
      </c>
      <c r="AG43" s="306" t="b">
        <v>0</v>
      </c>
      <c r="AH43" s="306" t="b">
        <v>0</v>
      </c>
      <c r="AI43" s="306" t="b">
        <v>0</v>
      </c>
      <c r="AJ43" s="306" t="b">
        <v>0</v>
      </c>
      <c r="AK43" s="306" t="b">
        <v>0</v>
      </c>
      <c r="AL43" s="306" t="b">
        <v>0</v>
      </c>
      <c r="AM43" s="306" t="b">
        <v>0</v>
      </c>
      <c r="AN43" s="306" t="b">
        <v>0</v>
      </c>
      <c r="AO43" s="306" t="b">
        <v>0</v>
      </c>
      <c r="AP43" s="306" t="b">
        <v>0</v>
      </c>
      <c r="AQ43" s="306" t="b">
        <v>0</v>
      </c>
      <c r="AR43" s="306" t="b">
        <v>0</v>
      </c>
      <c r="AS43" s="306" t="b">
        <v>0</v>
      </c>
      <c r="AT43" s="306" t="b">
        <v>0</v>
      </c>
      <c r="AU43" s="306" t="b">
        <v>0</v>
      </c>
      <c r="AV43" s="306" t="b">
        <v>0</v>
      </c>
      <c r="AW43" s="306" t="b">
        <v>0</v>
      </c>
      <c r="AX43" s="306" t="b">
        <v>0</v>
      </c>
      <c r="AY43" s="306" t="b">
        <v>0</v>
      </c>
      <c r="AZ43" s="306" t="b">
        <v>0</v>
      </c>
      <c r="BA43" s="306"/>
      <c r="BB43" s="306" t="b">
        <v>0</v>
      </c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</row>
    <row r="44">
      <c r="A44" s="306" t="s">
        <v>420</v>
      </c>
      <c r="B44" s="306" t="b">
        <v>0</v>
      </c>
      <c r="C44" s="306" t="b">
        <v>0</v>
      </c>
      <c r="D44" s="306" t="b">
        <v>0</v>
      </c>
      <c r="E44" s="306" t="b">
        <v>0</v>
      </c>
      <c r="F44" s="306" t="b">
        <v>0</v>
      </c>
      <c r="G44" s="306" t="b">
        <v>0</v>
      </c>
      <c r="H44" s="306" t="b">
        <v>0</v>
      </c>
      <c r="I44" s="306" t="b">
        <v>0</v>
      </c>
      <c r="J44" s="306" t="b">
        <v>0</v>
      </c>
      <c r="K44" s="306" t="b">
        <v>0</v>
      </c>
      <c r="L44" s="306" t="b">
        <v>0</v>
      </c>
      <c r="M44" s="306" t="b">
        <v>0</v>
      </c>
      <c r="N44" s="306" t="b">
        <v>0</v>
      </c>
      <c r="O44" s="306" t="b">
        <v>0</v>
      </c>
      <c r="P44" s="306" t="b">
        <v>0</v>
      </c>
      <c r="Q44" s="306" t="b">
        <v>0</v>
      </c>
      <c r="R44" s="306" t="b">
        <v>0</v>
      </c>
      <c r="S44" s="306" t="b">
        <v>0</v>
      </c>
      <c r="U44" s="306" t="b">
        <v>0</v>
      </c>
      <c r="V44" s="306" t="b">
        <v>0</v>
      </c>
      <c r="W44" s="306" t="b">
        <v>0</v>
      </c>
      <c r="X44" s="306" t="b">
        <v>0</v>
      </c>
      <c r="Y44" s="306" t="b">
        <v>0</v>
      </c>
      <c r="Z44" s="306" t="b">
        <v>0</v>
      </c>
      <c r="AA44" s="306" t="b">
        <v>0</v>
      </c>
      <c r="AB44" s="306" t="b">
        <v>0</v>
      </c>
      <c r="AC44" s="306" t="b">
        <v>0</v>
      </c>
      <c r="AD44" s="306" t="b">
        <v>0</v>
      </c>
      <c r="AE44" s="306" t="b">
        <v>0</v>
      </c>
      <c r="AF44" s="306" t="b">
        <v>0</v>
      </c>
      <c r="AG44" s="306" t="b">
        <v>0</v>
      </c>
      <c r="AH44" s="306" t="b">
        <v>0</v>
      </c>
      <c r="AI44" s="306" t="b">
        <v>0</v>
      </c>
      <c r="AJ44" s="306" t="b">
        <v>0</v>
      </c>
      <c r="AK44" s="306" t="b">
        <v>0</v>
      </c>
      <c r="AL44" s="306" t="b">
        <v>0</v>
      </c>
      <c r="AM44" s="306" t="b">
        <v>0</v>
      </c>
      <c r="AN44" s="306" t="b">
        <v>0</v>
      </c>
      <c r="AO44" s="306" t="b">
        <v>0</v>
      </c>
      <c r="AP44" s="306" t="b">
        <v>0</v>
      </c>
      <c r="AQ44" s="306" t="b">
        <v>0</v>
      </c>
      <c r="AR44" s="306" t="b">
        <v>0</v>
      </c>
      <c r="AS44" s="306" t="b">
        <v>0</v>
      </c>
      <c r="AT44" s="306" t="b">
        <v>0</v>
      </c>
      <c r="AU44" s="306" t="b">
        <v>0</v>
      </c>
      <c r="AV44" s="306" t="b">
        <v>0</v>
      </c>
      <c r="AW44" s="306" t="b">
        <v>0</v>
      </c>
      <c r="AX44" s="306" t="b">
        <v>0</v>
      </c>
      <c r="AY44" s="306" t="b">
        <v>0</v>
      </c>
      <c r="AZ44" s="306" t="b">
        <v>0</v>
      </c>
      <c r="BA44" s="306"/>
      <c r="BB44" s="306" t="b">
        <v>0</v>
      </c>
      <c r="BC44" s="306"/>
      <c r="BD44" s="306"/>
      <c r="BE44" s="306"/>
      <c r="BF44" s="306"/>
      <c r="BG44" s="306"/>
      <c r="BH44" s="306"/>
      <c r="BI44" s="306"/>
      <c r="BJ44" s="306"/>
      <c r="BK44" s="306"/>
      <c r="BL44" s="306"/>
      <c r="BM44" s="306"/>
      <c r="BN44" s="306"/>
      <c r="BO44" s="306"/>
      <c r="BP44" s="306"/>
      <c r="BQ44" s="306"/>
      <c r="BR44" s="306"/>
      <c r="BS44" s="306"/>
    </row>
    <row r="45">
      <c r="A45" s="306" t="s">
        <v>427</v>
      </c>
      <c r="B45" s="306" t="b">
        <v>0</v>
      </c>
      <c r="C45" s="306" t="b">
        <v>0</v>
      </c>
      <c r="D45" s="306" t="b">
        <v>0</v>
      </c>
      <c r="E45" s="306" t="b">
        <v>0</v>
      </c>
      <c r="F45" s="306" t="b">
        <v>0</v>
      </c>
      <c r="G45" s="306" t="b">
        <v>0</v>
      </c>
      <c r="H45" s="306" t="b">
        <v>0</v>
      </c>
      <c r="I45" s="306" t="b">
        <v>0</v>
      </c>
      <c r="J45" s="306" t="b">
        <v>0</v>
      </c>
      <c r="K45" s="306" t="b">
        <v>0</v>
      </c>
      <c r="L45" s="306" t="b">
        <v>0</v>
      </c>
      <c r="M45" s="306" t="b">
        <v>0</v>
      </c>
      <c r="N45" s="306" t="b">
        <v>0</v>
      </c>
      <c r="O45" s="306" t="b">
        <v>0</v>
      </c>
      <c r="P45" s="306" t="b">
        <v>0</v>
      </c>
      <c r="Q45" s="306" t="b">
        <v>0</v>
      </c>
      <c r="R45" s="306" t="b">
        <v>0</v>
      </c>
      <c r="S45" s="306" t="b">
        <v>0</v>
      </c>
      <c r="U45" s="306" t="b">
        <v>0</v>
      </c>
      <c r="V45" s="306" t="b">
        <v>0</v>
      </c>
      <c r="W45" s="306" t="b">
        <v>0</v>
      </c>
      <c r="X45" s="306" t="b">
        <v>0</v>
      </c>
      <c r="Y45" s="306" t="b">
        <v>0</v>
      </c>
      <c r="Z45" s="306" t="b">
        <v>0</v>
      </c>
      <c r="AA45" s="306" t="b">
        <v>0</v>
      </c>
      <c r="AB45" s="306" t="b">
        <v>0</v>
      </c>
      <c r="AC45" s="306" t="b">
        <v>0</v>
      </c>
      <c r="AD45" s="306" t="b">
        <v>0</v>
      </c>
      <c r="AE45" s="306" t="b">
        <v>0</v>
      </c>
      <c r="AF45" s="306" t="b">
        <v>0</v>
      </c>
      <c r="AG45" s="306" t="b">
        <v>0</v>
      </c>
      <c r="AH45" s="306" t="b">
        <v>0</v>
      </c>
      <c r="AI45" s="306" t="b">
        <v>0</v>
      </c>
      <c r="AJ45" s="306" t="b">
        <v>0</v>
      </c>
      <c r="AK45" s="306" t="b">
        <v>0</v>
      </c>
      <c r="AL45" s="306" t="b">
        <v>0</v>
      </c>
      <c r="AM45" s="306" t="b">
        <v>0</v>
      </c>
      <c r="AN45" s="306" t="b">
        <v>0</v>
      </c>
      <c r="AO45" s="306" t="b">
        <v>0</v>
      </c>
      <c r="AP45" s="306" t="b">
        <v>0</v>
      </c>
      <c r="AQ45" s="306" t="b">
        <v>0</v>
      </c>
      <c r="AR45" s="306" t="b">
        <v>0</v>
      </c>
      <c r="AS45" s="306" t="b">
        <v>0</v>
      </c>
      <c r="AT45" s="306" t="b">
        <v>0</v>
      </c>
      <c r="AU45" s="306" t="b">
        <v>0</v>
      </c>
      <c r="AV45" s="306" t="b">
        <v>0</v>
      </c>
      <c r="AW45" s="306" t="b">
        <v>0</v>
      </c>
      <c r="AX45" s="306" t="b">
        <v>0</v>
      </c>
      <c r="AY45" s="306" t="b">
        <v>0</v>
      </c>
      <c r="AZ45" s="306" t="b">
        <v>0</v>
      </c>
      <c r="BA45" s="306"/>
      <c r="BB45" s="306" t="b">
        <v>0</v>
      </c>
      <c r="BC45" s="306"/>
      <c r="BD45" s="306"/>
      <c r="BE45" s="306"/>
      <c r="BF45" s="306"/>
      <c r="BG45" s="306"/>
      <c r="BH45" s="306"/>
      <c r="BI45" s="306"/>
      <c r="BJ45" s="306"/>
      <c r="BK45" s="306"/>
      <c r="BL45" s="306"/>
      <c r="BM45" s="306"/>
      <c r="BN45" s="306"/>
      <c r="BO45" s="306"/>
      <c r="BP45" s="306"/>
      <c r="BQ45" s="306"/>
      <c r="BR45" s="306"/>
      <c r="BS45" s="306"/>
    </row>
  </sheetData>
  <drawing r:id="rId1"/>
</worksheet>
</file>