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5-26SOSTITUZIONI ISTRUTTORI" sheetId="1" r:id="rId4"/>
    <sheet state="visible" name="25-26SPOSTAMENTI CORSI TESSERAT" sheetId="2" r:id="rId5"/>
    <sheet state="visible" name="24-25SOSTITUZIONI ISTRUTTORI" sheetId="3" r:id="rId6"/>
    <sheet state="visible" name="24-25SPOSTAMENTI CORSI TESSERAT" sheetId="4" r:id="rId7"/>
    <sheet state="visible" name="23-24SOSTITUZIONI ISTRUTTORI" sheetId="5" r:id="rId8"/>
    <sheet state="visible" name="23-24SPOSTAMENTI CORSI TESSERAT" sheetId="6" r:id="rId9"/>
    <sheet state="visible" name="elenchi" sheetId="7"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tc={18112b84-7b24-41bf-98be-7667a103e745}</author>
    <author>tc={18312c3a-7bf7-427f-9765-cec4285d5d26}</author>
    <author>tc={1b6be685-141b-473b-909c-9d53e21c7554}</author>
    <author>tc={20177fc9-8823-4409-b800-cc4c2e6b3362}</author>
    <author>tc={26842077-8097-40ca-9507-4695ad0bd75c}</author>
    <author>tc={38174c7d-92e1-4e83-ada7-0ba30703e3d5}</author>
    <author>tc={42129653-3b99-4247-947e-9ed961c18672}</author>
    <author>tc={46f8b248-eb91-400f-9f79-252608ba1913}</author>
    <author>tc={4a7292a7-17be-4305-9993-1518914b00c4}</author>
    <author>tc={4d80415d-11f7-4a89-8c11-a2af4f62d1ff}</author>
    <author>tc={56f93511-c667-4ee2-9fd6-aae8495f7d50}</author>
    <author>tc={72c73e62-6b6b-41fe-8ab0-c50d78ebbfcc}</author>
    <author>tc={7a219af3-d6c1-4cc7-9967-6b1958617051}</author>
    <author>tc={86689c9b-cce2-475e-9702-33673eae03a1}</author>
    <author>tc={8881233e-cc7d-4524-a15b-e6385b61000c}</author>
    <author>tc={94f973a3-581c-4ea6-a6cd-0276617de67e}</author>
    <author>tc={98781755-9607-4756-8463-cb1cb767496f}</author>
    <author>tc={b1f66c4e-f428-420a-9b45-3ab797bb6b3c}</author>
    <author>tc={ce925525-524b-4c24-a9ef-3615b7be01b1}</author>
    <author>tc={e5ea74b2-4614-43e0-8252-b6c1f7b96ca3}</author>
    <author>tc={efffd15a-b5e5-4d7c-885b-a743aa3ee251}</author>
    <author>tc={f5e57f5a-911a-401d-9c11-767a5743a343}</author>
  </authors>
  <commentList>
    <comment authorId="0" ref="E2">
      <text>
        <t xml:space="preserve">In questa colonna potete inserire anche nomi d'insegnanti non presenti nella tendina </t>
      </text>
    </comment>
    <comment authorId="1" xr:uid="{18112b84-7b24-41bf-98be-7667a103e745}" ref="A1">
      <text>
        <t xml:space="preserve">[Threaded comment]
 Your version of Excel allows you to read this threaded comment; however, any edits to it will get removed if the file is opened in a newer version of Excel. Learn more: https://go.microsoft.com/fwlink/?linkid=870924
Comment:
	aggiungere tendina nome segreteria
</t>
      </text>
    </comment>
    <comment authorId="2" xr:uid="{18312c3a-7bf7-427f-9765-cec4285d5d26}" ref="A1">
      <text>
        <t xml:space="preserve">[Threaded comment]
 Your version of Excel allows you to read this threaded comment; however, any edits to it will get removed if the file is opened in a newer version of Excel. Learn more: https://go.microsoft.com/fwlink/?linkid=870924
Comment:
	ha pagato 360€
</t>
      </text>
    </comment>
    <comment authorId="3" xr:uid="{1b6be685-141b-473b-909c-9d53e21c7554}" ref="C172">
      <text>
        <t xml:space="preserve">[Threaded comment]
 Your version of Excel allows you to read this threaded comment; however, any edits to it will get removed if the file is opened in a newer version of Excel. Learn more: https://go.microsoft.com/fwlink/?linkid=870924
Comment:
	ALICE CENZON
</t>
      </text>
    </comment>
    <comment authorId="4" xr:uid="{20177fc9-8823-4409-b800-cc4c2e6b3362}" ref="A1">
      <text>
        <t xml:space="preserve">[Threaded comment]
 Your version of Excel allows you to read this threaded comment; however, any edits to it will get removed if the file is opened in a newer version of Excel. Learn more: https://go.microsoft.com/fwlink/?linkid=870924
Comment:
	sistemare
</t>
      </text>
    </comment>
    <comment authorId="5" xr:uid="{26842077-8097-40ca-9507-4695ad0bd75c}" ref="A1">
      <text>
        <t xml:space="preserve">[Threaded comment]
 Your version of Excel allows you to read this threaded comment; however, any edits to it will get removed if the file is opened in a newer version of Excel. Learn more: https://go.microsoft.com/fwlink/?linkid=870924
Comment:
	NON PUO' PIU' FREQUENTARE, LA MAMMA FARà AL POSTO SUO UN CORSO DI PILATES (GIAD)
IL 03/10/2022 HA PAGATO 360
</t>
      </text>
    </comment>
    <comment authorId="6" xr:uid="{38174c7d-92e1-4e83-ada7-0ba30703e3d5}" ref="A1">
      <text>
        <t xml:space="preserve">[Threaded comment]
 Your version of Excel allows you to read this threaded comment; however, any edits to it will get removed if the file is opened in a newer version of Excel. Learn more: https://go.microsoft.com/fwlink/?linkid=870924
Comment:
	HA PAGATO 250€ IL 13/12/2022 PER UN CORSO MELEMER20 PER LEI E IL MARITO (GIFT) MA NON ERANO D'ACCORDO SI DOVEVANO SPOSTARE MA NON HANNO MAI DECISO
</t>
      </text>
    </comment>
    <comment authorId="7" xr:uid="{42129653-3b99-4247-947e-9ed961c18672}" ref="B436">
      <text>
        <t xml:space="preserve">[Threaded comment]
 Your version of Excel allows you to read this threaded comment; however, any edits to it will get removed if the file is opened in a newer version of Excel. Learn more: https://go.microsoft.com/fwlink/?linkid=870924
Comment:
	@gaetano@studio-gem.it buongiorno Gae, puoi aggiungere il mio nome nella colonna B ? Grazie
Attività assegnata a gaetano@studio-gem.it
</t>
      </text>
    </comment>
    <comment authorId="8" xr:uid="{46f8b248-eb91-400f-9f79-252608ba1913}" ref="A1">
      <text>
        <t xml:space="preserve">[Threaded comment]
 Your version of Excel allows you to read this threaded comment; however, any edits to it will get removed if the file is opened in a newer version of Excel. Learn more: https://go.microsoft.com/fwlink/?linkid=870924
Comment:
	giuditta@studio-gem.it
</t>
      </text>
    </comment>
    <comment authorId="9" xr:uid="{4a7292a7-17be-4305-9993-1518914b00c4}" ref="A1">
      <text>
        <t xml:space="preserve">[Threaded comment]
 Your version of Excel allows you to read this threaded comment; however, any edits to it will get removed if the file is opened in a newer version of Excel. Learn more: https://go.microsoft.com/fwlink/?linkid=870924
Comment:
	SMS INVIATO JOEL
</t>
      </text>
    </comment>
    <comment authorId="10" xr:uid="{4d80415d-11f7-4a89-8c11-a2af4f62d1ff}" ref="A1">
      <text>
        <t xml:space="preserve">[Threaded comment]
 Your version of Excel allows you to read this threaded comment; however, any edits to it will get removed if the file is opened in a newer version of Excel. Learn more: https://go.microsoft.com/fwlink/?linkid=870924
Comment:
	giuditta@studio-gem.it
</t>
      </text>
    </comment>
    <comment authorId="11" xr:uid="{56f93511-c667-4ee2-9fd6-aae8495f7d50}" ref="A1">
      <text>
        <t xml:space="preserve">[Threaded comment]
 Your version of Excel allows you to read this threaded comment; however, any edits to it will get removed if the file is opened in a newer version of Excel. Learn more: https://go.microsoft.com/fwlink/?linkid=870924
Comment:
	lei era iscritta a dicarlolun20 aveva pagato 550. € 360 messi nel 1 quadr. di cerchio e la rimanente cifra di € 190 in questo corso
</t>
      </text>
    </comment>
    <comment authorId="12" xr:uid="{72c73e62-6b6b-41fe-8ab0-c50d78ebbfcc}" ref="A1">
      <text>
        <t xml:space="preserve">[Threaded comment]
 Your version of Excel allows you to read this threaded comment; however, any edits to it will get removed if the file is opened in a newer version of Excel. Learn more: https://go.microsoft.com/fwlink/?linkid=870924
Comment:
	Deve scrivere la segreteria
</t>
      </text>
    </comment>
    <comment authorId="13" xr:uid="{7a219af3-d6c1-4cc7-9967-6b1958617051}" ref="A1">
      <text>
        <t xml:space="preserve">[Threaded comment]
 Your version of Excel allows you to read this threaded comment; however, any edits to it will get removed if the file is opened in a newer version of Excel. Learn more: https://go.microsoft.com/fwlink/?linkid=870924
Comment:
	IL 30/06/22 HA PAGATO 245€ 1 CORSO
</t>
      </text>
    </comment>
    <comment authorId="14" xr:uid="{86689c9b-cce2-475e-9702-33673eae03a1}" ref="A1">
      <text>
        <t xml:space="preserve">[Threaded comment]
 Your version of Excel allows you to read this threaded comment; however, any edits to it will get removed if the file is opened in a newer version of Excel. Learn more: https://go.microsoft.com/fwlink/?linkid=870924
Comment:
	CHIEDERE CONFERMA (JANIN)
</t>
      </text>
    </comment>
    <comment authorId="15" xr:uid="{8881233e-cc7d-4524-a15b-e6385b61000c}" ref="A1">
      <text>
        <t xml:space="preserve">[Threaded comment]
 Your version of Excel allows you to read this threaded comment; however, any edits to it will get removed if the file is opened in a newer version of Excel. Learn more: https://go.microsoft.com/fwlink/?linkid=870924
Comment:
	Estrapolare e creare file dipendente
</t>
      </text>
    </comment>
    <comment authorId="16" xr:uid="{94f973a3-581c-4ea6-a6cd-0276617de67e}" ref="A1">
      <text>
        <t xml:space="preserve">[Threaded comment]
 Your version of Excel allows you to read this threaded comment; however, any edits to it will get removed if the file is opened in a newer version of Excel. Learn more: https://go.microsoft.com/fwlink/?linkid=870924
Comment:
	@massimiliano@studio-gem.it ciao, è sicuro questo spostamento?
Reply:
	si sicuro
Reply:
	mi sono dimenticato di aggiungere altri orari
Reply:
	ok era solo per sapere
Reply:
	@gaechacha@gmail.com prova per slack
</t>
      </text>
    </comment>
    <comment authorId="17" xr:uid="{98781755-9607-4756-8463-cb1cb767496f}" ref="E6">
      <text>
        <t xml:space="preserve">[Threaded comment]
 Your version of Excel allows you to read this threaded comment; however, any edits to it will get removed if the file is opened in a newer version of Excel. Learn more: https://go.microsoft.com/fwlink/?linkid=870924
Comment:
	inviata rettifica via mail 12/09
</t>
      </text>
    </comment>
    <comment authorId="18" xr:uid="{b1f66c4e-f428-420a-9b45-3ab797bb6b3c}" ref="A1">
      <text>
        <t xml:space="preserve">[Threaded comment]
 Your version of Excel allows you to read this threaded comment; however, any edits to it will get removed if the file is opened in a newer version of Excel. Learn more: https://go.microsoft.com/fwlink/?linkid=870924
Comment:
	HA PAGATO 425€ IL 20/9/22
</t>
      </text>
    </comment>
    <comment authorId="19" xr:uid="{ce925525-524b-4c24-a9ef-3615b7be01b1}" ref="A1">
      <text>
        <t xml:space="preserve">[Threaded comment]
 Your version of Excel allows you to read this threaded comment; however, any edits to it will get removed if the file is opened in a newer version of Excel. Learn more: https://go.microsoft.com/fwlink/?linkid=870924
Comment:
	@massimiliano@studio-gem.it verifica staff
Attività assegnata a massimiliano@studio-gem.it
</t>
      </text>
    </comment>
    <comment authorId="20" xr:uid="{e5ea74b2-4614-43e0-8252-b6c1f7b96ca3}" ref="A1">
      <text>
        <t xml:space="preserve">[Threaded comment]
 Your version of Excel allows you to read this threaded comment; however, any edits to it will get removed if the file is opened in a newer version of Excel. Learn more: https://go.microsoft.com/fwlink/?linkid=870924
Comment:
	cede abbonamento alla mamma Gugliada Micol che si iscrive a Nembrimer20:30
</t>
      </text>
    </comment>
    <comment authorId="21" xr:uid="{efffd15a-b5e5-4d7c-885b-a743aa3ee251}" ref="A1">
      <text>
        <t xml:space="preserve">[Threaded comment]
 Your version of Excel allows you to read this threaded comment; however, any edits to it will get removed if the file is opened in a newer version of Excel. Learn more: https://go.microsoft.com/fwlink/?linkid=870924
Comment:
	MANCA PARTECIPAZIONE ATHENA
</t>
      </text>
    </comment>
    <comment authorId="22" xr:uid="{f5e57f5a-911a-401d-9c11-767a5743a343}" ref="B13">
      <text>
        <t xml:space="preserve">[Threaded comment]
 Your version of Excel allows you to read this threaded comment; however, any edits to it will get removed if the file is opened in a newer version of Excel. Learn more: https://go.microsoft.com/fwlink/?linkid=870924
Comment:
	@gaetano@studio-gem.it
Attività assegnata a gaetano@studio-gem.it
Reply:
	puoi aggiungere il mio nominativo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In questa colonna potete inserire anche nomi d'insegnanti non presenti nella tendina </t>
      </text>
    </comment>
    <comment authorId="0" ref="F147">
      <text>
        <t xml:space="preserve">sms inviato</t>
      </text>
    </comment>
    <comment authorId="0" ref="F148">
      <text>
        <t xml:space="preserve">sms inviato</t>
      </text>
    </comment>
    <comment authorId="0" ref="F149">
      <text>
        <t xml:space="preserve">sms inviato </t>
      </text>
    </comment>
    <comment authorId="0" ref="F150">
      <text>
        <t xml:space="preserve">sms inviato</t>
      </text>
    </comment>
    <comment authorId="0" ref="F247">
      <text>
        <t xml:space="preserve">SMS INVIATO JOEL</t>
      </text>
    </comment>
    <comment authorId="0" ref="F258">
      <text>
        <t xml:space="preserve">SMS INVIATO JOEL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tc={01550fc3-2b80-4281-bc81-7ae2a3534f18}</author>
    <author>tc={02cdbb52-1ea3-4e42-a719-9760b13a20b2}</author>
    <author>tc={12fd257d-52ff-40cd-b7f5-9230e1e1958c}</author>
    <author>tc={18d85e89-5ffb-4af8-8367-82c46e4a11f8}</author>
    <author>tc={1c341479-c360-482d-ba44-521460319b3b}</author>
    <author>tc={2bad3d73-db40-411c-8661-4ca6164bd8c3}</author>
    <author>tc={2c8855f1-a205-4e34-8dda-c6f650add876}</author>
    <author>tc={34142849-69e5-4507-bdec-5f966437d1fb}</author>
    <author>tc={4b973d3b-4f8c-4adf-b2ce-8f2d23304272}</author>
    <author>tc={75684824-64ae-49b6-acfe-f49e2ef39514}</author>
    <author>tc={7c69969a-0e10-4860-8699-2b7f4111260c}</author>
    <author>tc={85581e2d-3292-427f-b993-f96a6bc1ce20}</author>
    <author>tc={89085165-8a54-4c27-bb58-b442b7d61aa9}</author>
    <author>tc={8b565347-33c5-407d-ac6a-faf32b827398}</author>
    <author>tc={988078dc-3fbd-414b-ac7b-38050b5b9c58}</author>
    <author>tc={9bc9c290-cdac-43fd-9ccb-6cd0d49711e2}</author>
    <author>tc={a0a27a88-c00d-4390-a660-566e711f948a}</author>
    <author>tc={a30728d5-7cc9-4db0-acf5-9ab03e895e47}</author>
    <author>tc={b3f1d4de-0878-49d5-a683-50cbe43e9fe2}</author>
    <author>tc={bc2c204f-0ff8-4389-8520-fe17a28ca736}</author>
    <author>tc={c55c54f3-e24e-433d-b5dc-eb2a6d34c3d6}</author>
    <author>tc={cde174d3-ba55-4fa2-8b61-1646c0ceb773}</author>
    <author>tc={d41ed38d-1717-439c-93fb-f5a613fe5e7f}</author>
    <author>tc={dcaac95c-3791-4691-a400-c3901c02503f}</author>
    <author>tc={eaa27715-2b55-47ba-9e86-929de0406694}</author>
    <author>tc={eff0dab9-b14f-4941-b3dd-2a6b2d7aea6f}</author>
    <author>tc={f9fa51f5-e8e5-4c78-b955-d850ec99febd}</author>
  </authors>
  <commentList>
    <comment authorId="0" xr:uid="{01550fc3-2b80-4281-bc81-7ae2a3534f18}" ref="G11">
      <text>
        <t xml:space="preserve">[Threaded comment]
 Your version of Excel allows you to read this threaded comment; however, any edits to it will get removed if the file is opened in a newer version of Excel. Learn more: https://go.microsoft.com/fwlink/?linkid=870924
Comment:
	2425MARINOVEN17
</t>
      </text>
    </comment>
    <comment authorId="1" xr:uid="{02cdbb52-1ea3-4e42-a719-9760b13a20b2}" ref="F3">
      <text>
        <t xml:space="preserve">[Threaded comment]
 Your version of Excel allows you to read this threaded comment; however, any edits to it will get removed if the file is opened in a newer version of Excel. Learn more: https://go.microsoft.com/fwlink/?linkid=870924
Comment:
	2425DARIENZOSAB14
</t>
      </text>
    </comment>
    <comment authorId="2" xr:uid="{12fd257d-52ff-40cd-b7f5-9230e1e1958c}" ref="F29">
      <text>
        <t xml:space="preserve">[Threaded comment]
 Your version of Excel allows you to read this threaded comment; however, any edits to it will get removed if the file is opened in a newer version of Excel. Learn more: https://go.microsoft.com/fwlink/?linkid=870924
Comment:
	2425PICCIRILLOSAB16
</t>
      </text>
    </comment>
    <comment authorId="3" xr:uid="{18d85e89-5ffb-4af8-8367-82c46e4a11f8}" ref="F24">
      <text>
        <t xml:space="preserve">[Threaded comment]
 Your version of Excel allows you to read this threaded comment; however, any edits to it will get removed if the file is opened in a newer version of Excel. Learn more: https://go.microsoft.com/fwlink/?linkid=870924
Comment:
	2425LUISETTOMER21
</t>
      </text>
    </comment>
    <comment authorId="4" xr:uid="{1c341479-c360-482d-ba44-521460319b3b}" ref="G10">
      <text>
        <t xml:space="preserve">[Threaded comment]
 Your version of Excel allows you to read this threaded comment; however, any edits to it will get removed if the file is opened in a newer version of Excel. Learn more: https://go.microsoft.com/fwlink/?linkid=870924
Comment:
	2425MARINOVEN17
</t>
      </text>
    </comment>
    <comment authorId="5" xr:uid="{2bad3d73-db40-411c-8661-4ca6164bd8c3}" ref="F20">
      <text>
        <t xml:space="preserve">[Threaded comment]
 Your version of Excel allows you to read this threaded comment; however, any edits to it will get removed if the file is opened in a newer version of Excel. Learn more: https://go.microsoft.com/fwlink/?linkid=870924
Comment:
	2425NEMBRIGIO20
</t>
      </text>
    </comment>
    <comment authorId="6" xr:uid="{2c8855f1-a205-4e34-8dda-c6f650add876}" ref="G26">
      <text>
        <t xml:space="preserve">[Threaded comment]
 Your version of Excel allows you to read this threaded comment; however, any edits to it will get removed if the file is opened in a newer version of Excel. Learn more: https://go.microsoft.com/fwlink/?linkid=870924
Comment:
	2425SETTIVEN19
</t>
      </text>
    </comment>
    <comment authorId="7" xr:uid="{34142849-69e5-4507-bdec-5f966437d1fb}" ref="F15">
      <text>
        <t xml:space="preserve">[Threaded comment]
 Your version of Excel allows you to read this threaded comment; however, any edits to it will get removed if the file is opened in a newer version of Excel. Learn more: https://go.microsoft.com/fwlink/?linkid=870924
Comment:
	2425LUISETTOGIO21
</t>
      </text>
    </comment>
    <comment authorId="8" xr:uid="{4b973d3b-4f8c-4adf-b2ce-8f2d23304272}" ref="G29">
      <text>
        <t xml:space="preserve">[Threaded comment]
 Your version of Excel allows you to read this threaded comment; however, any edits to it will get removed if the file is opened in a newer version of Excel. Learn more: https://go.microsoft.com/fwlink/?linkid=870924
Comment:
	2425PICCIRILLOMER19
</t>
      </text>
    </comment>
    <comment authorId="9" xr:uid="{75684824-64ae-49b6-acfe-f49e2ef39514}" ref="G13">
      <text>
        <t xml:space="preserve">[Threaded comment]
 Your version of Excel allows you to read this threaded comment; however, any edits to it will get removed if the file is opened in a newer version of Excel. Learn more: https://go.microsoft.com/fwlink/?linkid=870924
Comment:
	2425GARIANOGIO20
</t>
      </text>
    </comment>
    <comment authorId="10" xr:uid="{7c69969a-0e10-4860-8699-2b7f4111260c}" ref="G15">
      <text>
        <t xml:space="preserve">[Threaded comment]
 Your version of Excel allows you to read this threaded comment; however, any edits to it will get removed if the file is opened in a newer version of Excel. Learn more: https://go.microsoft.com/fwlink/?linkid=870924
Comment:
	2425LUISETTOGIO20
</t>
      </text>
    </comment>
    <comment authorId="11" xr:uid="{85581e2d-3292-427f-b993-f96a6bc1ce20}" ref="G16">
      <text>
        <t xml:space="preserve">[Threaded comment]
 Your version of Excel allows you to read this threaded comment; however, any edits to it will get removed if the file is opened in a newer version of Excel. Learn more: https://go.microsoft.com/fwlink/?linkid=870924
Comment:
	2425CRUZVEN19
</t>
      </text>
    </comment>
    <comment authorId="12" xr:uid="{89085165-8a54-4c27-bb58-b442b7d61aa9}" ref="G3">
      <text>
        <t xml:space="preserve">[Threaded comment]
 Your version of Excel allows you to read this threaded comment; however, any edits to it will get removed if the file is opened in a newer version of Excel. Learn more: https://go.microsoft.com/fwlink/?linkid=870924
Comment:
	2425DARIENZOSAB15
</t>
      </text>
    </comment>
    <comment authorId="13" xr:uid="{8b565347-33c5-407d-ac6a-faf32b827398}" ref="F12">
      <text>
        <t xml:space="preserve">[Threaded comment]
 Your version of Excel allows you to read this threaded comment; however, any edits to it will get removed if the file is opened in a newer version of Excel. Learn more: https://go.microsoft.com/fwlink/?linkid=870924
Comment:
	2425TODISCOSAB14
</t>
      </text>
    </comment>
    <comment authorId="14" xr:uid="{988078dc-3fbd-414b-ac7b-38050b5b9c58}" ref="F13">
      <text>
        <t xml:space="preserve">[Threaded comment]
 Your version of Excel allows you to read this threaded comment; however, any edits to it will get removed if the file is opened in a newer version of Excel. Learn more: https://go.microsoft.com/fwlink/?linkid=870924
Comment:
	2425CRUZGIO20
</t>
      </text>
    </comment>
    <comment authorId="15" xr:uid="{9bc9c290-cdac-43fd-9ccb-6cd0d49711e2}" ref="F25">
      <text>
        <t xml:space="preserve">[Threaded comment]
 Your version of Excel allows you to read this threaded comment; however, any edits to it will get removed if the file is opened in a newer version of Excel. Learn more: https://go.microsoft.com/fwlink/?linkid=870924
Comment:
	2425DUTTASAB13
</t>
      </text>
    </comment>
    <comment authorId="16" xr:uid="{a0a27a88-c00d-4390-a660-566e711f948a}" ref="F28">
      <text>
        <t xml:space="preserve">[Threaded comment]
 Your version of Excel allows you to read this threaded comment; however, any edits to it will get removed if the file is opened in a newer version of Excel. Learn more: https://go.microsoft.com/fwlink/?linkid=870924
Comment:
	2425BONNIVEN20
</t>
      </text>
    </comment>
    <comment authorId="17" xr:uid="{a30728d5-7cc9-4db0-acf5-9ab03e895e47}" ref="F18">
      <text>
        <t xml:space="preserve">[Threaded comment]
 Your version of Excel allows you to read this threaded comment; however, any edits to it will get removed if the file is opened in a newer version of Excel. Learn more: https://go.microsoft.com/fwlink/?linkid=870924
Comment:
	2425PUGGIONIGIO20
</t>
      </text>
    </comment>
    <comment authorId="18" xr:uid="{b3f1d4de-0878-49d5-a683-50cbe43e9fe2}" ref="F17">
      <text>
        <t xml:space="preserve">[Threaded comment]
 Your version of Excel allows you to read this threaded comment; however, any edits to it will get removed if the file is opened in a newer version of Excel. Learn more: https://go.microsoft.com/fwlink/?linkid=870924
Comment:
	2425PUGGIONIGIO19
</t>
      </text>
    </comment>
    <comment authorId="19" xr:uid="{bc2c204f-0ff8-4389-8520-fe17a28ca736}" ref="F14">
      <text>
        <t xml:space="preserve">[Threaded comment]
 Your version of Excel allows you to read this threaded comment; however, any edits to it will get removed if the file is opened in a newer version of Excel. Learn more: https://go.microsoft.com/fwlink/?linkid=870924
Comment:
	2425NEMBRIGIO20
</t>
      </text>
    </comment>
    <comment authorId="20" xr:uid="{c55c54f3-e24e-433d-b5dc-eb2a6d34c3d6}" ref="G25">
      <text>
        <t xml:space="preserve">[Threaded comment]
 Your version of Excel allows you to read this threaded comment; however, any edits to it will get removed if the file is opened in a newer version of Excel. Learn more: https://go.microsoft.com/fwlink/?linkid=870924
Comment:
	2425DUTTASAB15
</t>
      </text>
    </comment>
    <comment authorId="21" xr:uid="{cde174d3-ba55-4fa2-8b61-1646c0ceb773}" ref="G12">
      <text>
        <t xml:space="preserve">[Threaded comment]
 Your version of Excel allows you to read this threaded comment; however, any edits to it will get removed if the file is opened in a newer version of Excel. Learn more: https://go.microsoft.com/fwlink/?linkid=870924
Comment:
	2425VASSALLOSAB14
</t>
      </text>
    </comment>
    <comment authorId="22" xr:uid="{d41ed38d-1717-439c-93fb-f5a613fe5e7f}" ref="F19">
      <text>
        <t xml:space="preserve">[Threaded comment]
 Your version of Excel allows you to read this threaded comment; however, any edits to it will get removed if the file is opened in a newer version of Excel. Learn more: https://go.microsoft.com/fwlink/?linkid=870924
Comment:
	2425NEMBRIGIO20
</t>
      </text>
    </comment>
    <comment authorId="23" xr:uid="{dcaac95c-3791-4691-a400-c3901c02503f}" ref="G28">
      <text>
        <t xml:space="preserve">[Threaded comment]
 Your version of Excel allows you to read this threaded comment; however, any edits to it will get removed if the file is opened in a newer version of Excel. Learn more: https://go.microsoft.com/fwlink/?linkid=870924
Comment:
	2425ARUTAMER20
</t>
      </text>
    </comment>
    <comment authorId="24" xr:uid="{eaa27715-2b55-47ba-9e86-929de0406694}" ref="G17">
      <text>
        <t xml:space="preserve">[Threaded comment]
 Your version of Excel allows you to read this threaded comment; however, any edits to it will get removed if the file is opened in a newer version of Excel. Learn more: https://go.microsoft.com/fwlink/?linkid=870924
Comment:
	2425PUGGIONIGIO20
</t>
      </text>
    </comment>
    <comment authorId="25" xr:uid="{eff0dab9-b14f-4941-b3dd-2a6b2d7aea6f}" ref="G18">
      <text>
        <t xml:space="preserve">[Threaded comment]
 Your version of Excel allows you to read this threaded comment; however, any edits to it will get removed if the file is opened in a newer version of Excel. Learn more: https://go.microsoft.com/fwlink/?linkid=870924
Comment:
	2425MIRAMGIO18
</t>
      </text>
    </comment>
    <comment authorId="26" xr:uid="{f9fa51f5-e8e5-4c78-b955-d850ec99febd}" ref="F23">
      <text>
        <t xml:space="preserve">[Threaded comment]
 Your version of Excel allows you to read this threaded comment; however, any edits to it will get removed if the file is opened in a newer version of Excel. Learn more: https://go.microsoft.com/fwlink/?linkid=870924
Comment:
	2425LUISETTOMER21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tc={0fb78ff9-7802-497d-b258-f1c78858dede}</author>
    <author>tc={2f60a694-4f5f-48e7-8e2b-64a249c8b8e8}</author>
    <author>tc={6f655407-8c42-4d70-be9a-be77bd797c2f}</author>
    <author>tc={e8d153b9-8e0d-4172-a7f7-fcb24fef6f26}</author>
  </authors>
  <commentList>
    <comment authorId="0" ref="E2">
      <text>
        <t xml:space="preserve">In questa colonna potete inserire anche nomi d'insegnanti non presenti nella tendina </t>
      </text>
    </comment>
    <comment authorId="1" xr:uid="{0fb78ff9-7802-497d-b258-f1c78858dede}" ref="F495">
      <text>
        <t xml:space="preserve">[Threaded comment]
 Your version of Excel allows you to read this threaded comment; however, any edits to it will get removed if the file is opened in a newer version of Excel. Learn more: https://go.microsoft.com/fwlink/?linkid=870924
Comment:
	mandato sms
</t>
      </text>
    </comment>
    <comment authorId="2" xr:uid="{2f60a694-4f5f-48e7-8e2b-64a249c8b8e8}" ref="C402">
      <text>
        <t xml:space="preserve">[Threaded comment]
 Your version of Excel allows you to read this threaded comment; however, any edits to it will get removed if the file is opened in a newer version of Excel. Learn more: https://go.microsoft.com/fwlink/?linkid=870924
Comment:
	crissa
</t>
      </text>
    </comment>
    <comment authorId="3" xr:uid="{6f655407-8c42-4d70-be9a-be77bd797c2f}" ref="A1">
      <text>
        <t xml:space="preserve">[Threaded comment]
 Your version of Excel allows you to read this threaded comment; however, any edits to it will get removed if the file is opened in a newer version of Excel. Learn more: https://go.microsoft.com/fwlink/?linkid=870924
Comment:
	Deve scrivere solo Massi
</t>
      </text>
    </comment>
    <comment authorId="4" xr:uid="{e8d153b9-8e0d-4172-a7f7-fcb24fef6f26}" ref="F496">
      <text>
        <t xml:space="preserve">[Threaded comment]
 Your version of Excel allows you to read this threaded comment; however, any edits to it will get removed if the file is opened in a newer version of Excel. Learn more: https://go.microsoft.com/fwlink/?linkid=870924
Comment:
	sms mandato alle persone iscritte al corso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tc={250ce1d7-5d98-4fef-86ad-3faa1fce3eac}</author>
    <author>tc={255c1b7f-0ea1-4f68-8890-6eb2f24d929e}</author>
  </authors>
  <commentList>
    <comment authorId="0" xr:uid="{250ce1d7-5d98-4fef-86ad-3faa1fce3eac}" ref="B30">
      <text>
        <t xml:space="preserve">[Threaded comment]
 Your version of Excel allows you to read this threaded comment; however, any edits to it will get removed if the file is opened in a newer version of Excel. Learn more: https://go.microsoft.com/fwlink/?linkid=870924
Comment:
	IRENE
</t>
      </text>
    </comment>
    <comment authorId="1" xr:uid="{255c1b7f-0ea1-4f68-8890-6eb2f24d929e}" ref="I2">
      <text>
        <t xml:space="preserve">[Threaded comment]
 Your version of Excel allows you to read this threaded comment; however, any edits to it will get removed if the file is opened in a newer version of Excel. Learn more: https://go.microsoft.com/fwlink/?linkid=870924
Comment:
	@santo@studio-gem.it @giuditta@studio-gem.it  a cosa serve questa colonna???
@elisalsa66@gmail.com
</t>
      </text>
    </comment>
  </commentList>
</comments>
</file>

<file path=xl/sharedStrings.xml><?xml version="1.0" encoding="utf-8"?>
<sst xmlns="http://schemas.openxmlformats.org/spreadsheetml/2006/main" count="7118" uniqueCount="2075">
  <si>
    <t xml:space="preserve"> (per il Team: se dovete inserire righe, fatelo prima di arrivare alla fine. È importante non farlo sull'ultima riga!)</t>
  </si>
  <si>
    <t>2025-2026 SOSTITUZIONI ISTRUTTORI</t>
  </si>
  <si>
    <t>DATA ASSENZA</t>
  </si>
  <si>
    <t>CHI SCRIVE</t>
  </si>
  <si>
    <t>NOME ISTRUTTORI ASSENTE</t>
  </si>
  <si>
    <t>LEZIONE ASSENZA</t>
  </si>
  <si>
    <t>SOSTITUTO</t>
  </si>
  <si>
    <t>NOTE</t>
  </si>
  <si>
    <t>VISTO Segreteria</t>
  </si>
  <si>
    <t>VISTO Elisa</t>
  </si>
  <si>
    <t>Giuditta</t>
  </si>
  <si>
    <t>Crissa</t>
  </si>
  <si>
    <t>prova di urban female martedì ore 18:30</t>
  </si>
  <si>
    <t>avvisare con sms (fatto Ale)</t>
  </si>
  <si>
    <t>Cecilia Pacillo</t>
  </si>
  <si>
    <t>mercoledì ore 18:30 -19:30</t>
  </si>
  <si>
    <t>nessuno</t>
  </si>
  <si>
    <t>inviata mail per prova il 17/09</t>
  </si>
  <si>
    <t>Massi</t>
  </si>
  <si>
    <t>Giulia Setti</t>
  </si>
  <si>
    <t>venerdi ore 18.30 e 19.30</t>
  </si>
  <si>
    <t xml:space="preserve">nessuno (sms inviato-NURA) </t>
  </si>
  <si>
    <t>la prova dei 2 corsi di fitness del venerdi li farà venerdi 19 settembre</t>
  </si>
  <si>
    <t>Erika Geddo</t>
  </si>
  <si>
    <t>venerdi ore 18.30 e 20.30</t>
  </si>
  <si>
    <t>la prova dei 2 corsi di danza del venerdi li farà venerdi 26 settembre</t>
  </si>
  <si>
    <t>Alexandra</t>
  </si>
  <si>
    <t>Blue</t>
  </si>
  <si>
    <t>venerdì ore 19,30</t>
  </si>
  <si>
    <t>a prova del cors di danza del venerdi li farà venerdi 19 settembre</t>
  </si>
  <si>
    <t>Silvia Grande</t>
  </si>
  <si>
    <t>VENERDì ORE 15:00/16:00</t>
  </si>
  <si>
    <t>PROVA IL 26/09</t>
  </si>
  <si>
    <t>Stefano Saracchi</t>
  </si>
  <si>
    <t xml:space="preserve">LUNEDI ORE 21:30 </t>
  </si>
  <si>
    <t>ASSENTE</t>
  </si>
  <si>
    <t xml:space="preserve">ORE 18:30 MARTEDì </t>
  </si>
  <si>
    <t>NESSUN ALLIEVO</t>
  </si>
  <si>
    <t>David Bellay</t>
  </si>
  <si>
    <t>ORE 20:30 MARTEDì</t>
  </si>
  <si>
    <t>Massimiliano Nembri</t>
  </si>
  <si>
    <t>ORE 21:30 MARTEDì</t>
  </si>
  <si>
    <t>NO LEZIONE</t>
  </si>
  <si>
    <t>martedi 18:30</t>
  </si>
  <si>
    <t xml:space="preserve">aveva una persona </t>
  </si>
  <si>
    <t>mercoledi ore 18.30 e 19.30</t>
  </si>
  <si>
    <t xml:space="preserve">avvisare con sms (fatto ale) </t>
  </si>
  <si>
    <t>Angela Stanisci</t>
  </si>
  <si>
    <t>giovedi ore 9.10, e 13</t>
  </si>
  <si>
    <t>Fergie</t>
  </si>
  <si>
    <t>venerdi ore 18.30</t>
  </si>
  <si>
    <t>mandiamole in altre classi (fatto Joel)</t>
  </si>
  <si>
    <t>venerdi ore hip hop 19.30</t>
  </si>
  <si>
    <t>Aldrin Magarro</t>
  </si>
  <si>
    <t>Anahita</t>
  </si>
  <si>
    <t xml:space="preserve">venerdì ore 18.30 e 19.30 </t>
  </si>
  <si>
    <t>Amber Dutta</t>
  </si>
  <si>
    <t>venerdì ore 20.30</t>
  </si>
  <si>
    <t>la prova dei 2 corsi li farà venerdi 26 settembre f(fatto Joel)</t>
  </si>
  <si>
    <t>Estefany</t>
  </si>
  <si>
    <t>Carlos Cruz</t>
  </si>
  <si>
    <t>venerdi 10:00</t>
  </si>
  <si>
    <t>nessun allievo</t>
  </si>
  <si>
    <t>Alex Bonni</t>
  </si>
  <si>
    <t>lunedi 21:30</t>
  </si>
  <si>
    <t xml:space="preserve">nessuno </t>
  </si>
  <si>
    <t>Giada Todisco</t>
  </si>
  <si>
    <t>Roy Ilagou</t>
  </si>
  <si>
    <t xml:space="preserve">lunedi ore 19.30, 20.30, </t>
  </si>
  <si>
    <t>sms inviato Joel</t>
  </si>
  <si>
    <t>Gaya Ciani</t>
  </si>
  <si>
    <t xml:space="preserve">HA FATTO LEZIONE al posto di roy </t>
  </si>
  <si>
    <t>martedi ore 17.30</t>
  </si>
  <si>
    <t>la lezione di prova bambini verà fatta la settimana dopo</t>
  </si>
  <si>
    <t>Dennis Pozzoli</t>
  </si>
  <si>
    <t>mercoledì ore 19,30</t>
  </si>
  <si>
    <t>Simone Carizzoni</t>
  </si>
  <si>
    <t>Annachiara Conti</t>
  </si>
  <si>
    <t>giovedi tutti i suoi corsi</t>
  </si>
  <si>
    <t>Elisa Mazzarolo</t>
  </si>
  <si>
    <t>Erica Di Carlo</t>
  </si>
  <si>
    <t xml:space="preserve">giovedi ore 16.30, 17.30, 18.30 </t>
  </si>
  <si>
    <t>sono le lezioni di prova dei bambini le farà la settimana successiva. Avvisare i genitori  (SMS inviato Joel)</t>
  </si>
  <si>
    <t>giovedi ore 19.30</t>
  </si>
  <si>
    <t>Alessandra Marino</t>
  </si>
  <si>
    <t>Samuel Puggioni</t>
  </si>
  <si>
    <t>giovedì 17:30-18-19-20-21</t>
  </si>
  <si>
    <t xml:space="preserve">sostituta alessia trocchianesi pagare samuel </t>
  </si>
  <si>
    <t>lunedi ore 13</t>
  </si>
  <si>
    <t>mandare sms</t>
  </si>
  <si>
    <t>ORE 18:30 CORSO CHIUSO</t>
  </si>
  <si>
    <t>lunedi 17.30 pilates</t>
  </si>
  <si>
    <t xml:space="preserve">mandare sms (SMS E MAIL inviate - GIULIA E NURA) </t>
  </si>
  <si>
    <t>martedi 19.30 pilates</t>
  </si>
  <si>
    <t>inizierà una nuova maestra CENZON ALICE</t>
  </si>
  <si>
    <t>Aurelio Niceta</t>
  </si>
  <si>
    <t>martedi ore 21.30</t>
  </si>
  <si>
    <t>da sola la maestra</t>
  </si>
  <si>
    <t>mercoledi ore 17.30 e 18.30</t>
  </si>
  <si>
    <t>mandare sms (inviati ale )</t>
  </si>
  <si>
    <t>venerdi 18.30 e 19.30</t>
  </si>
  <si>
    <t xml:space="preserve">mandare sms (INIVIATO NURA) </t>
  </si>
  <si>
    <t>NESSUN ALLIEVO ore 20:30</t>
  </si>
  <si>
    <t>lunedi ore 19.30 e 21.30</t>
  </si>
  <si>
    <t>Martina Campobello</t>
  </si>
  <si>
    <t>mercoledi ore 19.30</t>
  </si>
  <si>
    <t>gioevdu ore 18.30</t>
  </si>
  <si>
    <t>Raffaella Russo</t>
  </si>
  <si>
    <t>giovedì ore 20:30-21:30</t>
  </si>
  <si>
    <t>mandiamole in altre classi</t>
  </si>
  <si>
    <t>Margherita Vassallo</t>
  </si>
  <si>
    <t>SABATO 12,13 ,14</t>
  </si>
  <si>
    <t xml:space="preserve">FRANCHI ELEONORA </t>
  </si>
  <si>
    <t>paghiamo silvia grande</t>
  </si>
  <si>
    <t>Carolina De Pontes</t>
  </si>
  <si>
    <t xml:space="preserve">lunedi i suoi corsi </t>
  </si>
  <si>
    <t>michele grande 3892656490</t>
  </si>
  <si>
    <t>paghiamo carolina</t>
  </si>
  <si>
    <t xml:space="preserve">luendi i suoi corsi </t>
  </si>
  <si>
    <t>lunedi ore 17.30 e 18.30</t>
  </si>
  <si>
    <t>una sua assistente NICOLE BASILE</t>
  </si>
  <si>
    <t>paghiamo samuel</t>
  </si>
  <si>
    <t>lunedi ore 19.30 e 20.30 e 21.30</t>
  </si>
  <si>
    <t>lunedi ore 18.30 zumba</t>
  </si>
  <si>
    <t>nessuno avvisare sms mandato</t>
  </si>
  <si>
    <t>Dorian Kuqi</t>
  </si>
  <si>
    <t>Lunedi 13,00</t>
  </si>
  <si>
    <t>sms inviati Ale</t>
  </si>
  <si>
    <t>Ambra Galluzzo</t>
  </si>
  <si>
    <t>martedi i suoi corsi</t>
  </si>
  <si>
    <t>mandare sms - sms inviato Joel</t>
  </si>
  <si>
    <t>Sissi Miram</t>
  </si>
  <si>
    <t>mercoledi ore 17.30</t>
  </si>
  <si>
    <t>il suo corso a partire da 15 ottobre è stato preso da Giulia Setti</t>
  </si>
  <si>
    <t>giovedi i suoi corsi</t>
  </si>
  <si>
    <t>una sua assistente alessia trocchianesi, paghiamo samuel</t>
  </si>
  <si>
    <t>giovedi ore 17.30</t>
  </si>
  <si>
    <t xml:space="preserve">giovedi i suoi corsi </t>
  </si>
  <si>
    <t>una sua amica Chiara Prearo 3474113222 paghiamo alessandra</t>
  </si>
  <si>
    <t>Fabio Luisetto</t>
  </si>
  <si>
    <t>giovedì ore 20:30</t>
  </si>
  <si>
    <t>giovedì ore 21:30</t>
  </si>
  <si>
    <t>Alice Cenzon</t>
  </si>
  <si>
    <t>lunedi ore 17.30 pilates</t>
  </si>
  <si>
    <t>Ilaria Malin</t>
  </si>
  <si>
    <t>lunedì ore 13</t>
  </si>
  <si>
    <t>sms mandati Ale</t>
  </si>
  <si>
    <t>martedi ore 17.30 e 18.30</t>
  </si>
  <si>
    <t xml:space="preserve">nessun allievo alle 17,30
nessun allievo alle 18.30
MA DOBBIAMO PAGARLA </t>
  </si>
  <si>
    <r>
      <rPr>
        <rFont val="arial,sans,sans-serif"/>
      </rPr>
      <t xml:space="preserve">cristina rocca </t>
    </r>
    <r>
      <rPr>
        <rFont val="arial,sans,sans-serif"/>
        <b/>
      </rPr>
      <t>paghiamo sissi a 20€</t>
    </r>
  </si>
  <si>
    <t>giovedi ore 17,30</t>
  </si>
  <si>
    <t>Ronald Almeida</t>
  </si>
  <si>
    <t>giovedì 19:30</t>
  </si>
  <si>
    <t xml:space="preserve">prima lezione corso </t>
  </si>
  <si>
    <t>venerdi ore 17.30 e 18.30</t>
  </si>
  <si>
    <t>alessia trocchianesi ( paghimao alessandra)</t>
  </si>
  <si>
    <t>Anna Franzini</t>
  </si>
  <si>
    <t>sabato i suoi corsi</t>
  </si>
  <si>
    <t>mandiamole in altri corsi (avvisati nura)</t>
  </si>
  <si>
    <t>sabato ore 13 e 16.30</t>
  </si>
  <si>
    <t>sabato ore 14 e 15</t>
  </si>
  <si>
    <t>alessadnro miranda de paula PAGHIAMO AMBER 20€</t>
  </si>
  <si>
    <t>ore 15 e ore 17.30</t>
  </si>
  <si>
    <t>chiara</t>
  </si>
  <si>
    <t>paghiamo alessandra</t>
  </si>
  <si>
    <t>ore 18.30</t>
  </si>
  <si>
    <t>paghiamo ILARIA</t>
  </si>
  <si>
    <t>Giusy Palazzotto</t>
  </si>
  <si>
    <t>martedi ore 16.30 e 17.30</t>
  </si>
  <si>
    <t>una sua amica Viola seghetti ( 340 556 2450)</t>
  </si>
  <si>
    <t>paghiamo giusy</t>
  </si>
  <si>
    <t>venerdi 17.30 video dance bambini</t>
  </si>
  <si>
    <t>salta mandiamo SMS (inviati)</t>
  </si>
  <si>
    <t>venerdi 18.30 19.30 20.30</t>
  </si>
  <si>
    <t>mandiamole in altre classi mandare sms (inviati)</t>
  </si>
  <si>
    <t>venerdi SOLO orario 19.30</t>
  </si>
  <si>
    <t xml:space="preserve">mandimole l'ora prima o in altri corsi (inviati) </t>
  </si>
  <si>
    <t>venerdi ore 19.30 e 20.30</t>
  </si>
  <si>
    <t>Aurelia 351 8689376</t>
  </si>
  <si>
    <t xml:space="preserve">PILATES ORE 09:00 13:00 </t>
  </si>
  <si>
    <t>SILVIA GRANDE</t>
  </si>
  <si>
    <t>ore 10 e ore 11</t>
  </si>
  <si>
    <t>avvisare sms eventualemnte proponete dorian - sms inviato Joel</t>
  </si>
  <si>
    <t>ore 12 e ore 13</t>
  </si>
  <si>
    <t>mandiamoli da dorian - sms inviato Joel</t>
  </si>
  <si>
    <t>ore 18.30 e 19.30</t>
  </si>
  <si>
    <t>mandiamoli in altri corsi - sms inviato Joel</t>
  </si>
  <si>
    <t>ore 19.30</t>
  </si>
  <si>
    <t>mandiamoli in altri corsi -sms inviato Joel</t>
  </si>
  <si>
    <t>Andrea Piccirillo</t>
  </si>
  <si>
    <t>sabato le sue ore</t>
  </si>
  <si>
    <t>la sua allieva carol gugliuzzo 351 826 7104</t>
  </si>
  <si>
    <t>paghiamo andrea 20€</t>
  </si>
  <si>
    <t>sabato ore 12 e ore 13</t>
  </si>
  <si>
    <t xml:space="preserve">inviate email per avvisare </t>
  </si>
  <si>
    <t>lunedi 18.30 e 19.30</t>
  </si>
  <si>
    <t>mandiamole in altre classi mandare sms (fatto Ale)</t>
  </si>
  <si>
    <t>Consuelo Dos Santos</t>
  </si>
  <si>
    <t>da solo il maestro</t>
  </si>
  <si>
    <t>Jorge Avila</t>
  </si>
  <si>
    <t>LUNEDì 21:30</t>
  </si>
  <si>
    <t>lunedì ore 17,30 18,30 19,30</t>
  </si>
  <si>
    <t>Eleonora Santoro</t>
  </si>
  <si>
    <t>mandare sms (fatto estefany)</t>
  </si>
  <si>
    <t>Claudia Borri</t>
  </si>
  <si>
    <t>mercoledi 16.30 e 17.30</t>
  </si>
  <si>
    <t>ATTENZIONE SILVIA ARRIVA ALLE 18.40 - sms inviato Joel</t>
  </si>
  <si>
    <r>
      <rPr>
        <rFont val="arial,sans,sans-serif"/>
      </rPr>
      <t xml:space="preserve">cristina rocca </t>
    </r>
    <r>
      <rPr>
        <rFont val="arial,sans,sans-serif"/>
        <b/>
      </rPr>
      <t>paghiamo sissi a 20€</t>
    </r>
  </si>
  <si>
    <t>Giovedì 17,30 .18,30 .19,30</t>
  </si>
  <si>
    <r>
      <rPr>
        <rFont val="arial,sans,sans-serif"/>
      </rPr>
      <t xml:space="preserve">rebecca di bernardo </t>
    </r>
    <r>
      <rPr>
        <rFont val="arial,sans,sans-serif"/>
        <b/>
      </rPr>
      <t>paghiamo sissi a 20€</t>
    </r>
  </si>
  <si>
    <t>Irene Roberti</t>
  </si>
  <si>
    <t>giovedi 17.30 e 18.30</t>
  </si>
  <si>
    <t>NESSUNO AVVISARE (fatto est)</t>
  </si>
  <si>
    <t xml:space="preserve">venerdi 18.30 </t>
  </si>
  <si>
    <t>mandare sms - INVIATO ALE</t>
  </si>
  <si>
    <t>venerdi 19.30 e 20.30</t>
  </si>
  <si>
    <t>paghiamo andrea 30€</t>
  </si>
  <si>
    <t xml:space="preserve">venerdi i suoi corsi </t>
  </si>
  <si>
    <t>NESSUNO MANDIAMO SMS -  sms inviato Joel</t>
  </si>
  <si>
    <t>mandimoli con andrea che sostituisce fergie. - sms inviato joel</t>
  </si>
  <si>
    <t xml:space="preserve">sabato i suoi corsi </t>
  </si>
  <si>
    <t xml:space="preserve">giada de cristofaro </t>
  </si>
  <si>
    <t>paghiamo amber 20€</t>
  </si>
  <si>
    <t>NESSUNO MANDIAMO SMS  - sms inviato Joel</t>
  </si>
  <si>
    <t>lunedi pilates 17.30</t>
  </si>
  <si>
    <t>lunella ( amica di angela) paghimao angela 20€</t>
  </si>
  <si>
    <t>Asia Berny</t>
  </si>
  <si>
    <t>lunedi la sua ora</t>
  </si>
  <si>
    <t>lunedi ore 18.30 e 19.30</t>
  </si>
  <si>
    <t>avvisare( sms inviato Ale)</t>
  </si>
  <si>
    <t xml:space="preserve">lunedi ore 20.30 </t>
  </si>
  <si>
    <t xml:space="preserve">lunedi ore 21.30 </t>
  </si>
  <si>
    <t>martedi pilates 19.30</t>
  </si>
  <si>
    <t>lunella ( amica di angela) oaghimao angela 20€</t>
  </si>
  <si>
    <t>Martedì ore 13 pilates</t>
  </si>
  <si>
    <t>smsm inviato Ale</t>
  </si>
  <si>
    <r>
      <rPr>
        <rFont val="arial,sans,sans-serif"/>
      </rPr>
      <t xml:space="preserve">cristina rocca </t>
    </r>
    <r>
      <rPr>
        <rFont val="arial,sans,sans-serif"/>
        <b/>
      </rPr>
      <t>paghiamo sissi a 20€</t>
    </r>
  </si>
  <si>
    <t>giovedi ore 17.30 e 18.30 e 19.30</t>
  </si>
  <si>
    <t>giovedi 11:0/12:00/13:00</t>
  </si>
  <si>
    <t>sms inviati este</t>
  </si>
  <si>
    <t>giovedi ore 18.30 e 19.30</t>
  </si>
  <si>
    <t>mandiamole in altri corsi  sms este</t>
  </si>
  <si>
    <t>giovedi 17.30, 18.30, 19.30, 20.30</t>
  </si>
  <si>
    <t>avvisare (sms inviati Joel)</t>
  </si>
  <si>
    <t>venerdi 11:00</t>
  </si>
  <si>
    <t>11:00 allievi andati via</t>
  </si>
  <si>
    <t>Joel</t>
  </si>
  <si>
    <t>Sabato ore 14 partenza nuovo corso</t>
  </si>
  <si>
    <t>Giulia</t>
  </si>
  <si>
    <t>lunedi ore 12</t>
  </si>
  <si>
    <t>nicole basile, paghiamo samuel 20€</t>
  </si>
  <si>
    <t>paghiamo irene</t>
  </si>
  <si>
    <t>nessuno avvisare ( sms inviato Ale )</t>
  </si>
  <si>
    <t>Daisy Assabi</t>
  </si>
  <si>
    <t>martedi ore 18.30</t>
  </si>
  <si>
    <t>mandiamoli in altri corsi (sms inviati Ale)</t>
  </si>
  <si>
    <t>giovedi ore 13</t>
  </si>
  <si>
    <t>mandiamoli in altre classi - sms inviato Ale</t>
  </si>
  <si>
    <t>venerdi ore 17.30</t>
  </si>
  <si>
    <t>Viktoriia Tiutina</t>
  </si>
  <si>
    <t>NESSUNO MANDARE SMS inviato da Giad</t>
  </si>
  <si>
    <t>venerdi ore 20.30</t>
  </si>
  <si>
    <t>NESSUNO MANDARE SMS inviato da Joel</t>
  </si>
  <si>
    <t>venerdì ore 18.30</t>
  </si>
  <si>
    <t>venerdì ore 17,30 e 18,30</t>
  </si>
  <si>
    <t xml:space="preserve">nessuno avvisare (sms inviati Ale) </t>
  </si>
  <si>
    <t>lunedi ore 19.30 21:30</t>
  </si>
  <si>
    <t>mandare sms - inviato Joel</t>
  </si>
  <si>
    <t>giovedi ore 18.30</t>
  </si>
  <si>
    <t>giovedi ore 19.30 e 20.30</t>
  </si>
  <si>
    <t>ore 19.30 mettiamo la gente da ronald e lo spostiamo di sala, ore 20.30 nessuno salta la lezione -sms inviato per le 20:30</t>
  </si>
  <si>
    <t xml:space="preserve">giovedi ore 19.30 e 20.30 </t>
  </si>
  <si>
    <t>assente solo in queste 2 ore mandare sms - sms inviato Joel</t>
  </si>
  <si>
    <t>venerdi la sua ora</t>
  </si>
  <si>
    <t>nessuno, inviata mail Giad</t>
  </si>
  <si>
    <t>Claudio Rossi</t>
  </si>
  <si>
    <t>solo orario delle 17.30</t>
  </si>
  <si>
    <t>avvisare  ( sms inviati Ale)</t>
  </si>
  <si>
    <t xml:space="preserve">ore 10 </t>
  </si>
  <si>
    <t>nessuno mandare sms (estefany)</t>
  </si>
  <si>
    <t>ore 11 pilates</t>
  </si>
  <si>
    <t>nessuno mandiamo sms (estefany)</t>
  </si>
  <si>
    <t>mercoledì ore 16.30 e 17.30</t>
  </si>
  <si>
    <t>mandiamo sms (estefany)</t>
  </si>
  <si>
    <t>Luciana Muzio</t>
  </si>
  <si>
    <t>mercoledì ore 21:30</t>
  </si>
  <si>
    <t>assente</t>
  </si>
  <si>
    <t>giovedi ore 17.30 e 18.30</t>
  </si>
  <si>
    <t>alessandro ( amico di aldrin) 329 447 9292</t>
  </si>
  <si>
    <t>paghiamo aldrin 20€</t>
  </si>
  <si>
    <t>Venerdì la sua ora</t>
  </si>
  <si>
    <t>nessuno inviare sms - INVIATO JOEL</t>
  </si>
  <si>
    <t>Venerdì ore 19:30</t>
  </si>
  <si>
    <t>alessando ( amico di aldrin) 329 447 9292</t>
  </si>
  <si>
    <t>lunedì ore 11 e 12</t>
  </si>
  <si>
    <t>nessuno ( sms inviali Ale )</t>
  </si>
  <si>
    <t xml:space="preserve">lunedì ore 13 </t>
  </si>
  <si>
    <t>lunedì ore 16,30</t>
  </si>
  <si>
    <t xml:space="preserve">nessuno (sms inviato ) ale </t>
  </si>
  <si>
    <t>lunedì 21:30</t>
  </si>
  <si>
    <t>lunedi ore 9 e ore 13</t>
  </si>
  <si>
    <t>mercoeldi ore 18.30 e 19.30</t>
  </si>
  <si>
    <t>nessuno mandare sms - sms inviato Joel</t>
  </si>
  <si>
    <t>Nicholas Cugge</t>
  </si>
  <si>
    <t xml:space="preserve">giovedi ore 19.30 </t>
  </si>
  <si>
    <t xml:space="preserve">giovedi ore 20.30 </t>
  </si>
  <si>
    <t>nessuno salsa mandare sms - sms inviato Joel</t>
  </si>
  <si>
    <t xml:space="preserve">giovedi ore 21.30 </t>
  </si>
  <si>
    <t>nessuno salsa mandare sms, possono fare il mio base 2 - sms inviato invitando al corso di massi - Joel</t>
  </si>
  <si>
    <t>mandiamoli in altre classi (sms inviato NURA)</t>
  </si>
  <si>
    <t>nessuno (sms inviati joel)</t>
  </si>
  <si>
    <t>Giulia D'Arienzo</t>
  </si>
  <si>
    <t>sabato  ore 13,14,15,16</t>
  </si>
  <si>
    <t>sabato 14</t>
  </si>
  <si>
    <t xml:space="preserve">nessun  allievo </t>
  </si>
  <si>
    <t>LUNEDI ORE 19.30 DANZA CONTEMPOranea</t>
  </si>
  <si>
    <t>gia segnata da massi nel file presenze</t>
  </si>
  <si>
    <t>LUNEDI ORE 13</t>
  </si>
  <si>
    <t>NESSUNO ( GIA TOLTO DAL FILE PRESENZE DA MASSI) sms inviato Ale</t>
  </si>
  <si>
    <t>lunedi le 3 ore del mattino</t>
  </si>
  <si>
    <t>ALICE CENZON LUNEDì ORE 17:30</t>
  </si>
  <si>
    <t>NESSUNO MANADARE email Giad</t>
  </si>
  <si>
    <t>lunedi pilates 19.30 e contemporanea 20.30</t>
  </si>
  <si>
    <t>pilates ore 18.30</t>
  </si>
  <si>
    <t xml:space="preserve">LUNEDì i suoi corsi </t>
  </si>
  <si>
    <t>mandiamoli in altre classi  inviato via mai Giad</t>
  </si>
  <si>
    <t>NO CORSI BAMBINI</t>
  </si>
  <si>
    <t>martedì  ore 9 e ore 13</t>
  </si>
  <si>
    <t>martedi yoga</t>
  </si>
  <si>
    <t>nessuno mandata email Giad</t>
  </si>
  <si>
    <t>Martedì ore 21:30</t>
  </si>
  <si>
    <t>L'insegnante ha parlato con le allieve, anticipa il gruppo delle 19:30 alle 18:30 ed il gruppo delle 21:30 alle 19:30. del gruppo delle 20:30 non ci sarà nessuna, non bisogna avvisare perché le ha già avvisate lei. anche massi è informato di ciò</t>
  </si>
  <si>
    <t>martedi ore 19.30</t>
  </si>
  <si>
    <t>nessuno mandare sms (fatto nura)</t>
  </si>
  <si>
    <t>17.30, 18.30, 19.30, 20.30</t>
  </si>
  <si>
    <t>farà SOLO i corsi del mattino. avvisare con sms per quelli della sera (mandata email )</t>
  </si>
  <si>
    <t>martedi il suo corso</t>
  </si>
  <si>
    <t>mandare sms (FATTO NURA)</t>
  </si>
  <si>
    <t>Katia Antonucci</t>
  </si>
  <si>
    <t xml:space="preserve">martedi ore 20.30 </t>
  </si>
  <si>
    <t>SEGNARE A GENNAIO</t>
  </si>
  <si>
    <t xml:space="preserve">martedi ore 21.30 </t>
  </si>
  <si>
    <t>avvisare sms ( MAIL inviata / non abbastanza credito per gli sms)Nura</t>
  </si>
  <si>
    <t>martedì ore 20:30</t>
  </si>
  <si>
    <t>Cinzia Ceglie</t>
  </si>
  <si>
    <t>Leonardo Tazzi</t>
  </si>
  <si>
    <t>nessuno mandare sms</t>
  </si>
  <si>
    <t xml:space="preserve">mercoledi ore 18.30 e 19.30 </t>
  </si>
  <si>
    <t>mercoledi i suoi corsi</t>
  </si>
  <si>
    <t>mandiamole in altri corsi - sms inviato Joel</t>
  </si>
  <si>
    <t>Roberto Mele</t>
  </si>
  <si>
    <t>mercoledi ore 20.30 e 21.30</t>
  </si>
  <si>
    <t>Francesco Aruta</t>
  </si>
  <si>
    <t>mercoledi le sue ore</t>
  </si>
  <si>
    <t>giovedì ore 9 e ore 13</t>
  </si>
  <si>
    <t>Nura</t>
  </si>
  <si>
    <t>GIOVEDI ORE 18:30</t>
  </si>
  <si>
    <t xml:space="preserve">NESSUNO mandare sms </t>
  </si>
  <si>
    <t>sms inviato Nura</t>
  </si>
  <si>
    <t>allo zaccaria</t>
  </si>
  <si>
    <t>GIOVEDI ORE 16.40</t>
  </si>
  <si>
    <t>giovedì ore 19:30-20:30-21:30</t>
  </si>
  <si>
    <t>sostituito da Alessia assistente PAGHIAMO SAMUEL € 20</t>
  </si>
  <si>
    <t>giovedi ore 17.30,18.30,19.30</t>
  </si>
  <si>
    <t>venerdi le sue ore</t>
  </si>
  <si>
    <t>mandare in altri corsi - sms inviato Joel</t>
  </si>
  <si>
    <t>sabato ore 12,13,14</t>
  </si>
  <si>
    <t xml:space="preserve">paghiamo silvia </t>
  </si>
  <si>
    <t>lunedi tutte le sue 3 ore</t>
  </si>
  <si>
    <t>lunedi le sue ore</t>
  </si>
  <si>
    <t>sua assistente Giulia Principe ( paghimao samuel 20€)</t>
  </si>
  <si>
    <t>giovedi le sue 4 ore</t>
  </si>
  <si>
    <t>giovedi le sue  ore</t>
  </si>
  <si>
    <t>da sole le maestre</t>
  </si>
  <si>
    <t>Venerdi tutte le sue ore</t>
  </si>
  <si>
    <t xml:space="preserve">NESSUNO </t>
  </si>
  <si>
    <t>SMS INVIATO NURA</t>
  </si>
  <si>
    <t>Sabato tutte le sue ore</t>
  </si>
  <si>
    <t>NESSUNO</t>
  </si>
  <si>
    <t>lunedi ore 17.30</t>
  </si>
  <si>
    <t>lunedi ore 17.30, 18.30, 19.30</t>
  </si>
  <si>
    <t>Lara Castiglione assistete samuel. Paghiamo samuel 20€</t>
  </si>
  <si>
    <t>lunedi ore 20.30 e 21.30</t>
  </si>
  <si>
    <t>Michele Grande</t>
  </si>
  <si>
    <t>paghiamo michele contanti 50€ dare busta</t>
  </si>
  <si>
    <t xml:space="preserve">Mercoledì i suoi corsi </t>
  </si>
  <si>
    <t>Filomena Pellegrino</t>
  </si>
  <si>
    <t>giovedi ore 9 e ore 13 pilates</t>
  </si>
  <si>
    <t xml:space="preserve">giovedi ore 11 </t>
  </si>
  <si>
    <t>avvisare FATTO NURA</t>
  </si>
  <si>
    <t>giovedi ore 12</t>
  </si>
  <si>
    <t>avvisato che ce sostituzione (nura)</t>
  </si>
  <si>
    <t>mandiamoli in altre classi (FATTO NURA)</t>
  </si>
  <si>
    <t>giovedi ore 17,30/ 19,30</t>
  </si>
  <si>
    <t>Giusy Randazzo</t>
  </si>
  <si>
    <t xml:space="preserve">giovedi ore 20,30 samba </t>
  </si>
  <si>
    <t>avvisare (fatto nura)</t>
  </si>
  <si>
    <t xml:space="preserve">giovedi  pilates 18,30 
</t>
  </si>
  <si>
    <t>avvisare (fatto ale)</t>
  </si>
  <si>
    <t>zaccaria</t>
  </si>
  <si>
    <t>alle 21:30</t>
  </si>
  <si>
    <t>alle 20:30</t>
  </si>
  <si>
    <t>venerdi ore 10 e ore 11</t>
  </si>
  <si>
    <t>venerdi ore 12 e ore 13</t>
  </si>
  <si>
    <t>venerdì ore  18,30 pilates</t>
  </si>
  <si>
    <t>avvisare - sms inviato Joel</t>
  </si>
  <si>
    <t>venerdì ore  19,30 samba</t>
  </si>
  <si>
    <t xml:space="preserve">sabato  ore 10 / 11 </t>
  </si>
  <si>
    <t>sabato  ore 12 e 13</t>
  </si>
  <si>
    <t>eleonora franchi ( ex maestra) paghiamo silvia</t>
  </si>
  <si>
    <t>Carol Gugliazzo paghiamo Andrea 20€</t>
  </si>
  <si>
    <t>Greta Bonacina</t>
  </si>
  <si>
    <t>nessuno mandare sms (mandati est)</t>
  </si>
  <si>
    <t>Lunedì ore 13</t>
  </si>
  <si>
    <t>Lunedì la sua ora</t>
  </si>
  <si>
    <t>ha avvisato massi poco prima del corso ed ha avvisato i suoi allievi</t>
  </si>
  <si>
    <t>martedi le sue ore</t>
  </si>
  <si>
    <t>yoga del martedi ore 18.30</t>
  </si>
  <si>
    <t>per giuditta schede pagamenti</t>
  </si>
  <si>
    <t>a partire da martedi 27 gennaio il corso sarà tenuto da una nuova maestra: MARIJA EMILOVA</t>
  </si>
  <si>
    <t>mandiamo in altri corsi (Avvisati nura)</t>
  </si>
  <si>
    <t>venerdi 19.30</t>
  </si>
  <si>
    <t>sabato ore 14 e ore 15</t>
  </si>
  <si>
    <t>sabato ore 13, 14, 15</t>
  </si>
  <si>
    <t>avvisare e mandimoli in altre classi - sms inviato Joel</t>
  </si>
  <si>
    <t xml:space="preserve">sabato ore 16 commercial </t>
  </si>
  <si>
    <t>mandiamole in altri corsi (avvisati NURA)</t>
  </si>
  <si>
    <t xml:space="preserve">mercoledi ore 18.30 e 19.30 pilates </t>
  </si>
  <si>
    <t>salsa mandare sms (avvisati nura)</t>
  </si>
  <si>
    <t>mandare in altri corsi esempio il mio</t>
  </si>
  <si>
    <t>giovedi le sue ore</t>
  </si>
  <si>
    <t>venerdi ore 18.30 pilates</t>
  </si>
  <si>
    <t>mandare sms (avvisati nura)</t>
  </si>
  <si>
    <t>venerdi ore 19.30 samba</t>
  </si>
  <si>
    <t>Silvia Silvestri</t>
  </si>
  <si>
    <t xml:space="preserve">lunedi le sue 4 ore </t>
  </si>
  <si>
    <t>lunedì le sue ore</t>
  </si>
  <si>
    <t>LUNEDì ORE 21:30</t>
  </si>
  <si>
    <t>mandiamole in altri corsi - sms invito</t>
  </si>
  <si>
    <t>Stefano Battistella</t>
  </si>
  <si>
    <t>MERCOLEDì 20,30</t>
  </si>
  <si>
    <t>giovedi tuttele sue ore</t>
  </si>
  <si>
    <t>avvisare-sms inviato nura</t>
  </si>
  <si>
    <t xml:space="preserve">giovedi salsa ore 20.30 </t>
  </si>
  <si>
    <t xml:space="preserve">giovedi bachata ore 21.30 </t>
  </si>
  <si>
    <t>avvisare - sms inviato joel</t>
  </si>
  <si>
    <t xml:space="preserve">venerdi le sue ore </t>
  </si>
  <si>
    <t>venerdi 12:00 e 13:00</t>
  </si>
  <si>
    <t>nessuno sms mandati estef</t>
  </si>
  <si>
    <t>sabato 12 e 13</t>
  </si>
  <si>
    <t xml:space="preserve">nessuno sms inviati joel </t>
  </si>
  <si>
    <t>avvisare sms mandati stefano</t>
  </si>
  <si>
    <t>18.30 e 19.30</t>
  </si>
  <si>
    <t>giulia rubagotti ( paghiamo erika 20€)</t>
  </si>
  <si>
    <t>5 ore</t>
  </si>
  <si>
    <t>Giulia Principe assistente paghiamo samuel 20€</t>
  </si>
  <si>
    <t>LUNEDI 19:30 e 21.30</t>
  </si>
  <si>
    <t>giovedi ore 9</t>
  </si>
  <si>
    <t>sms mandati ale</t>
  </si>
  <si>
    <t>su richiesta di samuel mandiamo un sms e li facciamo venire alle ore 20.30</t>
  </si>
  <si>
    <t>giovedi ore 20.30 e 21.30</t>
  </si>
  <si>
    <t>nessuno mandare sms mandiamo in altri corsi (sms mandati est)</t>
  </si>
  <si>
    <t>john carlo manilay ( paghiamo aldrin 20€)</t>
  </si>
  <si>
    <t>lunedi ore 15</t>
  </si>
  <si>
    <t>lunedi 21.30</t>
  </si>
  <si>
    <t>mandare sms - sms inviato joel e stefano</t>
  </si>
  <si>
    <t>LUNEDì TUTTE LE SUE ORE</t>
  </si>
  <si>
    <t>sostituito da assistente Lara Castiglione</t>
  </si>
  <si>
    <t>Elisa Bartolini</t>
  </si>
  <si>
    <t>martedi ore 18.30 e 19.30</t>
  </si>
  <si>
    <t>Antonella Di Gennaro</t>
  </si>
  <si>
    <t>martedì ore 18,30</t>
  </si>
  <si>
    <t xml:space="preserve">mercoeldi i suoi corsi </t>
  </si>
  <si>
    <t>giovedi ore 16:40</t>
  </si>
  <si>
    <t>giovedi ore 17.30, 18.30, 19.30</t>
  </si>
  <si>
    <t>giovedì 19:30-20:30-21:30</t>
  </si>
  <si>
    <t>Alessia Trocchianese</t>
  </si>
  <si>
    <t>venerdi i suoi corsi</t>
  </si>
  <si>
    <t>lunedì ore 11,12 e 13</t>
  </si>
  <si>
    <t>luendi ore 19.30</t>
  </si>
  <si>
    <t>nessuno mandiamo in altri corsi 
sms inviati Ale</t>
  </si>
  <si>
    <t>lunedì ore 17:30-18:30-19:30-20:30-21:30</t>
  </si>
  <si>
    <t>sostituta Principe Giulia</t>
  </si>
  <si>
    <t>lunedi ore 17.30,18.30,19.30</t>
  </si>
  <si>
    <t>mercoledi 20.30 - 21:30</t>
  </si>
  <si>
    <t>giovedi ore 16.40</t>
  </si>
  <si>
    <t>Alessia Trocchianese assistente</t>
  </si>
  <si>
    <t>Sabato ore 11</t>
  </si>
  <si>
    <t xml:space="preserve">Eleonora Franchi (paghiamo Silvia) </t>
  </si>
  <si>
    <t>lunedi 17:30-18:30-19:30-20:30-21:30</t>
  </si>
  <si>
    <t>Assistente Principe Giulia</t>
  </si>
  <si>
    <t>nessuno mandare sms(inviati Ale)</t>
  </si>
  <si>
    <t>mercoledi 18:30-19:30</t>
  </si>
  <si>
    <t>mandiamo in altri corsi (SMS INVIATI ALE)</t>
  </si>
  <si>
    <t xml:space="preserve">mercoledi il suo corso </t>
  </si>
  <si>
    <t>nessuno mandare sms
sms inviati Ale</t>
  </si>
  <si>
    <t>mercoledi ore 20.30</t>
  </si>
  <si>
    <t xml:space="preserve">inviati sms ale </t>
  </si>
  <si>
    <t>mercoledi ore 20.30 - 21:30</t>
  </si>
  <si>
    <t>Giulio Gariano</t>
  </si>
  <si>
    <t>avvisare (fatto este)</t>
  </si>
  <si>
    <t>paghiamo lei</t>
  </si>
  <si>
    <t xml:space="preserve">i suoi corsi </t>
  </si>
  <si>
    <t>mandiamo sms (fatto ale)</t>
  </si>
  <si>
    <t>le mandiamo in altre classi  (sms inviati Ale)</t>
  </si>
  <si>
    <t>venerdi 18:30</t>
  </si>
  <si>
    <t>mandiamo in altri corsi (sms inviati Ale)</t>
  </si>
  <si>
    <t>sabato solo samba ore 13</t>
  </si>
  <si>
    <t>sabato ore 14</t>
  </si>
  <si>
    <t xml:space="preserve">ronald dice che  verranno in settimana (sms inviato) ale  </t>
  </si>
  <si>
    <t xml:space="preserve">sabato le sue 4 ore </t>
  </si>
  <si>
    <t>mandare sms ( sms inviati Ale)</t>
  </si>
  <si>
    <t xml:space="preserve">sabato le sue 2 ore </t>
  </si>
  <si>
    <t>mandare sms (sms inviati Ale)</t>
  </si>
  <si>
    <t>nessuno mandare sms (inviati Ale)</t>
  </si>
  <si>
    <t>lunedi ore 18.30</t>
  </si>
  <si>
    <t>LUNEDì ORE 17.30-18:30</t>
  </si>
  <si>
    <t>SOSTITUTA LARA CASTIGLIONE € 20 per le prime due ore, le successive le ha fatte Samuel</t>
  </si>
  <si>
    <t>lunedì ore 21:30</t>
  </si>
  <si>
    <t xml:space="preserve">martedi ore 17.30 e 18.30 </t>
  </si>
  <si>
    <t>ATTENZIONE PER GIUDITTA ALMENO PER 1 MESE QUESTI CORSI LI FARà MICHELE</t>
  </si>
  <si>
    <t xml:space="preserve">MARTEDI I SUOI CORSI </t>
  </si>
  <si>
    <t>Giulio presente paghiamo normale</t>
  </si>
  <si>
    <t>SEMPRE PER GIUDITTA:  ATTENZIONE LO PAGHIAMO NEL MESE DI APRILE, E QUESTO CORSO LO FARÀ PER ALMENO UN MESE</t>
  </si>
  <si>
    <t xml:space="preserve">mercoledi ore 18.30 </t>
  </si>
  <si>
    <t>Martedì 21:30</t>
  </si>
  <si>
    <t>inviare sms (INVIATO ALE)</t>
  </si>
  <si>
    <t>mercoledi 18.30</t>
  </si>
  <si>
    <t>mandare sms - Inviato Joel</t>
  </si>
  <si>
    <t>Sms inviato Joel</t>
  </si>
  <si>
    <t>mercoledi 17.30 e 18.30</t>
  </si>
  <si>
    <t xml:space="preserve">avvisare sms (inviati ) </t>
  </si>
  <si>
    <t xml:space="preserve">giovedi ore 12 </t>
  </si>
  <si>
    <t>avvisati nura</t>
  </si>
  <si>
    <t>GIOVEDì ORE 11</t>
  </si>
  <si>
    <t xml:space="preserve">mandiamoli da dorian o angela (AVVISATI nura) </t>
  </si>
  <si>
    <t>ore 17.30 brasilian fit</t>
  </si>
  <si>
    <t>sms mandati est</t>
  </si>
  <si>
    <t>ore 18.30 pilates</t>
  </si>
  <si>
    <t xml:space="preserve">ore 19.30 </t>
  </si>
  <si>
    <t>ore 20.30 samba</t>
  </si>
  <si>
    <t>ore 19:30-20:30-21:30</t>
  </si>
  <si>
    <t>giulia rubagotti. paghiamo erika 20€</t>
  </si>
  <si>
    <t>giovedi ore 17.30,18.30</t>
  </si>
  <si>
    <t>ATTENZIONE PER GIUDITTA ALMENO PER 1 MESE QUESTI CORSI LI FARà LEONARDO</t>
  </si>
  <si>
    <t>GIOEVDI ORE 19.30</t>
  </si>
  <si>
    <t>Giulio presente</t>
  </si>
  <si>
    <t>VENERDI I SUOI CORSI TUTTI</t>
  </si>
  <si>
    <t>SMS INVIATI NURA</t>
  </si>
  <si>
    <t xml:space="preserve">recupera le 2 ore il 20 e il 27 marzo </t>
  </si>
  <si>
    <t>assistente Principe Giulia</t>
  </si>
  <si>
    <t>lunedi ore 18:30-19:30</t>
  </si>
  <si>
    <t>inviati sms - inviati Joel</t>
  </si>
  <si>
    <t>MARTEDì ORE 19.30</t>
  </si>
  <si>
    <t>lezione fatta da Giulio</t>
  </si>
  <si>
    <t>giovedì ore 20 - 21</t>
  </si>
  <si>
    <t>Venerdì alle ore 12:00</t>
  </si>
  <si>
    <t>nessuno inviare sms - sms inviati Ale</t>
  </si>
  <si>
    <t xml:space="preserve">venerdi ore 18.30 pilates </t>
  </si>
  <si>
    <t>mandiamoli da margherita sms est</t>
  </si>
  <si>
    <t xml:space="preserve">venerdi ore 19.30 samba  </t>
  </si>
  <si>
    <t>mandare sms -sms est</t>
  </si>
  <si>
    <t>lunedi ore 19.30 afro</t>
  </si>
  <si>
    <t>nessuno mandare sms - sms estefany</t>
  </si>
  <si>
    <t>luenedi ore 18.30</t>
  </si>
  <si>
    <t>MARTEDìI ORE 19.30</t>
  </si>
  <si>
    <t>GIOEVDI ORE 18:30 e 19.30</t>
  </si>
  <si>
    <t>lezionI fatte da Giulio</t>
  </si>
  <si>
    <t>Elisa Bisoffi</t>
  </si>
  <si>
    <t>giovedì ore 20,30 e 21,30</t>
  </si>
  <si>
    <t>insegnante da solo</t>
  </si>
  <si>
    <t>nessuno mandare sms - inviato Joel</t>
  </si>
  <si>
    <t>MARTEDI ORE 19.30</t>
  </si>
  <si>
    <t>Federica Furia</t>
  </si>
  <si>
    <t>martedi 9:00 /13:00</t>
  </si>
  <si>
    <t>martedi 18:30/19:30/20:30/21:30</t>
  </si>
  <si>
    <t>allegra Giani</t>
  </si>
  <si>
    <t>paghiamo mazzarolo</t>
  </si>
  <si>
    <t>giovedì 9:00 13:00</t>
  </si>
  <si>
    <t xml:space="preserve">giovedi ore 11 total body </t>
  </si>
  <si>
    <t xml:space="preserve">ore 12 pilates </t>
  </si>
  <si>
    <t xml:space="preserve">ore 13 total body </t>
  </si>
  <si>
    <t>madniamoli da dorian o silvia che sostitisce angela - sms inviato Joel</t>
  </si>
  <si>
    <t>lunella</t>
  </si>
  <si>
    <t xml:space="preserve">VENERDI I SUOI CORSI </t>
  </si>
  <si>
    <t>eleonora franchi</t>
  </si>
  <si>
    <t>paghiamo margherita 20€</t>
  </si>
  <si>
    <t>Pietro Bonu</t>
  </si>
  <si>
    <t>da solo la maestra</t>
  </si>
  <si>
    <t xml:space="preserve">giovedi le sue ore </t>
  </si>
  <si>
    <t>martedi afrobeat ore 21.30</t>
  </si>
  <si>
    <t>martina battaini</t>
  </si>
  <si>
    <t>paghiamo cinzia 25€</t>
  </si>
  <si>
    <t>venerdì ore 19:30-20:30 milano marittima</t>
  </si>
  <si>
    <t>sabato ore 14:00 milano marittima</t>
  </si>
  <si>
    <t>sabato 15:00-16:00 milano marittima</t>
  </si>
  <si>
    <t xml:space="preserve">lunedi i suoi 2 corsi </t>
  </si>
  <si>
    <r>
      <rPr>
        <rFont val="arial,sans,sans-serif"/>
        <b/>
      </rPr>
      <t>PER GIUDITTA</t>
    </r>
    <r>
      <rPr>
        <rFont val="arial,sans,sans-serif"/>
      </rPr>
      <t xml:space="preserve"> a partire da questa data ( 1 giugno) gaya NON ci sarà più, la sostituta è martina per le ultime 5 lezioni</t>
    </r>
  </si>
  <si>
    <t>PER GIUDITTA a partire da questa data ( 1 giugno) gaya NON ci sarà più, la sostituta è martina per le ultime 5 lezioni</t>
  </si>
  <si>
    <t>AGOSTO</t>
  </si>
  <si>
    <t>APRILE</t>
  </si>
  <si>
    <t>DICEMBRE</t>
  </si>
  <si>
    <t>FEBBRAIO</t>
  </si>
  <si>
    <t>GENNAIO</t>
  </si>
  <si>
    <t>GIUGNO</t>
  </si>
  <si>
    <t>LUGLIO</t>
  </si>
  <si>
    <t>MAGGIO</t>
  </si>
  <si>
    <t>MARZO</t>
  </si>
  <si>
    <t>NOVEMBRE</t>
  </si>
  <si>
    <t>OTTOBRE</t>
  </si>
  <si>
    <t>SETTEMBRE</t>
  </si>
  <si>
    <t>2025-2026_SPOSTAMENTI CORSI TESSERATI</t>
  </si>
  <si>
    <t>DATA</t>
  </si>
  <si>
    <t>COGNOME</t>
  </si>
  <si>
    <t>NOME</t>
  </si>
  <si>
    <t>N° TESSERA</t>
  </si>
  <si>
    <t>DA CORSO</t>
  </si>
  <si>
    <t>A CORSO</t>
  </si>
  <si>
    <t>NOTA</t>
  </si>
  <si>
    <t>SPUNTA</t>
  </si>
  <si>
    <t>24-25 SOSTITUZIONI ISTRUTTORI</t>
  </si>
  <si>
    <t>la lezione di prova verrà fatta il 18 con la stanisci, La pacillo rientra alla prima settiamana di ottobre</t>
  </si>
  <si>
    <t>venerdi ore 18.30, 19.30, 20.30</t>
  </si>
  <si>
    <t>Diana Marchetta</t>
  </si>
  <si>
    <t>martedi 17.30 e 18.30</t>
  </si>
  <si>
    <t>la lezione salta e iniza il 24 settembre</t>
  </si>
  <si>
    <t>yoga martedi ore 18.30</t>
  </si>
  <si>
    <t>avvisare</t>
  </si>
  <si>
    <t>martedi 19:30</t>
  </si>
  <si>
    <t>mercoledì 18:30</t>
  </si>
  <si>
    <t>Perla Davide</t>
  </si>
  <si>
    <t>giovedi ore 17:30</t>
  </si>
  <si>
    <t>CORSO CHIUSO</t>
  </si>
  <si>
    <t>una sua amica, Chiara Faiella</t>
  </si>
  <si>
    <t>paghiamo perla</t>
  </si>
  <si>
    <t>tutti corsi del venerdi COMPRESI BAMBINI</t>
  </si>
  <si>
    <t>facciamo iniziare i suoi corsi al 27 settembre e la prova dei bambini sarà al 27 settembre</t>
  </si>
  <si>
    <t>venerdi 18:30 - 19:30</t>
  </si>
  <si>
    <t xml:space="preserve">SAMBA  VENGONO AL CORSO DEL GIOVEDì </t>
  </si>
  <si>
    <t>VENERDì ORE 19:30</t>
  </si>
  <si>
    <t>sabato ore 15 e 16</t>
  </si>
  <si>
    <t>assistente di piccirillo</t>
  </si>
  <si>
    <t>Paghiamo piccirillo 20€ all'ora</t>
  </si>
  <si>
    <t>avvisare e madare le persone il classi simili</t>
  </si>
  <si>
    <t>corso 21:30 in programmazione</t>
  </si>
  <si>
    <t>Angelica Nard</t>
  </si>
  <si>
    <t>lunedì ore 19:30 - 21:30</t>
  </si>
  <si>
    <t>in programmazione</t>
  </si>
  <si>
    <t>Edoardo Bonelli</t>
  </si>
  <si>
    <t>mercoledì 16:30 in programmazione</t>
  </si>
  <si>
    <t>Annalena Berton</t>
  </si>
  <si>
    <t>mercoledì 21:30 nessun allievo</t>
  </si>
  <si>
    <t>mercoledì 21:30 in programmazione</t>
  </si>
  <si>
    <t>giovedì 21:30</t>
  </si>
  <si>
    <t>giovedì ore 18:30</t>
  </si>
  <si>
    <t>Valeria Pelligra</t>
  </si>
  <si>
    <t>giovedì 17:30 e 18:30 in programmazione</t>
  </si>
  <si>
    <t>venerdì ore 17:30</t>
  </si>
  <si>
    <t>venerdì ore 19:30</t>
  </si>
  <si>
    <t>sabato 12:00-13:00</t>
  </si>
  <si>
    <t>prova</t>
  </si>
  <si>
    <t>nessun iscritto</t>
  </si>
  <si>
    <t>Daniele Ambrosini</t>
  </si>
  <si>
    <t>martedì ore 19:30 e 21:30 sospeso</t>
  </si>
  <si>
    <t>Katiuscia Nassano</t>
  </si>
  <si>
    <t>mercoledì 19:30</t>
  </si>
  <si>
    <t>1 lezione corso Matteo</t>
  </si>
  <si>
    <t>Aurora Tudda</t>
  </si>
  <si>
    <t>giovedì ore 20:30 e 21:30</t>
  </si>
  <si>
    <t>giovedì ore 17:30</t>
  </si>
  <si>
    <t xml:space="preserve">mandiamo le ragazze in altri corsi </t>
  </si>
  <si>
    <t>venerdi 18,30- 19,30- 20,30</t>
  </si>
  <si>
    <t>sabato ore 14:00</t>
  </si>
  <si>
    <t>sabato ore 16 bolliwood</t>
  </si>
  <si>
    <t>sabato ore 12:00</t>
  </si>
  <si>
    <t>1 lezione</t>
  </si>
  <si>
    <t>lunedi ore 20.30</t>
  </si>
  <si>
    <t>viene serena grumi paghiamo sempre angelica</t>
  </si>
  <si>
    <t>lunedi ore 19.30</t>
  </si>
  <si>
    <t>nessuno da solo il maestro</t>
  </si>
  <si>
    <t>martedi ore 13</t>
  </si>
  <si>
    <t>mandiamoli in altri corsi</t>
  </si>
  <si>
    <t>giovedì 18:00-19:00</t>
  </si>
  <si>
    <t>no lezione per stage</t>
  </si>
  <si>
    <t>dobbiamo pagarla COMUNQUE</t>
  </si>
  <si>
    <t>NON DOBBIAMO PAGARLA</t>
  </si>
  <si>
    <t>LUNEDì ORE 20:30</t>
  </si>
  <si>
    <t>da oggi non ci sarà più, la lezione la farà solo Angelica Nard</t>
  </si>
  <si>
    <t>lunedi ore 21:30</t>
  </si>
  <si>
    <r>
      <rPr>
        <rFont val="Helvetica"/>
        <sz val="12.0"/>
      </rPr>
      <t xml:space="preserve">I corsi di coppia lo fanno da soli i maestri, </t>
    </r>
    <r>
      <rPr>
        <rFont val="Helvetica"/>
        <b/>
        <sz val="12.0"/>
      </rPr>
      <t>il corso pasitos salta avvisiamo le persone</t>
    </r>
  </si>
  <si>
    <t>giovedì ore 19.30 e 20.30</t>
  </si>
  <si>
    <t>venerdi 11, 12, 13, 18:30, 19:30</t>
  </si>
  <si>
    <t>invitati a fare altro</t>
  </si>
  <si>
    <t>Venerdì 19,30</t>
  </si>
  <si>
    <t xml:space="preserve">nessun allievo </t>
  </si>
  <si>
    <t>mandiamoli da dorian o angela</t>
  </si>
  <si>
    <t>nessuno maestro da solo</t>
  </si>
  <si>
    <t>lunedi ore 19.30 pilates</t>
  </si>
  <si>
    <t>lunedi ore 20.30 danza contemporanea</t>
  </si>
  <si>
    <t>ATTENZIONE PER GIUDITTA A PARTIRE DAL 22 OTTOBRE FINO AL 1 GENNIO QUESTI CORSI LI TERRA ANGELA STANISCI. CON IL NUOVO ANNO TORNERA' CECILIA</t>
  </si>
  <si>
    <t>venerdi 19:30</t>
  </si>
  <si>
    <t>nessuna allieva</t>
  </si>
  <si>
    <t>sabato15 e 16</t>
  </si>
  <si>
    <t xml:space="preserve">solo la maestra </t>
  </si>
  <si>
    <t>Laura Lusuardi</t>
  </si>
  <si>
    <t>sabato ore 16</t>
  </si>
  <si>
    <t>nessuno salta la lezione avvisare le persone</t>
  </si>
  <si>
    <t>uniamo con ronald</t>
  </si>
  <si>
    <t>mercoledi ore 18.30</t>
  </si>
  <si>
    <t>aldrin magarro</t>
  </si>
  <si>
    <t>paghiamo amber</t>
  </si>
  <si>
    <t>mercoledi ore 16.30 e 17.30</t>
  </si>
  <si>
    <t>lunella grecchi ( paghiamo angela 20€)</t>
  </si>
  <si>
    <t xml:space="preserve">giovedi mattina ore 11 </t>
  </si>
  <si>
    <t>giovedi mattina ore 12</t>
  </si>
  <si>
    <t>giovedi mattina ore 13</t>
  </si>
  <si>
    <t>mandiamoli o da angela che fa pialtes o da dorian</t>
  </si>
  <si>
    <t>Davide Resta</t>
  </si>
  <si>
    <t>stefano battistella ( un amico di davide) (348 049 0601)</t>
  </si>
  <si>
    <t>paghiamo davide</t>
  </si>
  <si>
    <t xml:space="preserve">giovedi ore 16.30 </t>
  </si>
  <si>
    <t xml:space="preserve">giovedi ore 17.30 </t>
  </si>
  <si>
    <t>deborah manoni</t>
  </si>
  <si>
    <t xml:space="preserve">
SE FACCIAMO LE LEZIONI PAGHIAMO ERICA 20€ A LEZIONE</t>
  </si>
  <si>
    <t>giovedì ore 20.30</t>
  </si>
  <si>
    <t>lunedi ore 16.30</t>
  </si>
  <si>
    <t>deborah manoni ( paghiamo silvia)</t>
  </si>
  <si>
    <t>ore 17.30 e 18.30</t>
  </si>
  <si>
    <t>marta bassani sua amica (348 968 5660)</t>
  </si>
  <si>
    <t>martedi le sue 3 ore</t>
  </si>
  <si>
    <t>eleonora ( paghiamo silvia)</t>
  </si>
  <si>
    <t>aldrin magarro (cell 3515389791)</t>
  </si>
  <si>
    <t>giovedì ore 17:30-18:30-19:30-20:30</t>
  </si>
  <si>
    <t>alessia</t>
  </si>
  <si>
    <t>michele grande ( cell 3892656490)</t>
  </si>
  <si>
    <t>facciamo saltare la lezione, mandiamoli da altre parti</t>
  </si>
  <si>
    <t xml:space="preserve">sabato ore 13 e ore 15 </t>
  </si>
  <si>
    <t xml:space="preserve">sabato ore 14 e ore 16 </t>
  </si>
  <si>
    <t>avvisiamo e spostiamo in altri corsi</t>
  </si>
  <si>
    <t>Margherita Bordoni</t>
  </si>
  <si>
    <t>lunedi i suoi corsi</t>
  </si>
  <si>
    <t>andrea marici ( paghiamo fergie)</t>
  </si>
  <si>
    <t xml:space="preserve">lunedì i suoi corsi </t>
  </si>
  <si>
    <t>Antonella  Gennaro 3791115030</t>
  </si>
  <si>
    <t>da solo pietro</t>
  </si>
  <si>
    <t>mercoledì ore 11,12 e 13</t>
  </si>
  <si>
    <t>inviato sms</t>
  </si>
  <si>
    <t>mercoledi ore 19.30 danza moderna</t>
  </si>
  <si>
    <t>avvisare, mandate da altri</t>
  </si>
  <si>
    <t xml:space="preserve">giovedì ore 18.30 e 19.30 </t>
  </si>
  <si>
    <t>chiara omar (349 590 8171)</t>
  </si>
  <si>
    <t>giovedi 11,12,13,17:30, 18:30,19:30,20:30</t>
  </si>
  <si>
    <t>nessun allieva</t>
  </si>
  <si>
    <t>sms inviato invitate a fare altro</t>
  </si>
  <si>
    <t>sms inviato per lezione ore 14:00</t>
  </si>
  <si>
    <t xml:space="preserve">lunedi ore 19.30 </t>
  </si>
  <si>
    <t>mandiamoli altrove</t>
  </si>
  <si>
    <t xml:space="preserve">mercoledi 20:30 </t>
  </si>
  <si>
    <t xml:space="preserve">da solo la maestra </t>
  </si>
  <si>
    <t>mercoledi 11,12,13</t>
  </si>
  <si>
    <t>mercoledì ore 18:30</t>
  </si>
  <si>
    <t>chiuso</t>
  </si>
  <si>
    <t>sofia fusco (327 114 2009)</t>
  </si>
  <si>
    <t>amica di claudia, paghiamo claudia</t>
  </si>
  <si>
    <t>venerdi ore 18.30 danza moderna</t>
  </si>
  <si>
    <t xml:space="preserve">venerdi ore 19.30 hip hop </t>
  </si>
  <si>
    <t>venerdi ore 20.30 heels</t>
  </si>
  <si>
    <t>mandiamole da amber</t>
  </si>
  <si>
    <t>sabato yoga</t>
  </si>
  <si>
    <t>avvisare con sms</t>
  </si>
  <si>
    <t xml:space="preserve">lunedi ore 18.30 </t>
  </si>
  <si>
    <t xml:space="preserve">avvisiamo mandiamo in altri corsi </t>
  </si>
  <si>
    <t>Lunedì ore 18,30</t>
  </si>
  <si>
    <t>Lunedì ore 20 ,30 e 21,30</t>
  </si>
  <si>
    <t xml:space="preserve">maestro da solo </t>
  </si>
  <si>
    <t xml:space="preserve">martedi </t>
  </si>
  <si>
    <t xml:space="preserve">mercoledi ore 16.30 e 17.30 </t>
  </si>
  <si>
    <t>mercoledi ore  18.30</t>
  </si>
  <si>
    <t>mercoledi ore 20.30, 21.30</t>
  </si>
  <si>
    <t>inviare sms</t>
  </si>
  <si>
    <t>paghiamo carolina 20€</t>
  </si>
  <si>
    <t xml:space="preserve">Nessuno </t>
  </si>
  <si>
    <t xml:space="preserve">inviato sms </t>
  </si>
  <si>
    <t>martedi tutte le sue ore</t>
  </si>
  <si>
    <t>sms inviato</t>
  </si>
  <si>
    <t>mercoledi ore20.30</t>
  </si>
  <si>
    <t xml:space="preserve">mandiamoli a fare altro </t>
  </si>
  <si>
    <t>mercoledi ore 21.30</t>
  </si>
  <si>
    <t>stefano un suo amico 348 049 0601</t>
  </si>
  <si>
    <t>paghiamo annalena (40€) all'ora</t>
  </si>
  <si>
    <t>giovedi ore 17.30 bambini</t>
  </si>
  <si>
    <t>erika grazioli 3332893738</t>
  </si>
  <si>
    <t>amica di diana, paghiamo diana 20€</t>
  </si>
  <si>
    <t>SMS INVIATO</t>
  </si>
  <si>
    <t>giovedi ore 18.30 twerking</t>
  </si>
  <si>
    <t>giovedi ore 19.30 twerking</t>
  </si>
  <si>
    <t>Carlo  Feller</t>
  </si>
  <si>
    <t xml:space="preserve">paghiamo solo la maestra (30€) </t>
  </si>
  <si>
    <t xml:space="preserve">venerdi ore 18.30 </t>
  </si>
  <si>
    <t>leggere le note</t>
  </si>
  <si>
    <t>li uniamo con carlos MA carlos lo amndiamo allo studio 1</t>
  </si>
  <si>
    <t>venerdi ore 19.30</t>
  </si>
  <si>
    <t>Nessuno</t>
  </si>
  <si>
    <t xml:space="preserve">lunedi ore 17.30 e 18.30 hip hop </t>
  </si>
  <si>
    <t xml:space="preserve">mercoledi  ore 17.30 hip hop </t>
  </si>
  <si>
    <t xml:space="preserve">mercoledi  ore  18.30 hip hop </t>
  </si>
  <si>
    <t>giovedi ore 18.30 e 19.30 commercial</t>
  </si>
  <si>
    <t>giovedì ore 17,30 - 18,30 - 19,30 e 20,30</t>
  </si>
  <si>
    <t>sms mandati</t>
  </si>
  <si>
    <t>venerdi ore 18.30 total body</t>
  </si>
  <si>
    <t>mandiamo le persone in altri corsi</t>
  </si>
  <si>
    <t xml:space="preserve">venerdi ore 19.30 samba </t>
  </si>
  <si>
    <t>carlos li fa venire giovedi 12 dicembre</t>
  </si>
  <si>
    <t xml:space="preserve">venerdi ore 19.30 afro </t>
  </si>
  <si>
    <t>chelsea ordu (3891329601)</t>
  </si>
  <si>
    <t>amica di crissa ( paghiamo crissa 30€)</t>
  </si>
  <si>
    <t>venerdi ore 18.30 e 20.30 urban female e fusion</t>
  </si>
  <si>
    <t>Erika Geddo (3450840306)</t>
  </si>
  <si>
    <t>amica di crissa ( paghiamo crissa 25€)</t>
  </si>
  <si>
    <t>SABATO 15 e 16</t>
  </si>
  <si>
    <t>messuno</t>
  </si>
  <si>
    <t>lunedi 11, 12</t>
  </si>
  <si>
    <t>mandato sms</t>
  </si>
  <si>
    <t>giovedì ore 20,30  21,30</t>
  </si>
  <si>
    <t xml:space="preserve">da solo l'insegnante </t>
  </si>
  <si>
    <t>giovedi 16.30 e 17:30</t>
  </si>
  <si>
    <t>una sua assistente giada gennaro</t>
  </si>
  <si>
    <t>paghiamo samuel 20€</t>
  </si>
  <si>
    <t>Venerdì ore 19,30</t>
  </si>
  <si>
    <t>farli venire alle 18,30</t>
  </si>
  <si>
    <t>venerdi fa solo 2 ore</t>
  </si>
  <si>
    <t>venerdì ore 20:30</t>
  </si>
  <si>
    <t>Martedì ore 09:00 e 13:00</t>
  </si>
  <si>
    <t>martedi ore 19.30 e 20.30</t>
  </si>
  <si>
    <t>mercoledì 18:30-19:30</t>
  </si>
  <si>
    <t>prima lezione. prende il prosto di Crissa</t>
  </si>
  <si>
    <t>tornata a fare i corsi del mercoledì</t>
  </si>
  <si>
    <t>togliere presenze ad Angela Stanisci</t>
  </si>
  <si>
    <t>lezione allo zaccaria</t>
  </si>
  <si>
    <t>michela mortari ( una sua amica)</t>
  </si>
  <si>
    <t>paghiamo angela SOLO 20€</t>
  </si>
  <si>
    <t>GIOVEDì 18:30-19:30-20:30</t>
  </si>
  <si>
    <t>ALLE 17:30 HA FATTO LEZIONE</t>
  </si>
  <si>
    <t>prima lezione al posto di Crissa</t>
  </si>
  <si>
    <t xml:space="preserve">Lunedì 21:30 </t>
  </si>
  <si>
    <t>1 lez. corso di boogie base della Nard</t>
  </si>
  <si>
    <t>Marcello Merighi</t>
  </si>
  <si>
    <t>Lunedì 13</t>
  </si>
  <si>
    <t xml:space="preserve">sms  inviato </t>
  </si>
  <si>
    <t>Lunedì 18,30  e 19,30</t>
  </si>
  <si>
    <t xml:space="preserve">Mercoledì 21:30 </t>
  </si>
  <si>
    <t>PROVA PER NUOVO CORSO</t>
  </si>
  <si>
    <t>mercoeldi ore 20.30 e 21.30</t>
  </si>
  <si>
    <t>lunedì 17:30-18:30-19:30</t>
  </si>
  <si>
    <t xml:space="preserve">Antonella Gennaro </t>
  </si>
  <si>
    <t>pagare € 20</t>
  </si>
  <si>
    <t>Lunedì 21:30</t>
  </si>
  <si>
    <t>Martedì 17:30 brasilian</t>
  </si>
  <si>
    <t>mandare sms (inviati ale)</t>
  </si>
  <si>
    <t xml:space="preserve"> Martedì 18:30 pilates</t>
  </si>
  <si>
    <t xml:space="preserve">mandare sms( inviati ale) </t>
  </si>
  <si>
    <t xml:space="preserve"> Martedì 19:30 e 20:30</t>
  </si>
  <si>
    <t xml:space="preserve">sms inviati </t>
  </si>
  <si>
    <t>Martedì 17:30 e 18:30</t>
  </si>
  <si>
    <t>Mercoledi 13:00</t>
  </si>
  <si>
    <t>sms mandati da carlos</t>
  </si>
  <si>
    <t>MERCOLEDì 20:30</t>
  </si>
  <si>
    <t>MERCOLEDì ORE 21:30</t>
  </si>
  <si>
    <t>Giovedi 21:30</t>
  </si>
  <si>
    <t>Giovedì 21:30</t>
  </si>
  <si>
    <t>Prova per nuovo corso</t>
  </si>
  <si>
    <t>GIOVEDì ORE 17,30</t>
  </si>
  <si>
    <t>GIOVEDì ORE 18,30 E 19,30</t>
  </si>
  <si>
    <t xml:space="preserve">mandare sms( sms mandati) </t>
  </si>
  <si>
    <t xml:space="preserve">Giovedì 20:30 </t>
  </si>
  <si>
    <t>venerdi 20:30</t>
  </si>
  <si>
    <t xml:space="preserve">è venuta una sostituta con 
l'insegnate </t>
  </si>
  <si>
    <t>sabato 12:00</t>
  </si>
  <si>
    <t xml:space="preserve">mandare sms (sms inviati) </t>
  </si>
  <si>
    <t>i suoi corsi del sabato</t>
  </si>
  <si>
    <t>Aldrin magarro</t>
  </si>
  <si>
    <t>lunedi 17:30,18:30</t>
  </si>
  <si>
    <t>giulia corselli</t>
  </si>
  <si>
    <t xml:space="preserve">paghiamo erica </t>
  </si>
  <si>
    <t>lunedi 19:30, 20:30,21:30</t>
  </si>
  <si>
    <t>LUNEDI ORE 19.30</t>
  </si>
  <si>
    <t xml:space="preserve">Martedì ore 19,30 e 21,30 </t>
  </si>
  <si>
    <t>Martedì ore 13:00</t>
  </si>
  <si>
    <t>GIOVEDI ORE 17:30/18:30/19:30/20:30/21:30</t>
  </si>
  <si>
    <t>sostituta</t>
  </si>
  <si>
    <t>giovedi 16:30,17:30</t>
  </si>
  <si>
    <t>GIOVEDì ORE 21,30</t>
  </si>
  <si>
    <t>sabato</t>
  </si>
  <si>
    <t>eleonora</t>
  </si>
  <si>
    <t>paghiamo silvia</t>
  </si>
  <si>
    <t>avvisare sms</t>
  </si>
  <si>
    <t xml:space="preserve">sostituta </t>
  </si>
  <si>
    <t>Martedì 09:00 e 13:00</t>
  </si>
  <si>
    <t>Martedì 19:30</t>
  </si>
  <si>
    <t>2° prova gratuita sms inviato</t>
  </si>
  <si>
    <t>manoni debora</t>
  </si>
  <si>
    <t>paghiamo erica</t>
  </si>
  <si>
    <t>giovedì 17:30-18:30-19:30-20:30-21:30</t>
  </si>
  <si>
    <t>sostituta Alessia Trocchianesi</t>
  </si>
  <si>
    <t>mandiamole in altri classi</t>
  </si>
  <si>
    <t>Lunedì ore 16,30</t>
  </si>
  <si>
    <t xml:space="preserve">fanno il corso con silvia grande </t>
  </si>
  <si>
    <t>Lunedì ore 17,30</t>
  </si>
  <si>
    <t xml:space="preserve">sms inviari (este/ale ) </t>
  </si>
  <si>
    <t>massi</t>
  </si>
  <si>
    <t>giovedì (corsi Zaccaria )</t>
  </si>
  <si>
    <t>venerdi ore 11,12,13</t>
  </si>
  <si>
    <t>mandiamole in altri corsi</t>
  </si>
  <si>
    <t>le facciamo venire giovedi</t>
  </si>
  <si>
    <t>Venerdì ore 20:30</t>
  </si>
  <si>
    <t xml:space="preserve">sms inviato </t>
  </si>
  <si>
    <t>lunedi ore13</t>
  </si>
  <si>
    <t>mercoledi 13</t>
  </si>
  <si>
    <t xml:space="preserve">giovedi ore 16.40 e 17.30 </t>
  </si>
  <si>
    <t>paghimao erika 20€</t>
  </si>
  <si>
    <t>mandiamole in altri corsi (Mandati sms Ale )</t>
  </si>
  <si>
    <t>le facciamo venire giovedi (Mandati sms Ale )</t>
  </si>
  <si>
    <t>sabato i suoi corsi ore 15 e ore 16</t>
  </si>
  <si>
    <t xml:space="preserve">nessuno. mandare sms ( mandati Ale) </t>
  </si>
  <si>
    <t>ore 20:30</t>
  </si>
  <si>
    <t>sabato ore 12, 13, 15 e 16</t>
  </si>
  <si>
    <t xml:space="preserve">sms mandato </t>
  </si>
  <si>
    <t>nessuno avvisare</t>
  </si>
  <si>
    <t>martedì 18,30 , 19,30 ,20,30 e 21,30</t>
  </si>
  <si>
    <r>
      <rPr>
        <rFont val="arial,sans,sans-serif"/>
        <b/>
        <color rgb="FFFF0000"/>
      </rPr>
      <t>ATTENZIONE</t>
    </r>
    <r>
      <rPr>
        <rFont val="arial,sans,sans-serif"/>
      </rPr>
      <t>: SILVIA INCOMINCERÀ IL CORSO ALLE 18.40 E FINIRÀ ALLE 19.30, NON FARÀ I 10 MINUTI DI PAUSA LA SECONDA ORA AVRÀ DALLE 19.30 ALLE 20.20 COME DI CONSUETO. AVVISIAMO LE PERSONE QUANDO ARRIVANO CHE CI SARÀ UN RITARDO DI 10 MINUTI SULLA LEZIONE MA COMUNQUE SARANNO RECUPERATI DOPO.</t>
    </r>
  </si>
  <si>
    <t>mercoledì ore 18,30</t>
  </si>
  <si>
    <t xml:space="preserve">salta  mandare sms </t>
  </si>
  <si>
    <t xml:space="preserve">mercoeldi ore 18.30 </t>
  </si>
  <si>
    <t xml:space="preserve">mercoeldi ore 19.30 </t>
  </si>
  <si>
    <t>paghiamo erika</t>
  </si>
  <si>
    <t xml:space="preserve">mercoledì ore 19,30, 20,30 e 21,30 </t>
  </si>
  <si>
    <t>matilde cassetta</t>
  </si>
  <si>
    <t xml:space="preserve">martedì 18,30 </t>
  </si>
  <si>
    <t xml:space="preserve">inviare sms </t>
  </si>
  <si>
    <t>mercoledi ore 16.30, 17.30, 18.30, 19.30</t>
  </si>
  <si>
    <t>giovedi ore 9 e ore 13</t>
  </si>
  <si>
    <t>giovedi le sue ore 19:30-20:30-21:30</t>
  </si>
  <si>
    <t>la sua assistente alessia trocchianesi</t>
  </si>
  <si>
    <t>venerdi ore 18.30 heels e ore 19.30 voguing</t>
  </si>
  <si>
    <t>venerdi tutti i suoi corsi</t>
  </si>
  <si>
    <t>sms inviato estefany</t>
  </si>
  <si>
    <t>nessun,da sola la maestra</t>
  </si>
  <si>
    <t>sabato ore 12</t>
  </si>
  <si>
    <t xml:space="preserve">Lunedì ore 13 </t>
  </si>
  <si>
    <t>sms programmato per 8/3 ore 15:00
estefany</t>
  </si>
  <si>
    <t>giovedi le sue ore 17:30-18:30-19:30-20:30-21:30</t>
  </si>
  <si>
    <t xml:space="preserve">VENERDI 12:00 </t>
  </si>
  <si>
    <t xml:space="preserve">Li si è bucata la ruota della bicicletta, ha inviato già sms nel gruppo dei suoi allivei </t>
  </si>
  <si>
    <t xml:space="preserve">giovedi ore 18.30 </t>
  </si>
  <si>
    <t>venerdi ore 18.30 e 19.30 pilates</t>
  </si>
  <si>
    <t>sabato ore 12, ore , 13 , ore 14</t>
  </si>
  <si>
    <t>sms mandato. Ale</t>
  </si>
  <si>
    <t xml:space="preserve">lunedi ore 18.30 e 19.30 </t>
  </si>
  <si>
    <t>lunedì ore 20.30</t>
  </si>
  <si>
    <t>da solo la maestro</t>
  </si>
  <si>
    <t>lunedi ore 21.30</t>
  </si>
  <si>
    <t xml:space="preserve">gioevdi i suoi corsi </t>
  </si>
  <si>
    <t>venerdi ore 12</t>
  </si>
  <si>
    <t xml:space="preserve"> </t>
  </si>
  <si>
    <t>avvisare (sms inviato) ale</t>
  </si>
  <si>
    <t>avvisare e mandare in altri corsi(sms inviati Ale)</t>
  </si>
  <si>
    <t>VENERDì 18:30</t>
  </si>
  <si>
    <t>li mandiamo da Carlos</t>
  </si>
  <si>
    <t>SMS INVIATO JOEL</t>
  </si>
  <si>
    <t>michele grande</t>
  </si>
  <si>
    <t>paghiamo amber 25€</t>
  </si>
  <si>
    <t>kevin cataldo</t>
  </si>
  <si>
    <t xml:space="preserve">venerdi tutte le sue ore </t>
  </si>
  <si>
    <t xml:space="preserve">sms mandato (nura) </t>
  </si>
  <si>
    <t>venerdi il loro corso</t>
  </si>
  <si>
    <t>gli allievi vengono da soli ad esercitarsi</t>
  </si>
  <si>
    <t>sabato tutti i suoi corsi (4 ore)</t>
  </si>
  <si>
    <t>sms inviato alex</t>
  </si>
  <si>
    <t>sabato pilates</t>
  </si>
  <si>
    <t>sabato cerchio e tessuti</t>
  </si>
  <si>
    <t>una sua amica Anna Guida 389 2932675</t>
  </si>
  <si>
    <t>paghiamo alessandra 20€</t>
  </si>
  <si>
    <t xml:space="preserve">sabato tutti i suoi corsi </t>
  </si>
  <si>
    <t>michele farà kpop e contam./ kevin heel commercial</t>
  </si>
  <si>
    <t>lunedì ore 18,30. 19,30 20,30 e 21,30</t>
  </si>
  <si>
    <t>michele grande un suo amico</t>
  </si>
  <si>
    <t>paghiamo 20 carolina</t>
  </si>
  <si>
    <t>UNEDì ORE 21:30</t>
  </si>
  <si>
    <t>lunedì ore 21,30</t>
  </si>
  <si>
    <t xml:space="preserve">inviato sms Ale </t>
  </si>
  <si>
    <t>mercoledi 19:30 - 20:30 - 21:30</t>
  </si>
  <si>
    <t xml:space="preserve">da sole  le maestre </t>
  </si>
  <si>
    <t>Mercoledi 19:30-20:30</t>
  </si>
  <si>
    <t>sms mandato a fare altro estefany</t>
  </si>
  <si>
    <t>sara mammano</t>
  </si>
  <si>
    <t xml:space="preserve">le diamo 15€ a erica </t>
  </si>
  <si>
    <t>giovedi ore 18.30 e ore 19.30</t>
  </si>
  <si>
    <t>venerdi ore  18.30, 19.30</t>
  </si>
  <si>
    <t>venerdi 19:30-20;30</t>
  </si>
  <si>
    <t>da solo  il maestro</t>
  </si>
  <si>
    <t>sabato  ore 12</t>
  </si>
  <si>
    <t>invitate a fare aaltro sms estefany</t>
  </si>
  <si>
    <t>mercoeldi ore 19.30 e 20.30</t>
  </si>
  <si>
    <t>nessuno salta</t>
  </si>
  <si>
    <t>venerdi 18:30 19.30</t>
  </si>
  <si>
    <t>sabato tutti i suoi corsi</t>
  </si>
  <si>
    <t>Giada De Cristofaro ( una sua amica)</t>
  </si>
  <si>
    <t>gli allievi provano il saggio da soli</t>
  </si>
  <si>
    <t>LUNEDI 20:30 lunedi 21:30</t>
  </si>
  <si>
    <t xml:space="preserve">da solo il maestro </t>
  </si>
  <si>
    <t xml:space="preserve">inizia alle 18,40 mandato sms avvisando </t>
  </si>
  <si>
    <t>mercoledì ore 20,30 e 21,30</t>
  </si>
  <si>
    <t xml:space="preserve">giovedì ore 09 </t>
  </si>
  <si>
    <t>paghiamo angela 20€</t>
  </si>
  <si>
    <t>giovedì ore 13</t>
  </si>
  <si>
    <t>giovedi 18.30, 19.30</t>
  </si>
  <si>
    <t>venerdì 18,30 e 19,30</t>
  </si>
  <si>
    <t>sms inviati ( ale)</t>
  </si>
  <si>
    <t>venerdì 20:30</t>
  </si>
  <si>
    <t>martedi 17:30</t>
  </si>
  <si>
    <t>lei presente, nessun allievo</t>
  </si>
  <si>
    <t>martedi ore 18:30</t>
  </si>
  <si>
    <t xml:space="preserve">Le allieve non ci sono x questo non si fa lezione (avvisato via sms) </t>
  </si>
  <si>
    <t>martedi 17:30 e 18:30</t>
  </si>
  <si>
    <t>allievi chiamati e nessuno presente 
18:30 lui presente nessun allievo</t>
  </si>
  <si>
    <t>martedi 16.30 e 17.30</t>
  </si>
  <si>
    <t>martedì ore 9</t>
  </si>
  <si>
    <t>martedì ore 13</t>
  </si>
  <si>
    <t>martedì ore 19,30</t>
  </si>
  <si>
    <t>mercoledi solo 16:30</t>
  </si>
  <si>
    <t>nessun partecipante sms inviato</t>
  </si>
  <si>
    <t>giovedi ore 20.30</t>
  </si>
  <si>
    <t>si autogestiscono gli allievi e provano il saggio ( saranno pochi, molti sono assenti)</t>
  </si>
  <si>
    <t>Giovedì ore 20,30 e 21,30</t>
  </si>
  <si>
    <t xml:space="preserve">insegnante sola </t>
  </si>
  <si>
    <t>Giovedì ore 16:30</t>
  </si>
  <si>
    <t>giovedi 21:30</t>
  </si>
  <si>
    <t xml:space="preserve">nessuno (sms mandato nura) </t>
  </si>
  <si>
    <t>Giovedì ore 17:30</t>
  </si>
  <si>
    <t>sostituita da Sara Mammano (paghiamo lei €20)</t>
  </si>
  <si>
    <t>giovedi ore 21.30</t>
  </si>
  <si>
    <t>paghiamo margherita</t>
  </si>
  <si>
    <t xml:space="preserve">giovedi ore 20.30, 21.30 </t>
  </si>
  <si>
    <t>assistente di samuel (francesca leonardis)</t>
  </si>
  <si>
    <t>paghiamo 20€ samuel</t>
  </si>
  <si>
    <t>Lunedì ore 21:30</t>
  </si>
  <si>
    <t>mercoledì 17,30</t>
  </si>
  <si>
    <t>inviato sms. Ale</t>
  </si>
  <si>
    <t>mercoledi 20,30 - 21,30</t>
  </si>
  <si>
    <t>20:30 martina da sola
21:30 nessuno</t>
  </si>
  <si>
    <t xml:space="preserve">sms inviato Estefany </t>
  </si>
  <si>
    <t>mercoledì 13:00</t>
  </si>
  <si>
    <t xml:space="preserve">alunni assenti </t>
  </si>
  <si>
    <t>venerd' ore 18,30 e 19,30</t>
  </si>
  <si>
    <t>cristina pavone</t>
  </si>
  <si>
    <t>ore 19.30 e 20.30</t>
  </si>
  <si>
    <t>saltano avvisare</t>
  </si>
  <si>
    <t>ore 20,30</t>
  </si>
  <si>
    <t>sabato  ore 12. e 13 e 14</t>
  </si>
  <si>
    <t>cristina pavone (333 436 7524)</t>
  </si>
  <si>
    <t>sabato il suo corso</t>
  </si>
  <si>
    <t xml:space="preserve">saltano avvisare (inviato N) </t>
  </si>
  <si>
    <t xml:space="preserve">sabato ore 14 </t>
  </si>
  <si>
    <t>sabato ore 14 -15 -16</t>
  </si>
  <si>
    <t>DA SOLO IL MAESTRO</t>
  </si>
  <si>
    <t>lunedi ore 18.30 e 20.30</t>
  </si>
  <si>
    <t>lunedi ore 21.30 salsa base</t>
  </si>
  <si>
    <t xml:space="preserve">Martedì i suoi corsi </t>
  </si>
  <si>
    <t>mercoledi il suo corso</t>
  </si>
  <si>
    <t>SMS INVIATO (JOEL)</t>
  </si>
  <si>
    <t>mercoledì  19,30 e 20,30</t>
  </si>
  <si>
    <t>venerdi il suo corso</t>
  </si>
  <si>
    <t>venerdì  19,30</t>
  </si>
  <si>
    <t>CORSO CHIUSO DAL 9/5</t>
  </si>
  <si>
    <t>venerdi 20.30</t>
  </si>
  <si>
    <t xml:space="preserve">i ragazzi vengono e fanno prove saggio </t>
  </si>
  <si>
    <t>lunedi 19:30 e 21:30</t>
  </si>
  <si>
    <t>Mercoledì 17:30</t>
  </si>
  <si>
    <t>Mercoledì 18:30</t>
  </si>
  <si>
    <t>mercoledi 0re 20.30</t>
  </si>
  <si>
    <t>mercoledi 0re 21.30</t>
  </si>
  <si>
    <t>angelo cannata un suo amico nostro allievo</t>
  </si>
  <si>
    <t>paghiamo simone</t>
  </si>
  <si>
    <t>Lunedì 17:30</t>
  </si>
  <si>
    <t>Lunedì 18:30</t>
  </si>
  <si>
    <t>le allieve provano il saggio da sole</t>
  </si>
  <si>
    <t>mercoledi 0re 18-30 e 20.30</t>
  </si>
  <si>
    <t>ATTENZIONE PER GIUDITTA</t>
  </si>
  <si>
    <t>per giuditta CECILIA parte fino a SETTEMBRE, il suo corso sarà tenuta da SILVIA GRANDE, MA DOBBIAMO SPOSTARE L'ORARIO DI INIZIO ALLE 18.40</t>
  </si>
  <si>
    <t>Mecoledì ore 20,30 e 21,30</t>
  </si>
  <si>
    <t>Giovedì  ore 20,30 e 21,30</t>
  </si>
  <si>
    <t xml:space="preserve">sms mandati estefany </t>
  </si>
  <si>
    <t xml:space="preserve">venerdi tutte le ore </t>
  </si>
  <si>
    <t>messaggio programm x gio 23 9:00 (estefany)</t>
  </si>
  <si>
    <t xml:space="preserve">sabato tutte le ore </t>
  </si>
  <si>
    <t>messaggio programm x gio 23 12:00 (estefany)</t>
  </si>
  <si>
    <t>sms inviato Ale</t>
  </si>
  <si>
    <t xml:space="preserve">Lunedì 17:30 e 18:30 </t>
  </si>
  <si>
    <t>lunedì ore  17,30 e 18,30</t>
  </si>
  <si>
    <t>Debora manoni</t>
  </si>
  <si>
    <t>lunedì ore 19,30 -20,30 e 21,30</t>
  </si>
  <si>
    <t xml:space="preserve">lunedì ore 19,30 </t>
  </si>
  <si>
    <t>lunedì ore 17:30-18:30-19:30</t>
  </si>
  <si>
    <t>PROVANO IL SAGGIO DA SOLI</t>
  </si>
  <si>
    <t>martedi 11 - 12 - 13</t>
  </si>
  <si>
    <t xml:space="preserve">mercoledi 11- 12- 13 </t>
  </si>
  <si>
    <t xml:space="preserve">Giovedì ore 13 </t>
  </si>
  <si>
    <t>inviato Joel</t>
  </si>
  <si>
    <t>Giovedì ore 16,40 e 17,30</t>
  </si>
  <si>
    <t>Giovedì ore 17:30-18:30-19:30-20:30-21:30</t>
  </si>
  <si>
    <t>assistente</t>
  </si>
  <si>
    <t>sabato ore 9.30 classica e 11 pilates</t>
  </si>
  <si>
    <t>SMS INVIATI ALE</t>
  </si>
  <si>
    <t>SABATO SOLO L'ORARIO DELLE 16</t>
  </si>
  <si>
    <t>MARTEDì YOGA</t>
  </si>
  <si>
    <t xml:space="preserve">VENERDI' 18:30 E 19:30 </t>
  </si>
  <si>
    <t>sms Inviato Joel</t>
  </si>
  <si>
    <t>SABATO YOGA</t>
  </si>
  <si>
    <t>sms inviato joel</t>
  </si>
  <si>
    <t>avvisare sms inviato Ale</t>
  </si>
  <si>
    <t>le ragazze provano il saggio da sole</t>
  </si>
  <si>
    <t>martedi ore 9</t>
  </si>
  <si>
    <t>Mercoledì 17:30 e Mercoledì 18:30</t>
  </si>
  <si>
    <t xml:space="preserve">sms mandati Ale </t>
  </si>
  <si>
    <t>mercoledi ore 19.30. 20.30 21.30</t>
  </si>
  <si>
    <r>
      <rPr>
        <rFont val="arial,sans,sans-serif"/>
      </rPr>
      <t xml:space="preserve">ATTENZIONE SICCOME ANNALENA BERTON è GIA STATA RIMOSSA DAI MAESTRI NON RIESCO A SEGNARE LA SUA ASSENZA. VERRA SOSTITUITA DAL NUOVO MAESTRO DELLA PROSSIMA STAGIONE </t>
    </r>
    <r>
      <rPr>
        <rFont val="arial,sans,sans-serif"/>
        <b/>
      </rPr>
      <t xml:space="preserve">STEFANO BATTISTELLA </t>
    </r>
    <r>
      <rPr>
        <rFont val="arial,sans,sans-serif"/>
      </rPr>
      <t>MA PAGHIAMO ANNALENA</t>
    </r>
  </si>
  <si>
    <t xml:space="preserve">mercoledì ore 21,30 </t>
  </si>
  <si>
    <t>giovedì 18:30</t>
  </si>
  <si>
    <t>Giovedì 19:30</t>
  </si>
  <si>
    <t>LE ALLIEVE PROVANO I SAGGIO DA SOLE</t>
  </si>
  <si>
    <t>SARA MAMMANO</t>
  </si>
  <si>
    <t>sms mandati estefany</t>
  </si>
  <si>
    <t>giovedì tutte le sue ore</t>
  </si>
  <si>
    <t>Venerdì 17:30 e 18:30</t>
  </si>
  <si>
    <t>Saggio di Areal</t>
  </si>
  <si>
    <t>Saggio SMS INVIATO JOEL</t>
  </si>
  <si>
    <t>sabato  ore 13 e 14</t>
  </si>
  <si>
    <t>Saggio</t>
  </si>
  <si>
    <t>saggio</t>
  </si>
  <si>
    <t xml:space="preserve">sabato tutte le sue ore </t>
  </si>
  <si>
    <t>lunedi ore 19.30, 20.30, 21.30</t>
  </si>
  <si>
    <t>lunedi ore 19.30 e 20.30</t>
  </si>
  <si>
    <t>lunedì ore 19:30</t>
  </si>
  <si>
    <t>possono andare da giada sms estefany</t>
  </si>
  <si>
    <t>martedi 18:30-19:30-20:30</t>
  </si>
  <si>
    <t>sms inviato per fare altro estefany</t>
  </si>
  <si>
    <t xml:space="preserve">mercoledi ore 20.30 </t>
  </si>
  <si>
    <t xml:space="preserve">mercoledi ore 21.30 </t>
  </si>
  <si>
    <r>
      <rPr>
        <rFont val="arial,sans,sans-serif"/>
      </rPr>
      <t xml:space="preserve">ATTENZIONE SICCOME ANNALENA BERTON è GIA STATA RIMOSSA DAI MAESTRI NON RIESCO A SEGNARE LA SUA ASSENZA. VERRA SOSTITUITA DAL NUOVO MAESTRO DELLA PROSSIMA STAGIONE </t>
    </r>
    <r>
      <rPr>
        <rFont val="arial,sans,sans-serif"/>
        <b/>
      </rPr>
      <t xml:space="preserve">STEFANO BATTISTELLA </t>
    </r>
    <r>
      <rPr>
        <rFont val="arial,sans,sans-serif"/>
      </rPr>
      <t>MA PAGHIAMO ANNALENA</t>
    </r>
  </si>
  <si>
    <t>mercoeldi 18.30</t>
  </si>
  <si>
    <t>uniamo le classi cecilia pacillo + angela stanisci</t>
  </si>
  <si>
    <t>DIANA MARCHETTA gioevdi ore 18.30 e 19.30</t>
  </si>
  <si>
    <t>mandiamoili in altri corsi (sms estefany)</t>
  </si>
  <si>
    <t>giovedi ore 20.30 gestualita</t>
  </si>
  <si>
    <t>mandare sms (sms mandato estefany)</t>
  </si>
  <si>
    <t>giovedi ore  21.30</t>
  </si>
  <si>
    <t>venerdi ore 12 e 13</t>
  </si>
  <si>
    <t>avvisare (sms inviato estefany)</t>
  </si>
  <si>
    <t>Venerdì ore 18,30</t>
  </si>
  <si>
    <t xml:space="preserve">inviare sms (inviato Ale) </t>
  </si>
  <si>
    <t>mandiamoili in altri corsi</t>
  </si>
  <si>
    <t>VENERDì 20:30</t>
  </si>
  <si>
    <t>SABATO LA SUA ORA</t>
  </si>
  <si>
    <t>nessuno tesserato presente</t>
  </si>
  <si>
    <t>ORE 21:30</t>
  </si>
  <si>
    <t>lunedì ore 18:30</t>
  </si>
  <si>
    <t>nessun ALLIEVO</t>
  </si>
  <si>
    <t>irene roberti</t>
  </si>
  <si>
    <t>amica di erika, PAGHIAMO ERIKA</t>
  </si>
  <si>
    <t>lunedi 20.30 e 21.30</t>
  </si>
  <si>
    <t>da soli i maetsri</t>
  </si>
  <si>
    <t>marta bassani 348 968 5660</t>
  </si>
  <si>
    <t xml:space="preserve">martedi 20.30 </t>
  </si>
  <si>
    <t xml:space="preserve">martedi gestualita 21.30 </t>
  </si>
  <si>
    <t>avvisare e mandiamoli da giada nel caso</t>
  </si>
  <si>
    <r>
      <rPr>
        <rFont val="arial,sans,sans-serif"/>
      </rPr>
      <t xml:space="preserve">ATTENZIONE SICCOME ANNALENA BERTON è GIA STATA RIMOSSA DAI MAESTRI NON RIESCO A SEGNARE LA SUA ASSENZA. VERRA SOSTITUITA DAL NUOVO MAESTRO DELLA PROSSIMA SATGIONE </t>
    </r>
    <r>
      <rPr>
        <rFont val="arial,sans,sans-serif"/>
        <b/>
      </rPr>
      <t>STEFANO BATTISTELLA MA PAGHIAMO ANNALENA</t>
    </r>
  </si>
  <si>
    <t>mercoledì 20,30</t>
  </si>
  <si>
    <t>giovedì ore 21</t>
  </si>
  <si>
    <t>spostiamo solo per stasera le ore delle 21.30 alle 20.30. annachiara ha già avvisato i suoi allievi</t>
  </si>
  <si>
    <t>sabato tutte e 3 le ore</t>
  </si>
  <si>
    <t>sabato yoga ore 12</t>
  </si>
  <si>
    <t>sms inviato ale</t>
  </si>
  <si>
    <t>VENERDì ORE 18:30</t>
  </si>
  <si>
    <t>NESSUNA ALLIEVA</t>
  </si>
  <si>
    <t>sabato i suoi corsi ore 15 e 16</t>
  </si>
  <si>
    <t xml:space="preserve">sms proggrammato estefany </t>
  </si>
  <si>
    <t>sabato i suoi corsi ore 14 ore 15 ore 16</t>
  </si>
  <si>
    <t>mandiamoli in altri corsi sms estefany</t>
  </si>
  <si>
    <t>irene roberti (349 852 9480)</t>
  </si>
  <si>
    <t>Lunedì 19,30 e 20,30</t>
  </si>
  <si>
    <t>mercoledi ore 13</t>
  </si>
  <si>
    <t>mandare da dorian sms inviato joel</t>
  </si>
  <si>
    <t>mercoledì ore 20:30</t>
  </si>
  <si>
    <t>recupero lezione del 1/7 di elisa mazzarolo 21:30</t>
  </si>
  <si>
    <t>giovedì ore 19:30</t>
  </si>
  <si>
    <t>recupero lezione del lunedì</t>
  </si>
  <si>
    <t xml:space="preserve">corso base </t>
  </si>
  <si>
    <t>giovedì 13,00</t>
  </si>
  <si>
    <t>sostituto</t>
  </si>
  <si>
    <t>paghiamo € ??</t>
  </si>
  <si>
    <t>3^ lezione del corso base giovedi 20:30</t>
  </si>
  <si>
    <t>martedi 21:30</t>
  </si>
  <si>
    <t>4^ lezione del corso base giovedi 20:30</t>
  </si>
  <si>
    <t>recupero lezione del corso del lunedì alle 20:30</t>
  </si>
  <si>
    <t>24-25_SPOSTAMENTI CORSI TESSERATI</t>
  </si>
  <si>
    <t>VETERE</t>
  </si>
  <si>
    <t>SIFEN</t>
  </si>
  <si>
    <t>2425DARIENZOSAB13.D</t>
  </si>
  <si>
    <t>2425DARIENZOSAB15.D</t>
  </si>
  <si>
    <t>DI ROCCO</t>
  </si>
  <si>
    <t>ALICE</t>
  </si>
  <si>
    <t>2425STANISCILUN16.B</t>
  </si>
  <si>
    <t>2425PALAZZOTTOLUN16.B</t>
  </si>
  <si>
    <t>Vittorio</t>
  </si>
  <si>
    <t>ROUVIERE</t>
  </si>
  <si>
    <t>SANDRA</t>
  </si>
  <si>
    <t>2425AMBROSINIMAR21.C</t>
  </si>
  <si>
    <t>2425BONELLILUN20.C</t>
  </si>
  <si>
    <t>GENTILI</t>
  </si>
  <si>
    <t>IRENE</t>
  </si>
  <si>
    <t>2425SETTILUN19.F</t>
  </si>
  <si>
    <t>2425MALINLUN19.F</t>
  </si>
  <si>
    <t>DA COSTA GAMEIRO</t>
  </si>
  <si>
    <t>JOSE' ALEXANDRE</t>
  </si>
  <si>
    <t>2425NEMBRILUN21.C</t>
  </si>
  <si>
    <t>2425NEMBRIMAR19.C</t>
  </si>
  <si>
    <t>RAMAGLIA</t>
  </si>
  <si>
    <t>STELLA</t>
  </si>
  <si>
    <t>2425MALINLUN20.D</t>
  </si>
  <si>
    <t>2425DICARLOLUN18.B</t>
  </si>
  <si>
    <t>ROSSI</t>
  </si>
  <si>
    <t>ELENA</t>
  </si>
  <si>
    <t>DE LUCA</t>
  </si>
  <si>
    <t>OLIVIA</t>
  </si>
  <si>
    <t>2425DICARLOLUN17.B</t>
  </si>
  <si>
    <t>2425MARINOVEN17.B</t>
  </si>
  <si>
    <t>CARLA</t>
  </si>
  <si>
    <t>2425PUGGIONILUN17.B</t>
  </si>
  <si>
    <t>MORETTI</t>
  </si>
  <si>
    <t>CRISTINA</t>
  </si>
  <si>
    <t>2425TODISCOSAB14.C</t>
  </si>
  <si>
    <t>2425VASSALLOSAB14.F</t>
  </si>
  <si>
    <t>GODINHO</t>
  </si>
  <si>
    <t>LARISSA</t>
  </si>
  <si>
    <t>2425CRUZGIO20.D</t>
  </si>
  <si>
    <t>2425GARIANOGIO20.D</t>
  </si>
  <si>
    <t>TOSCANO</t>
  </si>
  <si>
    <t>CHIARA</t>
  </si>
  <si>
    <t>2425NEMBRIGIO20.C</t>
  </si>
  <si>
    <t>RIVAS LOPEZ</t>
  </si>
  <si>
    <t>VANESSA</t>
  </si>
  <si>
    <t>2425LUISETTOGIO21.C</t>
  </si>
  <si>
    <t>2425LUISETTOGIO20.C</t>
  </si>
  <si>
    <t>2425DEPONTESLUN19.D</t>
  </si>
  <si>
    <t>2425CRUZVEN19.D</t>
  </si>
  <si>
    <t>MARANZANA</t>
  </si>
  <si>
    <t>BEATRICE</t>
  </si>
  <si>
    <t>2425PUGGIONIGIO19.A</t>
  </si>
  <si>
    <t>2425PUGGIONIGIO20.A</t>
  </si>
  <si>
    <t>2425MIRAMGIO18.D</t>
  </si>
  <si>
    <t xml:space="preserve">CORZO ROCA	</t>
  </si>
  <si>
    <t xml:space="preserve">GERALDINE MARYANN	</t>
  </si>
  <si>
    <t>2425ILAGOULUN20.D</t>
  </si>
  <si>
    <t>ROSINA</t>
  </si>
  <si>
    <t>GIULIA</t>
  </si>
  <si>
    <t>HERRERA</t>
  </si>
  <si>
    <t>JONNY</t>
  </si>
  <si>
    <t>2425MELEGIO21.C</t>
  </si>
  <si>
    <t>2425SARACCHIGIO21.C</t>
  </si>
  <si>
    <t>BIANCHI</t>
  </si>
  <si>
    <t>ANGELA</t>
  </si>
  <si>
    <t>CESARI</t>
  </si>
  <si>
    <t>LAURA</t>
  </si>
  <si>
    <t>2425LUISETTOMER21.C</t>
  </si>
  <si>
    <t>2425NEMBRILUN20.C</t>
  </si>
  <si>
    <t>EL SERAFI</t>
  </si>
  <si>
    <t>ADRE</t>
  </si>
  <si>
    <t>SINESI</t>
  </si>
  <si>
    <t>LUDOVICA</t>
  </si>
  <si>
    <t>2425DUTTASAB13.D</t>
  </si>
  <si>
    <t>2425DUTTASAB15.D</t>
  </si>
  <si>
    <t>PALATIELLO</t>
  </si>
  <si>
    <t>2425SETTILUN18.F</t>
  </si>
  <si>
    <t>2425SETTIVEN19.F</t>
  </si>
  <si>
    <t xml:space="preserve">CURZIO </t>
  </si>
  <si>
    <t xml:space="preserve">CRISTIANA </t>
  </si>
  <si>
    <t>2425BONULUN20.C</t>
  </si>
  <si>
    <t>2425BONNIVEN20.C</t>
  </si>
  <si>
    <t>2425ARUTAMER20.C</t>
  </si>
  <si>
    <t>MARCANTONIO</t>
  </si>
  <si>
    <t>TERESA</t>
  </si>
  <si>
    <t>2425PICCIRILLOSAB16.D</t>
  </si>
  <si>
    <t>2425PICCIRILLOMER19.D</t>
  </si>
  <si>
    <t>ESPOSITO</t>
  </si>
  <si>
    <t>ELISABETTA</t>
  </si>
  <si>
    <t>non vuole frequentare il suo abbonamento lo prende la nonna che ha pagato la diff. per un Open Mattino. La nonna si chiama Mantovani Egea</t>
  </si>
  <si>
    <t>BORTOLI</t>
  </si>
  <si>
    <t>PIERGUIDO</t>
  </si>
  <si>
    <t>2425NEMBRILUN19.C</t>
  </si>
  <si>
    <t>NUVOLI</t>
  </si>
  <si>
    <t>2425MELEMER20.C</t>
  </si>
  <si>
    <t xml:space="preserve">D'ARCO </t>
  </si>
  <si>
    <t>FRANCESCA</t>
  </si>
  <si>
    <t>2425STANISCILUN17.F</t>
  </si>
  <si>
    <t>2425MARINOLUN18.F</t>
  </si>
  <si>
    <t>VALERO</t>
  </si>
  <si>
    <t>GILLIAN</t>
  </si>
  <si>
    <t>2425BONNIVEN19.C</t>
  </si>
  <si>
    <t>SCAFARELLA</t>
  </si>
  <si>
    <t>HANNA</t>
  </si>
  <si>
    <t>2425CEGLIEMAR21.D</t>
  </si>
  <si>
    <t>2425FERGIEVEN20.D</t>
  </si>
  <si>
    <t>CARLISI</t>
  </si>
  <si>
    <t>FRANCESCO</t>
  </si>
  <si>
    <t>2425ARUTAMER19.C</t>
  </si>
  <si>
    <t>GUARNERI ALESSIO</t>
  </si>
  <si>
    <t>2425KUQIGIO13.F</t>
  </si>
  <si>
    <t>2425SANTOROSAB12.F</t>
  </si>
  <si>
    <t>IERINO</t>
  </si>
  <si>
    <t>BRUNO</t>
  </si>
  <si>
    <t>2425MELELUN21.C</t>
  </si>
  <si>
    <t>LARYSSA</t>
  </si>
  <si>
    <t>2425CRUZMER12.F</t>
  </si>
  <si>
    <t>2425CRUZMAR17.F</t>
  </si>
  <si>
    <t>SUAREZ</t>
  </si>
  <si>
    <t>SAOIA</t>
  </si>
  <si>
    <t>2425CEGLIEMER20.D</t>
  </si>
  <si>
    <t>2425ANAHITAGIO18.D</t>
  </si>
  <si>
    <t>GONZALEZ</t>
  </si>
  <si>
    <t>CAROLINA</t>
  </si>
  <si>
    <t>2425NEMBRIMER20.C</t>
  </si>
  <si>
    <t>DUMITRU</t>
  </si>
  <si>
    <t>BIANCA</t>
  </si>
  <si>
    <t>2425CEGLIEMER21.D</t>
  </si>
  <si>
    <t>2425PICCIRILLOMAR18.D</t>
  </si>
  <si>
    <t>PELLEGRINO</t>
  </si>
  <si>
    <t>CARLA MARIA</t>
  </si>
  <si>
    <t>2425ASSABILUN21.C</t>
  </si>
  <si>
    <t>ROTUNNO</t>
  </si>
  <si>
    <t>SIMONE</t>
  </si>
  <si>
    <t>23-24 SOSTITUZIONI ISTRUTTORI</t>
  </si>
  <si>
    <t>NO CORSO ORE 18:30</t>
  </si>
  <si>
    <t>Santo</t>
  </si>
  <si>
    <t>Mariangela Mercaldi</t>
  </si>
  <si>
    <t xml:space="preserve">1 persona spostata in altro corso </t>
  </si>
  <si>
    <t>Sara</t>
  </si>
  <si>
    <t>Non si è presentata. Le prove di acrobatica sono state mandate a Hiphop da Sissi</t>
  </si>
  <si>
    <t>la prova si farà sabato 23 settembre</t>
  </si>
  <si>
    <t>sabato 15:00</t>
  </si>
  <si>
    <t xml:space="preserve">30 min ritardo </t>
  </si>
  <si>
    <t>sabato ore 15</t>
  </si>
  <si>
    <t xml:space="preserve">Nessun allievo no lezione </t>
  </si>
  <si>
    <t>IN PROGRAMMAZIONE</t>
  </si>
  <si>
    <t>SOLO questa lezione la paghiamo, la settimana dopo capiamo se contiunare il corso</t>
  </si>
  <si>
    <t>giovedi ore 18,30 e 19.30</t>
  </si>
  <si>
    <t xml:space="preserve">facciamo inizare il corso la settimana del 28 settembre </t>
  </si>
  <si>
    <t>Paola Biraghi</t>
  </si>
  <si>
    <t>i corsi del venerdi</t>
  </si>
  <si>
    <t>nessuno per ora</t>
  </si>
  <si>
    <t>Cecilia Guglielmetti</t>
  </si>
  <si>
    <t xml:space="preserve">facciamo inizare il corso la settimana del 02 OTTOBRE </t>
  </si>
  <si>
    <t>NO ALLIEVI</t>
  </si>
  <si>
    <t>Andrea</t>
  </si>
  <si>
    <t>SABATO 14.00</t>
  </si>
  <si>
    <t>sabato ore 11 e ore 12</t>
  </si>
  <si>
    <t>paghiamo paola biraghi</t>
  </si>
  <si>
    <t xml:space="preserve">lunedi ore 12 </t>
  </si>
  <si>
    <t>il corso lo facciamo iniziare il 10 ottobre</t>
  </si>
  <si>
    <t>Jorge Moreno</t>
  </si>
  <si>
    <t>lunedi 19:30</t>
  </si>
  <si>
    <t>1 persona se ne andato dopo 10min</t>
  </si>
  <si>
    <t>Lunedi 19:30</t>
  </si>
  <si>
    <t>mandiamo gli allievi da carlos</t>
  </si>
  <si>
    <t>corso in programmazione</t>
  </si>
  <si>
    <t>PAGHIAMO ALESSANDRA</t>
  </si>
  <si>
    <t xml:space="preserve">da solo il maestro con assistente </t>
  </si>
  <si>
    <t xml:space="preserve">Jorge Avila </t>
  </si>
  <si>
    <t>li mandiamo da alex bonny</t>
  </si>
  <si>
    <t xml:space="preserve">Sabato 13:00 </t>
  </si>
  <si>
    <t xml:space="preserve">ritardo 20 minuti </t>
  </si>
  <si>
    <t>sabato total body ore 14</t>
  </si>
  <si>
    <t>pochi allievi</t>
  </si>
  <si>
    <t>SABATO ORE 11:00</t>
  </si>
  <si>
    <t>ha fatto solo la prima ora</t>
  </si>
  <si>
    <t>mercoeldi ore 18.30</t>
  </si>
  <si>
    <t>mercoledi ore 17.30 ore 18.30</t>
  </si>
  <si>
    <t>paghiamo diana</t>
  </si>
  <si>
    <t>giovedi heels ore 18.30</t>
  </si>
  <si>
    <t>costanza guizzetti</t>
  </si>
  <si>
    <t>paghiamo anahita</t>
  </si>
  <si>
    <t>giovedi voguing ore 19.30</t>
  </si>
  <si>
    <t>mariana pozzobon</t>
  </si>
  <si>
    <t>giovedi ore 16.30 e 17.30</t>
  </si>
  <si>
    <t xml:space="preserve">venerdi 18:30-19:30-20:30 </t>
  </si>
  <si>
    <t>Andrea Marici</t>
  </si>
  <si>
    <t>paghiamo fergie</t>
  </si>
  <si>
    <t>paghiamo elisa</t>
  </si>
  <si>
    <t>mandiamoli da stefano</t>
  </si>
  <si>
    <t>Jessica Novia</t>
  </si>
  <si>
    <t xml:space="preserve">da sola la maestra </t>
  </si>
  <si>
    <t xml:space="preserve">martedì 17:30 18:30 </t>
  </si>
  <si>
    <t xml:space="preserve">far venire in altri corsi </t>
  </si>
  <si>
    <t>giovedi ore 16 allo zaccaria</t>
  </si>
  <si>
    <t>Deborah Manoni</t>
  </si>
  <si>
    <t>giovedi ore 13:00</t>
  </si>
  <si>
    <t>le mandiamo nelle altre classi, vanno avvsiate</t>
  </si>
  <si>
    <t>giovedi  ore 19.30 commercial</t>
  </si>
  <si>
    <t>NON FARà piu la maestra in questa ora</t>
  </si>
  <si>
    <t>mandiamo le persone in altri corsi e avvisiamole</t>
  </si>
  <si>
    <t xml:space="preserve">lunedi ore 17.30 </t>
  </si>
  <si>
    <t xml:space="preserve">mandato sms </t>
  </si>
  <si>
    <t>Martina Napoli</t>
  </si>
  <si>
    <t>martedì ore 21:30</t>
  </si>
  <si>
    <t xml:space="preserve">mercoledi ore 17.30 </t>
  </si>
  <si>
    <t>Massimo Triarico</t>
  </si>
  <si>
    <t>GIOVEDì ore 16,30</t>
  </si>
  <si>
    <t xml:space="preserve">prima lezione </t>
  </si>
  <si>
    <t>Aurelia  ( 3513565545)</t>
  </si>
  <si>
    <t>Serena Pieraccini</t>
  </si>
  <si>
    <t>lunedi  18.30, 19.30 . 20.30</t>
  </si>
  <si>
    <t>sostituzione lun 19:30</t>
  </si>
  <si>
    <t>avvisare che possono fare quello che vogliono SMS INVIATI GIAD</t>
  </si>
  <si>
    <t>martedi ore 19.30, 20.30</t>
  </si>
  <si>
    <t>martedi ore 17.30 bambini</t>
  </si>
  <si>
    <t>martedi ore 18.30 urban mix</t>
  </si>
  <si>
    <t>mandiamole da katia</t>
  </si>
  <si>
    <t>Marco Martignani</t>
  </si>
  <si>
    <t>martedì ore 19,30, 20,30 e 21,30</t>
  </si>
  <si>
    <t xml:space="preserve">giovedi 18.30 </t>
  </si>
  <si>
    <t>giovedi 19.30</t>
  </si>
  <si>
    <t>venerdì 18:30 e 19:30</t>
  </si>
  <si>
    <t xml:space="preserve">venerdi yoga ore 10 e 11 </t>
  </si>
  <si>
    <t>avvisiamo o mandiamo da altre parti</t>
  </si>
  <si>
    <t xml:space="preserve">Aurelia  ( 3513565545) </t>
  </si>
  <si>
    <t xml:space="preserve">RITARDO 40+20 MIN DI SABATO SCORSO </t>
  </si>
  <si>
    <t xml:space="preserve">sabato 12:00 13:00 14:00 </t>
  </si>
  <si>
    <t>Laura Moriggi</t>
  </si>
  <si>
    <t>martedi ore 19.30, 20.30, 21.30</t>
  </si>
  <si>
    <t>alessandra</t>
  </si>
  <si>
    <t>paghiamo laura</t>
  </si>
  <si>
    <t>mercoeldi 17.30 e 18.30</t>
  </si>
  <si>
    <t>serena pinto</t>
  </si>
  <si>
    <t>paghiamo eleonora</t>
  </si>
  <si>
    <t>martedì ore 18:30</t>
  </si>
  <si>
    <t>giovedi ore 18.30 afro</t>
  </si>
  <si>
    <t>le mandiamo dove vogliono</t>
  </si>
  <si>
    <t>giovedi ore 19.30 twerk</t>
  </si>
  <si>
    <t>fabio stroscio 3384793515</t>
  </si>
  <si>
    <t>pagiamo busta leggere sopra</t>
  </si>
  <si>
    <t>GIOVEDI ORE 16.30</t>
  </si>
  <si>
    <t>contatto di michele modulo ( lo paghiamo a fine lezione busta da 100€ per il totale delle 4 ore che farà)</t>
  </si>
  <si>
    <t>GIOVEDI ORE 19.30 COMERCIAL</t>
  </si>
  <si>
    <t>mandiamo le ragazze da altre parti</t>
  </si>
  <si>
    <t>mandiamo messaggio che possono fare altro</t>
  </si>
  <si>
    <t>lunedi ore 20.30 salsa</t>
  </si>
  <si>
    <t>mercoledi ore 11 pilates</t>
  </si>
  <si>
    <t xml:space="preserve">mercoledi  ore 12 </t>
  </si>
  <si>
    <t>mercoledi  ore 13</t>
  </si>
  <si>
    <t>li mandiamo da carlos e spostioamo carlos alla 21</t>
  </si>
  <si>
    <t>avvisiamo che possono fare altro</t>
  </si>
  <si>
    <t>allievi avvisati invitati a fare altro</t>
  </si>
  <si>
    <t>lunedi ore 11 ore 12 total body</t>
  </si>
  <si>
    <t>lunedì ore 12:00</t>
  </si>
  <si>
    <t>lunedi ore 13 pilates</t>
  </si>
  <si>
    <t>mandare messaggio che possono fare altro</t>
  </si>
  <si>
    <t>ore 20.30 e 21.30</t>
  </si>
  <si>
    <t>avvissimo le ragazze che possono fare le altre gestualità</t>
  </si>
  <si>
    <t>lunedì ore 13:00</t>
  </si>
  <si>
    <t xml:space="preserve">mandati da Carlos </t>
  </si>
  <si>
    <t>avvisare le bambine, chiedere se vogliono fare la lezione di acrobatica con giusy alla setssa ora</t>
  </si>
  <si>
    <t>ore 18.30, 19.30</t>
  </si>
  <si>
    <t>ore 9:30 e 13:00</t>
  </si>
  <si>
    <t>mercoledi 17.30</t>
  </si>
  <si>
    <t>dare busta con 25€</t>
  </si>
  <si>
    <t>mandiamo gli allievi da alex</t>
  </si>
  <si>
    <t>avvisare che la prima ora quelle delle 18.30 inizierà alle 18.40</t>
  </si>
  <si>
    <t>sabato ore 11 ore 12</t>
  </si>
  <si>
    <t>mandiamo sms</t>
  </si>
  <si>
    <t>sabato ore 12, 13 danza</t>
  </si>
  <si>
    <t>sabato ore 14 pilates</t>
  </si>
  <si>
    <t>MERCOLEDì ORE 18:30</t>
  </si>
  <si>
    <t>Giulia D'arienzo</t>
  </si>
  <si>
    <t>marcoeldi ore 18.30</t>
  </si>
  <si>
    <t>avvisare sms (mandati Ale)</t>
  </si>
  <si>
    <t>deghi</t>
  </si>
  <si>
    <t>lunedi 18:30</t>
  </si>
  <si>
    <t>giovedi ore 19.30, 20.30</t>
  </si>
  <si>
    <t>LE LEZIONI COMUNQUE LE HA FATTE CARLOS</t>
  </si>
  <si>
    <t>giovedi ore 18.30 functional</t>
  </si>
  <si>
    <t>uniamo il corso con Ronald nello studio 1</t>
  </si>
  <si>
    <t>giovedi ore 19.30. ore 20.30</t>
  </si>
  <si>
    <t>da soli i maestri</t>
  </si>
  <si>
    <t>giovedi tutte le sue ore</t>
  </si>
  <si>
    <t>andrea delle donne e alessandra d'errico</t>
  </si>
  <si>
    <t>paghiamo come smepre marco con gli accordi presi</t>
  </si>
  <si>
    <t xml:space="preserve">venerdi 18:30,19:30, 20:30 </t>
  </si>
  <si>
    <t>venerdì ore 19:30 e 20:30</t>
  </si>
  <si>
    <t>DA OGGI è LUI IL NUOVO MAESTRO</t>
  </si>
  <si>
    <t>martedi  ore 9, ore 13 pilates</t>
  </si>
  <si>
    <t>martedi ore 17.30 hip hop bambini</t>
  </si>
  <si>
    <t>adriana po</t>
  </si>
  <si>
    <t>n. 3928088289</t>
  </si>
  <si>
    <t xml:space="preserve">paghiamo diana </t>
  </si>
  <si>
    <t>MARTEDI 18:30</t>
  </si>
  <si>
    <t>mercoledi ore 16.30</t>
  </si>
  <si>
    <t>mercoledi ore 18.30 ore 19.30</t>
  </si>
  <si>
    <t>manidamole in altri corsi ma avvisiamole</t>
  </si>
  <si>
    <t>FRANCESCO MARCONI  3345905555</t>
  </si>
  <si>
    <t>preparare una busta in contanti da 50€</t>
  </si>
  <si>
    <t>giovedi  ore 9, ore 13 pilates</t>
  </si>
  <si>
    <t>giovedi  zaccaria  16.30</t>
  </si>
  <si>
    <t xml:space="preserve">michela ( amica di angela) </t>
  </si>
  <si>
    <t>cell: 327 917 9449</t>
  </si>
  <si>
    <t>da sola le maestre</t>
  </si>
  <si>
    <t>giovedi ore 18.30 reggaeton</t>
  </si>
  <si>
    <t>mandiamole da diana oppure anahita</t>
  </si>
  <si>
    <t xml:space="preserve">venerdi ore 17.30 </t>
  </si>
  <si>
    <t>chiara prearo 3474113222</t>
  </si>
  <si>
    <t>venerdì ore 11, ore 12 , ore 13 e   ore 18,30 19:30</t>
  </si>
  <si>
    <t>venerdì ore18,30 ore  19:30 e 20:30</t>
  </si>
  <si>
    <t>Andrea Marici 3337057357</t>
  </si>
  <si>
    <t>paghiamo Fergie</t>
  </si>
  <si>
    <t>VENERDI ORE 18.30 E 19.30</t>
  </si>
  <si>
    <t>Venerdi 20,30</t>
  </si>
  <si>
    <t>lunedi19:30- 20:30 E 21,30</t>
  </si>
  <si>
    <t>solo il maestro</t>
  </si>
  <si>
    <t>lunedi danza ore 17.30</t>
  </si>
  <si>
    <t>lunedi danza ore, 18.30, 19.30</t>
  </si>
  <si>
    <t>Martedi 17,30- 18,30</t>
  </si>
  <si>
    <t>n. 3928088289 paghiamo diana</t>
  </si>
  <si>
    <t>martedi 17.30, 18.30 19.30</t>
  </si>
  <si>
    <t>giovedi 18:30-19:30</t>
  </si>
  <si>
    <t>Alessia perego 3318090204</t>
  </si>
  <si>
    <t>giovedi ore 16.30</t>
  </si>
  <si>
    <t xml:space="preserve"> fare busta di 25€</t>
  </si>
  <si>
    <t>giovedì 20:30 - 21:30</t>
  </si>
  <si>
    <t>GIOVEDì 19,30</t>
  </si>
  <si>
    <t>ALLENAMENTO MATTEO</t>
  </si>
  <si>
    <t>VENERDì 19,30</t>
  </si>
  <si>
    <t>avvisare le ragazze con SMS</t>
  </si>
  <si>
    <t xml:space="preserve">martedi ore 17.30 </t>
  </si>
  <si>
    <t xml:space="preserve">mandare sms </t>
  </si>
  <si>
    <t xml:space="preserve">mandare sms se vogliono posso fare altri corsi </t>
  </si>
  <si>
    <t>MARTEDì 19:30 20:30 21:30</t>
  </si>
  <si>
    <t>bisogna chiedere e fare busta  di 25€</t>
  </si>
  <si>
    <t>GIOVEDì 19,30 ALLENAMENTO MATTEO</t>
  </si>
  <si>
    <t>le sue 4 ore</t>
  </si>
  <si>
    <t>andrea marici</t>
  </si>
  <si>
    <t>VENERDì ALLE 20:30(non stava bene)</t>
  </si>
  <si>
    <t>VENERDì 19,30 ALLENAMENTO MATTEO</t>
  </si>
  <si>
    <t>Milena Ventre</t>
  </si>
  <si>
    <t>lunedì ore 19,30</t>
  </si>
  <si>
    <t>arrivata alle 20 ( ho già avvisato milena che questa lezione non la paghiamo. Massi)</t>
  </si>
  <si>
    <t>giovedì ore 16,30</t>
  </si>
  <si>
    <t>mandare sms e mandare la gente in altre classi</t>
  </si>
  <si>
    <t>paghiamo paola</t>
  </si>
  <si>
    <t>Eleonora Di Francesco</t>
  </si>
  <si>
    <t>mercoeldi ore 21.30</t>
  </si>
  <si>
    <t>Eleonora Di Francesco e daisy</t>
  </si>
  <si>
    <t xml:space="preserve">giovedì 21:30 </t>
  </si>
  <si>
    <t>NO MIS FLORES</t>
  </si>
  <si>
    <t>giovedì ore 19:30 allenamento Matteo</t>
  </si>
  <si>
    <t>VENERDì ore 19:30 allenamento Matteo</t>
  </si>
  <si>
    <t>sabato ore 15 e ore 16</t>
  </si>
  <si>
    <t>sabato ore 12 ore 13 ore14</t>
  </si>
  <si>
    <t>lunedi ore 11 ore 12 ore 13</t>
  </si>
  <si>
    <t>martedi ore 18.30 e 19.30 e 20.30</t>
  </si>
  <si>
    <t>martedì 19:30/20:30/21:30</t>
  </si>
  <si>
    <t>DA SOLA LA MAESTRA</t>
  </si>
  <si>
    <t>mercoledi ore  20.30 afrotwerk</t>
  </si>
  <si>
    <t xml:space="preserve">mandate in altri corsi </t>
  </si>
  <si>
    <t>le fa serena e come scritto sopra paghiamo solo marco</t>
  </si>
  <si>
    <t>le fa serena paghiamo marco</t>
  </si>
  <si>
    <t>giovedi ore 18.30  e 19.30</t>
  </si>
  <si>
    <t>noemi certoma (3922654349)</t>
  </si>
  <si>
    <t xml:space="preserve">paghimao diana </t>
  </si>
  <si>
    <t>avvisiamo SMS e mandiamole in altri corsi ( esempio con diana)</t>
  </si>
  <si>
    <t xml:space="preserve">venerdì ore 17:30/18:30 </t>
  </si>
  <si>
    <t>Jasmine Gonzales</t>
  </si>
  <si>
    <t>paghiamo Alessandra</t>
  </si>
  <si>
    <t>venerdì ore 18:30 e 19:30</t>
  </si>
  <si>
    <t xml:space="preserve">sabato ore 12 e ore 13 </t>
  </si>
  <si>
    <t xml:space="preserve">Matilde </t>
  </si>
  <si>
    <t>martedi gestualità ore 21.30</t>
  </si>
  <si>
    <t>mandiamo le ragazze da katia</t>
  </si>
  <si>
    <t xml:space="preserve">mercoeldi 18.30 e 19.30 </t>
  </si>
  <si>
    <t>mercoledì 20:30 e 21:30</t>
  </si>
  <si>
    <t>giovedi ore 13 pilates</t>
  </si>
  <si>
    <t>Giovedì ore 17:30 18,30 e 19,30</t>
  </si>
  <si>
    <t xml:space="preserve">giovedi ore 18.30, </t>
  </si>
  <si>
    <t>giovedi ore 19,30  20.30</t>
  </si>
  <si>
    <t>venerdi 18.30 e 19.30 e 20.30</t>
  </si>
  <si>
    <t>venerdì 12.00, 13.00</t>
  </si>
  <si>
    <t>avvisare e mandare da dorian nel caso</t>
  </si>
  <si>
    <t>lunedi ore 18.30, 19.30</t>
  </si>
  <si>
    <t xml:space="preserve">avvisare (sms inviati) </t>
  </si>
  <si>
    <t>lunedì ore20:30 allenamento Matteo</t>
  </si>
  <si>
    <t>LUNEDI 21,30</t>
  </si>
  <si>
    <t>avvisiamo le ragazze che possono venire a fare altro</t>
  </si>
  <si>
    <t>giovedì 18:30 e 19:30</t>
  </si>
  <si>
    <t>pilates ore 11</t>
  </si>
  <si>
    <t xml:space="preserve">mandiamo da paola </t>
  </si>
  <si>
    <t>brasilian ore 12 total body ore 13</t>
  </si>
  <si>
    <t>total body ore 18.30</t>
  </si>
  <si>
    <t>mandare sms proporre altro perche mancherà anche sett prossima</t>
  </si>
  <si>
    <t>SAMBA venerdi ore 19.30</t>
  </si>
  <si>
    <t>fa venire gli allievi giovedi 7 marzo</t>
  </si>
  <si>
    <t>tutti i corsi del sabato</t>
  </si>
  <si>
    <t>invitiamo a partecipare ad altro</t>
  </si>
  <si>
    <t>mandiamo in altri corsi</t>
  </si>
  <si>
    <t>avvisare e proporre altro</t>
  </si>
  <si>
    <t>fa venire gli allievi giovedi 29 febbraio</t>
  </si>
  <si>
    <t>SMS INVIATI</t>
  </si>
  <si>
    <t>LUNEDI I SUOI CORSI</t>
  </si>
  <si>
    <t>Martedì 21.30</t>
  </si>
  <si>
    <t>fabio stroscio</t>
  </si>
  <si>
    <t>pagare 25€ contanti</t>
  </si>
  <si>
    <t>Giorvedì 21,30</t>
  </si>
  <si>
    <t>la maestra da sola</t>
  </si>
  <si>
    <t>venerdi 20,30</t>
  </si>
  <si>
    <t>avvisare le ragazze, possono fare altro</t>
  </si>
  <si>
    <t>martedi ore 20,30</t>
  </si>
  <si>
    <t>facciamo venire le ragazze in altri orari</t>
  </si>
  <si>
    <t>Giovedì ore 18:30 e 19:30</t>
  </si>
  <si>
    <t xml:space="preserve">sabato i sui corsi </t>
  </si>
  <si>
    <t>lunedi ore 11,12,13</t>
  </si>
  <si>
    <t>lunedi ore 16.30 bambini</t>
  </si>
  <si>
    <t>mercoledi ore 18.30.19.30,20.30</t>
  </si>
  <si>
    <t>paghiamo andrea</t>
  </si>
  <si>
    <t xml:space="preserve">GIOVEDì ore 18:30 </t>
  </si>
  <si>
    <t>Noemi Certomà (3922654349)</t>
  </si>
  <si>
    <t>paghiamo Anahita</t>
  </si>
  <si>
    <t>giovedì ore 19,30</t>
  </si>
  <si>
    <t>Costanza Guizetti (3425630777)</t>
  </si>
  <si>
    <t>Elia Giulia (3470048672)</t>
  </si>
  <si>
    <t>Preparare busta 25€</t>
  </si>
  <si>
    <t>Venerdì 18:30, 19:30, 20:30</t>
  </si>
  <si>
    <t>Venerdì 20:30</t>
  </si>
  <si>
    <t>lunedi 17.30, 18.30</t>
  </si>
  <si>
    <t>gabriella argirò (3478077912)</t>
  </si>
  <si>
    <t xml:space="preserve">mercoledì  11,30. 12,30. 13,30 </t>
  </si>
  <si>
    <t>MANDATO SMS</t>
  </si>
  <si>
    <t>Giovedì ore 20.30</t>
  </si>
  <si>
    <t>Le ragazze presenti si spostano alle 19:30 (avvisate telefonicamente)</t>
  </si>
  <si>
    <t>mandiamoli da paola</t>
  </si>
  <si>
    <t>ore 12 brasilian fit</t>
  </si>
  <si>
    <t>ore 13 total body</t>
  </si>
  <si>
    <t>mandiamoli da dorian</t>
  </si>
  <si>
    <t>ore 18.30 total body</t>
  </si>
  <si>
    <t>mandiamoli da giulia setti</t>
  </si>
  <si>
    <t>ore 19.30 samba</t>
  </si>
  <si>
    <t>venerdi ore 18.30 ore 19.30</t>
  </si>
  <si>
    <t>martedi 21.30</t>
  </si>
  <si>
    <t>martedi ore 18.30 bambini</t>
  </si>
  <si>
    <t>avvisare le mamme</t>
  </si>
  <si>
    <t>i suoi corsi del martedi</t>
  </si>
  <si>
    <t>sara santelli (3384030821)</t>
  </si>
  <si>
    <t>mandiamo da katia, avvisare che potrebbe fare il saggio katia a lezione</t>
  </si>
  <si>
    <t>mercoledì ore 17,30</t>
  </si>
  <si>
    <t>Chiara 3474113222</t>
  </si>
  <si>
    <t xml:space="preserve">mercoledi ore 19.30          </t>
  </si>
  <si>
    <t>mandiamo le ragazze in altri corsi ( avvisiamole) e ricordiamoci che potrebbero trovare lezioni di saggi in altri corsi</t>
  </si>
  <si>
    <t>avvisiamole e mandiale in altri corsi</t>
  </si>
  <si>
    <t>sabato ore 11 e 12</t>
  </si>
  <si>
    <t>sostituita da serena Pinto, paghiamo Eleonora</t>
  </si>
  <si>
    <t>lunedi ore 20.30 ore 21.30</t>
  </si>
  <si>
    <t xml:space="preserve">RECUPERA VENERDI </t>
  </si>
  <si>
    <t>PER GIUDITTA: A PARTIRE DA LUNEDI 8 APRILE FINO A DOMENICA 9 GIUGNO NON CI SARÀ GIADA E PRENDERÀ IL SUO POSTO....
il corso delle bambine di giada alle 17.30 lo farà fergie</t>
  </si>
  <si>
    <t>Sara 3384030821</t>
  </si>
  <si>
    <t>giovedi ore 11 total body</t>
  </si>
  <si>
    <t>lui avvisa gli allievi di venire dopo.
avvissiamo anche noi</t>
  </si>
  <si>
    <t>chiara (una sua amica 3495908171)</t>
  </si>
  <si>
    <t>paghiamo sempre perla</t>
  </si>
  <si>
    <t>lunedi 17:30</t>
  </si>
  <si>
    <t>sara</t>
  </si>
  <si>
    <t>paghiamo marino</t>
  </si>
  <si>
    <t>martedì ore 19,30 e 20,30 e  21,30</t>
  </si>
  <si>
    <t>insegnante solo</t>
  </si>
  <si>
    <t>mercoledì ore 21,30</t>
  </si>
  <si>
    <t xml:space="preserve">mercoledi ore 11                     </t>
  </si>
  <si>
    <t>mercoledi ore 12</t>
  </si>
  <si>
    <t>mandiamo sms invitiamo a fare altro</t>
  </si>
  <si>
    <t xml:space="preserve">mercoledi  ore 13.                              </t>
  </si>
  <si>
    <t>la farà angela stanisci</t>
  </si>
  <si>
    <t>mercoledi tutti suoi corsi</t>
  </si>
  <si>
    <t>sofia fusco ( una sua amica 3271142009)</t>
  </si>
  <si>
    <t>paghiamo claudia</t>
  </si>
  <si>
    <t>pilates mercoledi ore 13</t>
  </si>
  <si>
    <t>mercoeldi ore 19.30</t>
  </si>
  <si>
    <t xml:space="preserve">giovedi ore 11                       </t>
  </si>
  <si>
    <t xml:space="preserve">giovedi ore 12                       </t>
  </si>
  <si>
    <t xml:space="preserve">giovedi ore 13                       </t>
  </si>
  <si>
    <t xml:space="preserve">avvisare sms mandateli da angela </t>
  </si>
  <si>
    <t xml:space="preserve">giovedi ore 17.30                       </t>
  </si>
  <si>
    <t xml:space="preserve">mandiamo a fare altro </t>
  </si>
  <si>
    <t xml:space="preserve">giovedi ore 18.30                       </t>
  </si>
  <si>
    <t xml:space="preserve">giovedi ore 19.30                       </t>
  </si>
  <si>
    <t xml:space="preserve">giovedi ore 20,30                       </t>
  </si>
  <si>
    <t>spostarli o al venerdi o sabato</t>
  </si>
  <si>
    <t>zumba giovedi ore 13</t>
  </si>
  <si>
    <t>functional giovedi ore 18.30</t>
  </si>
  <si>
    <t>uniamoli con ronald, e ronald lo spostiamo alla 1</t>
  </si>
  <si>
    <t>i maestri da soli</t>
  </si>
  <si>
    <t xml:space="preserve">giovedi ore 21.30 le mis </t>
  </si>
  <si>
    <t xml:space="preserve">non le fa </t>
  </si>
  <si>
    <t xml:space="preserve">bambini avvisati </t>
  </si>
  <si>
    <t>venerdi 11</t>
  </si>
  <si>
    <t>mandiamo da paola</t>
  </si>
  <si>
    <t>venerdi 12 e 13</t>
  </si>
  <si>
    <t>mandiamo da dorian</t>
  </si>
  <si>
    <t>venerdi 18,30</t>
  </si>
  <si>
    <t>venerdi 19,30</t>
  </si>
  <si>
    <t xml:space="preserve">venerdì ore 17.30 </t>
  </si>
  <si>
    <t xml:space="preserve">venerdì ore 18.30 </t>
  </si>
  <si>
    <t>sabato 10</t>
  </si>
  <si>
    <t>sabato 11</t>
  </si>
  <si>
    <t>mandiamo da silvia</t>
  </si>
  <si>
    <t>sabato 12</t>
  </si>
  <si>
    <t>sabato 13</t>
  </si>
  <si>
    <t>sabato 15</t>
  </si>
  <si>
    <t>sabato  ore 10 e ore 11</t>
  </si>
  <si>
    <t xml:space="preserve">sabato 14 </t>
  </si>
  <si>
    <t>lunedi ore 19.30 reggaeton</t>
  </si>
  <si>
    <t>lunedi ore 20.30 gestualità</t>
  </si>
  <si>
    <t xml:space="preserve">vengono le allieve </t>
  </si>
  <si>
    <t>provano il saggio</t>
  </si>
  <si>
    <t>martedi 20:30 functional</t>
  </si>
  <si>
    <t>inviare sms invitandole da ronald 19:30</t>
  </si>
  <si>
    <t xml:space="preserve">MERCOLEDI 19,30 -20,30 -21,30 </t>
  </si>
  <si>
    <t>mercoledi, 19.30- 20,30- 21,30</t>
  </si>
  <si>
    <t xml:space="preserve">mercoledi ore 18.30 ore 19.30 ore 20.30.                              </t>
  </si>
  <si>
    <t>marta</t>
  </si>
  <si>
    <t>paghiamo serena</t>
  </si>
  <si>
    <t>lunedi le sue ore ( pialtes e danza)</t>
  </si>
  <si>
    <t>eleonora cirelli ( 3779643125</t>
  </si>
  <si>
    <t>paghiamo cecilia</t>
  </si>
  <si>
    <t>martedi ore18.30</t>
  </si>
  <si>
    <t>avvisiamo e mandiamo a fare altro</t>
  </si>
  <si>
    <t>martedi ore 17.30,18.30,19.30</t>
  </si>
  <si>
    <t>MARTEDì ORE 16:30</t>
  </si>
  <si>
    <t>Giovedì ore 16,30</t>
  </si>
  <si>
    <t xml:space="preserve">Melania Stante (Modulo) </t>
  </si>
  <si>
    <t>pagare € 25 a fine lezione</t>
  </si>
  <si>
    <t>giovedi 17.30 - 18:30 - 19:30</t>
  </si>
  <si>
    <t xml:space="preserve">inviare sms fare altro </t>
  </si>
  <si>
    <t>giovedì tutte le ore</t>
  </si>
  <si>
    <t>Chiara Prearo  (347 411 3222)</t>
  </si>
  <si>
    <t>venerdi 19,30-20,30</t>
  </si>
  <si>
    <t>gaya e martina (uniamo i corsi di massi e alex)</t>
  </si>
  <si>
    <t>mandare sms o altri corsi</t>
  </si>
  <si>
    <t xml:space="preserve">venerdi ore 19.30 </t>
  </si>
  <si>
    <t>venerdì ore 10 e 11</t>
  </si>
  <si>
    <t>sabato 14:00</t>
  </si>
  <si>
    <t>i suoi corsi</t>
  </si>
  <si>
    <t>sara 3384030821</t>
  </si>
  <si>
    <t>solo 20:30</t>
  </si>
  <si>
    <t xml:space="preserve">allieve assente </t>
  </si>
  <si>
    <t>il suo corso</t>
  </si>
  <si>
    <t xml:space="preserve">i ragazzi provano da soli la coreografia del saggio </t>
  </si>
  <si>
    <t>break ore 17.30</t>
  </si>
  <si>
    <t>Giovedì ore 21,30</t>
  </si>
  <si>
    <t>maestra da sola</t>
  </si>
  <si>
    <t xml:space="preserve">venerdi 17.30 </t>
  </si>
  <si>
    <t>venerdi 18.30</t>
  </si>
  <si>
    <t xml:space="preserve">le ragazze vengono a provare il saggio da sole </t>
  </si>
  <si>
    <t>venerdi 19. 30 e 20.30</t>
  </si>
  <si>
    <t>sabato le sue ore 11 ore 12</t>
  </si>
  <si>
    <t>mercoeldi 16.30, 17.30, 18.30</t>
  </si>
  <si>
    <t>mercoledi 19.30</t>
  </si>
  <si>
    <t>mercoledi 20,30 e 21,30</t>
  </si>
  <si>
    <t>giovedi ore 16.40 , 17.30</t>
  </si>
  <si>
    <t>giovedì ore 16:30</t>
  </si>
  <si>
    <t>REBECCA DI BERNARDO (MODULO)pagata € 25</t>
  </si>
  <si>
    <t xml:space="preserve">Anna Franzini </t>
  </si>
  <si>
    <t>venerdi 18,30- 19,30 - 20,30</t>
  </si>
  <si>
    <t>diana marchetta</t>
  </si>
  <si>
    <t>lunedi le ore del mattino</t>
  </si>
  <si>
    <t xml:space="preserve">mercoledi 18,30-19.30 </t>
  </si>
  <si>
    <t>dal 21/5 non c'è più fino a settembre trovare sostituta
a partire da 22 maggio ci sarà ANGELA STANISCI</t>
  </si>
  <si>
    <t>martedi 13</t>
  </si>
  <si>
    <t>sms mandati a fare altro</t>
  </si>
  <si>
    <t>martedì 21.30</t>
  </si>
  <si>
    <t>i loro allievi provano il saggio da soli</t>
  </si>
  <si>
    <t>li mandiamo da carlos</t>
  </si>
  <si>
    <t>giovedi 17,30</t>
  </si>
  <si>
    <t>Venerdì 17,30 - 18,30 -19,30 e ore 20,30</t>
  </si>
  <si>
    <t>Franchi Eleonora</t>
  </si>
  <si>
    <t xml:space="preserve">paghiamo Silvia </t>
  </si>
  <si>
    <t xml:space="preserve">NO LEZ . nessun allievo </t>
  </si>
  <si>
    <t>i suoi corsi 17:30/18:30/19:30</t>
  </si>
  <si>
    <t>due ragazze dell'accademia che fa venire lei</t>
  </si>
  <si>
    <t>20:30 - 21:30</t>
  </si>
  <si>
    <t>POP ADRIANA</t>
  </si>
  <si>
    <t>martedì 21:30</t>
  </si>
  <si>
    <t>mercoledi 18:30</t>
  </si>
  <si>
    <t>sms inviato invitati a fare altro</t>
  </si>
  <si>
    <t>giovedi commercial 19.30</t>
  </si>
  <si>
    <t>provano da sole il saggio</t>
  </si>
  <si>
    <t>giovedi 18:30 e 19:30</t>
  </si>
  <si>
    <t>Certomà Noemi</t>
  </si>
  <si>
    <t>sposta i suoi corsi di un'ora quindi 17:30 e 18:30</t>
  </si>
  <si>
    <t>chiedere conferma a erica e inviare sms genitori</t>
  </si>
  <si>
    <t>giovedi 17:30</t>
  </si>
  <si>
    <t xml:space="preserve">   </t>
  </si>
  <si>
    <t>ZACCARIA</t>
  </si>
  <si>
    <t xml:space="preserve">NO LEZIONE </t>
  </si>
  <si>
    <t>venerdi 18.30, 19.30, 20.30</t>
  </si>
  <si>
    <t>lyobi inneh (3279424084)</t>
  </si>
  <si>
    <t>paghiamo crissa</t>
  </si>
  <si>
    <t>ci sarà il WS quindi lei non fa lezione</t>
  </si>
  <si>
    <t>vengono le allieve a provare il saggio da sole</t>
  </si>
  <si>
    <t>mercoladi i suoi corsi</t>
  </si>
  <si>
    <t>da solo le maestre</t>
  </si>
  <si>
    <t xml:space="preserve">giovedi tutti i suoi corsi </t>
  </si>
  <si>
    <t>sabato i suoi corsi " leggere riga sotto "</t>
  </si>
  <si>
    <t xml:space="preserve">Sabato 12.00 </t>
  </si>
  <si>
    <t xml:space="preserve">No lezione 0 allievi </t>
  </si>
  <si>
    <t xml:space="preserve">Sabato 14.00 </t>
  </si>
  <si>
    <t xml:space="preserve">No lezione  </t>
  </si>
  <si>
    <t>la prima ora la fa giulia setti, le altre 2 ore avvisare mandare sms possono fare altro perche non c'è filomena (fatto)</t>
  </si>
  <si>
    <t>avvisare mandare sms possono fare altro (fatto)</t>
  </si>
  <si>
    <t>attenzione GIAD paghiamo andrea piccirillo 20€</t>
  </si>
  <si>
    <t>giovedi il suo corso 18:30</t>
  </si>
  <si>
    <t>chiara faiella</t>
  </si>
  <si>
    <t>giovedi il suo corso 19:30</t>
  </si>
  <si>
    <t>per giad a partire da sabato 15 giugno l'orario di yoga delle 12 è chiuso</t>
  </si>
  <si>
    <t>sabato ore 12 flex</t>
  </si>
  <si>
    <t>gabriella argiro</t>
  </si>
  <si>
    <t>amica di alessandra marino (3478077912)
paghiamo alessandra</t>
  </si>
  <si>
    <t>sabato ore 13 cerchio</t>
  </si>
  <si>
    <t>sabato ore 10 classica</t>
  </si>
  <si>
    <t>sabato ore 11 pilates</t>
  </si>
  <si>
    <t xml:space="preserve">sabato ore 14 salsa </t>
  </si>
  <si>
    <t>saggio avvsiare con sms ( anche giada non c'è). fatto</t>
  </si>
  <si>
    <t xml:space="preserve">sabato ore 15 e 16  bachata </t>
  </si>
  <si>
    <t>saggio avvsiare con sms
(anche giada non c'è) fatto</t>
  </si>
  <si>
    <t>martedi i suoi corsi pole dance 19:30-20:30</t>
  </si>
  <si>
    <t>ULTIMA LEZIONE DEL CORSO 11/06</t>
  </si>
  <si>
    <t>giovedi 19,30-20,30-21,30</t>
  </si>
  <si>
    <t>sms inviati</t>
  </si>
  <si>
    <t>Giovedì ore 19,30</t>
  </si>
  <si>
    <t>mandiamole da diana o anahita</t>
  </si>
  <si>
    <t>giovedi il suo corso</t>
  </si>
  <si>
    <t>a partire dal 20 giugno si chiude il corso di stefano e raffaella ore 20.30</t>
  </si>
  <si>
    <t>venerdi ore 11</t>
  </si>
  <si>
    <t>mandiamoli da paola biraghi</t>
  </si>
  <si>
    <t>venerdi ore 18.30 e ore 19.30</t>
  </si>
  <si>
    <t>facciamo saltare</t>
  </si>
  <si>
    <t>sabato ore 10 total body</t>
  </si>
  <si>
    <t>mandiamoli da silvia grande (se sono tanti mettete silvia in una sala piu grande)</t>
  </si>
  <si>
    <t>sabato ore 12 brasilian fit e 13 samba</t>
  </si>
  <si>
    <t>sabato ore 15 pilates</t>
  </si>
  <si>
    <t>facciamo saltare, fateli venire l'ora prima con margherita</t>
  </si>
  <si>
    <t>per giuditta a partire da sabato 22 giugno ( compreso) ENTRAMBE LE ORE DI yoga del sabato di eleonora santoro sono chiusi.  (SMS MANDATO ESTEFANY)</t>
  </si>
  <si>
    <t>lunedi ore 13 total body</t>
  </si>
  <si>
    <t>lunedi ore 11, 12,13</t>
  </si>
  <si>
    <t>martedì ore 19:30</t>
  </si>
  <si>
    <t>le mandiamo in altri corsi</t>
  </si>
  <si>
    <t>martedi  ore 9, 13</t>
  </si>
  <si>
    <t>mercoledi  ore 18.30,19.30</t>
  </si>
  <si>
    <t>giovedi  ore 9.13</t>
  </si>
  <si>
    <t>carolina cruciani</t>
  </si>
  <si>
    <t>sabato ore 14 total body</t>
  </si>
  <si>
    <t>avvisare, posso fare altro</t>
  </si>
  <si>
    <t>da trovare</t>
  </si>
  <si>
    <t>ore 12 brasilian fit, ore 13 total body</t>
  </si>
  <si>
    <t>mercoledi ore 19.30 ore 20.30</t>
  </si>
  <si>
    <t>paghiamo piccirillo 20€</t>
  </si>
  <si>
    <t>ore 19.30 dancehall</t>
  </si>
  <si>
    <t>sono solo donne, mandiamole da crissa. avvisare</t>
  </si>
  <si>
    <t>Venerdi ore 12,0 ore 13,0</t>
  </si>
  <si>
    <t>lunedi 20.30</t>
  </si>
  <si>
    <t>mandiamole o da fergie o da david</t>
  </si>
  <si>
    <t>Mercoledì ore 12 e 13</t>
  </si>
  <si>
    <t>per giuditta settimana a partire dal 10 giugno torna GIADA TODISCO</t>
  </si>
  <si>
    <t>no lezione</t>
  </si>
  <si>
    <t>venerdi ore 18.30,19.30,20.30</t>
  </si>
  <si>
    <t>SPOSTAMENTI CORSI TESSERATI</t>
  </si>
  <si>
    <t>DE FILIPPIS</t>
  </si>
  <si>
    <t>GRETA</t>
  </si>
  <si>
    <t>2324BORRIMER18</t>
  </si>
  <si>
    <t>2324PICCIRILLOMAR19</t>
  </si>
  <si>
    <t xml:space="preserve">VENTURA </t>
  </si>
  <si>
    <t>GINEVRA</t>
  </si>
  <si>
    <t>2324DUTTASAB13</t>
  </si>
  <si>
    <t>2324DUTTASAB14</t>
  </si>
  <si>
    <t>ASTIER</t>
  </si>
  <si>
    <t>JULIETTE</t>
  </si>
  <si>
    <t>2324PUGGIONILUN18</t>
  </si>
  <si>
    <t>2324MIRAMLUN17</t>
  </si>
  <si>
    <t>PER MOTIVI DI SCOGLIOSI</t>
  </si>
  <si>
    <t>VOLONTERIO</t>
  </si>
  <si>
    <t>2324TODISCOGIO21</t>
  </si>
  <si>
    <t>2324SARACCHILUN21</t>
  </si>
  <si>
    <t>PRUDENZANO</t>
  </si>
  <si>
    <t>GIANLUIGI</t>
  </si>
  <si>
    <t>CAPOCASA</t>
  </si>
  <si>
    <t>LUCIA</t>
  </si>
  <si>
    <t>2324DICARLOLUN20</t>
  </si>
  <si>
    <t>2324PIERACCINIGIO19</t>
  </si>
  <si>
    <t>GRIFFINI</t>
  </si>
  <si>
    <t>CLIO</t>
  </si>
  <si>
    <t>2324GARIANOGIO18</t>
  </si>
  <si>
    <t>2324PALAZZOTTOLUN18</t>
  </si>
  <si>
    <t>MUSIO</t>
  </si>
  <si>
    <t>ALESSIA</t>
  </si>
  <si>
    <t>2324GRANDEMAR20</t>
  </si>
  <si>
    <t>2324DICARLOLUN19</t>
  </si>
  <si>
    <t>VARGAS</t>
  </si>
  <si>
    <t>ELIZABETH</t>
  </si>
  <si>
    <t>2324VENTRELUN20</t>
  </si>
  <si>
    <t>2324GUGLIELMETTILUN19</t>
  </si>
  <si>
    <t>ZUKOWSKA</t>
  </si>
  <si>
    <t>MAGDALENA</t>
  </si>
  <si>
    <t>2324AVILAMAR21</t>
  </si>
  <si>
    <t>2324AVILAMAR20</t>
  </si>
  <si>
    <t>DI MAURO</t>
  </si>
  <si>
    <t>2324BORRIMER17</t>
  </si>
  <si>
    <t>2324DICARLOLUN17</t>
  </si>
  <si>
    <t>D'ARGENZIO</t>
  </si>
  <si>
    <t>MICOL</t>
  </si>
  <si>
    <t>2324SETTIMAR19</t>
  </si>
  <si>
    <t>2324PACILLOMER18</t>
  </si>
  <si>
    <t>SI SPOSTA (MOMENTANEAMENTE) PERCHE L'8/11 SI OPERA PER APPENDICITE E NON DEVE SFORZARE TROPPO L'ADDOME</t>
  </si>
  <si>
    <t>ALLAM</t>
  </si>
  <si>
    <t>EMMA</t>
  </si>
  <si>
    <t>2324PACILLOMER19</t>
  </si>
  <si>
    <t>REATO</t>
  </si>
  <si>
    <t>2324GRANDEMAR19</t>
  </si>
  <si>
    <t>2324BELLAYGIO20</t>
  </si>
  <si>
    <t>2324CRUZSAB10</t>
  </si>
  <si>
    <t>SIDDU</t>
  </si>
  <si>
    <t>2324PALAZZOTTOMER18</t>
  </si>
  <si>
    <t>FILCHAGINA</t>
  </si>
  <si>
    <t>IULIIA</t>
  </si>
  <si>
    <t>2324TUDDAGIO20</t>
  </si>
  <si>
    <t>2324CRISSAMER19</t>
  </si>
  <si>
    <t>CERRATO</t>
  </si>
  <si>
    <t>ROMINA</t>
  </si>
  <si>
    <t>2324CRUZMAR11</t>
  </si>
  <si>
    <t>2324CRUZGIO12</t>
  </si>
  <si>
    <t>BERICI</t>
  </si>
  <si>
    <t>TIZIANO</t>
  </si>
  <si>
    <t>2324BONNIVEN20</t>
  </si>
  <si>
    <t>2324AVILAVEN20</t>
  </si>
  <si>
    <t>SPARRO</t>
  </si>
  <si>
    <t>2324CRUZVEN18</t>
  </si>
  <si>
    <t>2324CRUZMER13</t>
  </si>
  <si>
    <t>SOKOLI</t>
  </si>
  <si>
    <t>AGRI</t>
  </si>
  <si>
    <t>2324ARUTAMER21</t>
  </si>
  <si>
    <t xml:space="preserve">DELPERO </t>
  </si>
  <si>
    <t>FEDERICO</t>
  </si>
  <si>
    <t>2324NEMBRIMER20</t>
  </si>
  <si>
    <t>2324NEMBRIMAR19</t>
  </si>
  <si>
    <t>COLLARILE</t>
  </si>
  <si>
    <t>ILEANA</t>
  </si>
  <si>
    <t>RAVASI</t>
  </si>
  <si>
    <t>NINA</t>
  </si>
  <si>
    <t>2324MARINOVEN17</t>
  </si>
  <si>
    <t xml:space="preserve">RIZZOTTO </t>
  </si>
  <si>
    <t>ANDREA</t>
  </si>
  <si>
    <t>2324ROSSISAB16</t>
  </si>
  <si>
    <t>2324ROSSISAB15</t>
  </si>
  <si>
    <t>PALMIERI</t>
  </si>
  <si>
    <t>ROSA</t>
  </si>
  <si>
    <t>2324PICCIRILLOMER19</t>
  </si>
  <si>
    <t>2324FERGIEVEN19</t>
  </si>
  <si>
    <t>2324CRISSAMER18</t>
  </si>
  <si>
    <t>2324CRISSAVEN18</t>
  </si>
  <si>
    <t>URGESI</t>
  </si>
  <si>
    <t>GAIA</t>
  </si>
  <si>
    <t>2324ALMEIDAGIO18</t>
  </si>
  <si>
    <t>2324SETTIGIO18</t>
  </si>
  <si>
    <t>JIN</t>
  </si>
  <si>
    <t>ANGELICA</t>
  </si>
  <si>
    <t>2324DICARLOLUN18</t>
  </si>
  <si>
    <t>GUALTIERI</t>
  </si>
  <si>
    <t>CATERINA</t>
  </si>
  <si>
    <t>2324PICCIRILLOSAB16</t>
  </si>
  <si>
    <t>2324PICCIRILLOMAR20</t>
  </si>
  <si>
    <t>REBECCHI</t>
  </si>
  <si>
    <t>LEONARDO</t>
  </si>
  <si>
    <t>2324LUISETTOMER20</t>
  </si>
  <si>
    <t>FOKOU</t>
  </si>
  <si>
    <t>MYCHAEL</t>
  </si>
  <si>
    <t>2324BELLAYLUN19</t>
  </si>
  <si>
    <t>2324CRISSAVEN19</t>
  </si>
  <si>
    <t xml:space="preserve">TRAVERSO </t>
  </si>
  <si>
    <t>ANNA</t>
  </si>
  <si>
    <t>FARRUGGIA</t>
  </si>
  <si>
    <t>VALENTINA</t>
  </si>
  <si>
    <t>2324NEMBRIGIO20</t>
  </si>
  <si>
    <t>DI LIBERTO</t>
  </si>
  <si>
    <t>SOFIA</t>
  </si>
  <si>
    <t>2324DAVIDEGIO18</t>
  </si>
  <si>
    <t>LONGO</t>
  </si>
  <si>
    <t>GIORGIA</t>
  </si>
  <si>
    <t>2324DUTTAMER18</t>
  </si>
  <si>
    <t>CESARONI</t>
  </si>
  <si>
    <t>2324DICARLOLUN21</t>
  </si>
  <si>
    <t>2324DICARLOMAR19</t>
  </si>
  <si>
    <t>PICONE</t>
  </si>
  <si>
    <t>FEDERICA</t>
  </si>
  <si>
    <t>2324NEMBRIGIO19</t>
  </si>
  <si>
    <t>GUIDA</t>
  </si>
  <si>
    <t>ILARIA</t>
  </si>
  <si>
    <t>2324LUISETTOMER21</t>
  </si>
  <si>
    <t>2324MELEMER20</t>
  </si>
  <si>
    <t>MARCHINI</t>
  </si>
  <si>
    <t>SARA</t>
  </si>
  <si>
    <t>2324MIRAMGIO19</t>
  </si>
  <si>
    <t>2324CARIZZONIMER18</t>
  </si>
  <si>
    <t>USACH LAZARO</t>
  </si>
  <si>
    <t>PALOMA</t>
  </si>
  <si>
    <t>2324BONNIVEN19</t>
  </si>
  <si>
    <t>ZAKAR</t>
  </si>
  <si>
    <t>GEMMA</t>
  </si>
  <si>
    <t>2324PICCIRILLOMER18</t>
  </si>
  <si>
    <t>2324MIRAMMER18</t>
  </si>
  <si>
    <t>POZZOLI</t>
  </si>
  <si>
    <t>MARIA GRAZIA</t>
  </si>
  <si>
    <t>2324CRUZVEN19</t>
  </si>
  <si>
    <t>2324CRUZGIO18</t>
  </si>
  <si>
    <t>CARDANI</t>
  </si>
  <si>
    <t>2324PELLEGRINOGIO18</t>
  </si>
  <si>
    <t>2324STANISCIGIO13</t>
  </si>
  <si>
    <t>è INCINTA</t>
  </si>
  <si>
    <t>TAMBURINI</t>
  </si>
  <si>
    <t>2324STANISCILUN16</t>
  </si>
  <si>
    <t>2324BORRIMER16</t>
  </si>
  <si>
    <t>MEINHOLD</t>
  </si>
  <si>
    <t>2324CEGLIEMAR20</t>
  </si>
  <si>
    <t>2324FERGIEVEN20</t>
  </si>
  <si>
    <t>GENTA</t>
  </si>
  <si>
    <t>LORENZA</t>
  </si>
  <si>
    <t>SIRIBELLI</t>
  </si>
  <si>
    <t>MARIA</t>
  </si>
  <si>
    <t>2324BELLAYMER19</t>
  </si>
  <si>
    <t>2324SANTOROSAB12</t>
  </si>
  <si>
    <t>SEMENZA</t>
  </si>
  <si>
    <t>MARTINA</t>
  </si>
  <si>
    <t>MEI</t>
  </si>
  <si>
    <t>RUOCHEN</t>
  </si>
  <si>
    <t>2324MARCHETTAGIO19</t>
  </si>
  <si>
    <t>MORGACHEVA</t>
  </si>
  <si>
    <t>DIANA</t>
  </si>
  <si>
    <t>D'EMILIO</t>
  </si>
  <si>
    <t>CAROLA</t>
  </si>
  <si>
    <t>2324CEGLIEMAR19</t>
  </si>
  <si>
    <t>2324DAVIDEGIO19</t>
  </si>
  <si>
    <t>TARANTINO</t>
  </si>
  <si>
    <t>2324PICCIRILLOSAB15</t>
  </si>
  <si>
    <t>2324PICCIRILLOMAR18</t>
  </si>
  <si>
    <t>MICOL MARIA</t>
  </si>
  <si>
    <t>2324MARTIGNANIMER19</t>
  </si>
  <si>
    <t>2324ARUTAMER19</t>
  </si>
  <si>
    <t>COLANGELO</t>
  </si>
  <si>
    <t>MARIAVITTORIA</t>
  </si>
  <si>
    <t>2324TODISCOVEN18</t>
  </si>
  <si>
    <t>2324GRANDEVEN18</t>
  </si>
  <si>
    <t>CREMONA</t>
  </si>
  <si>
    <t>MARCO</t>
  </si>
  <si>
    <t>SBURLINO</t>
  </si>
  <si>
    <t>2324GARIANOGIO20</t>
  </si>
  <si>
    <t>DADDATO</t>
  </si>
  <si>
    <t>DORA</t>
  </si>
  <si>
    <t>2324ARUTAMER20</t>
  </si>
  <si>
    <t>GIANCANE</t>
  </si>
  <si>
    <t>CIANFARINI</t>
  </si>
  <si>
    <t xml:space="preserve">FRANCESCA </t>
  </si>
  <si>
    <t>2324LUISETTOGIO21</t>
  </si>
  <si>
    <t xml:space="preserve">non fa il saggio </t>
  </si>
  <si>
    <t>CODICE CORSO</t>
  </si>
  <si>
    <t>INSEGNANTE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</si>
</sst>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d/mm/yyyy"/>
    <numFmt numFmtId="166" formatCode="d/m/yyyy"/>
    <numFmt numFmtId="167" formatCode="dddd d, m, yy"/>
    <numFmt numFmtId="168" formatCode="dddd d,m, yy"/>
    <numFmt numFmtId="169" formatCode="dd/mm/yy"/>
  </numFmts>
  <fonts count="29">
    <font>
      <sz val="10.0"/>
      <color rgb="FF000000"/>
      <name val="Arial"/>
    </font>
    <font/>
    <font>
      <b/>
      <sz val="12.0"/>
    </font>
    <font>
      <b/>
      <sz val="10.0"/>
    </font>
    <font>
      <sz val="12.0"/>
      <color rgb="FF000000"/>
      <name val="Helvetica"/>
    </font>
    <font>
      <name val="Arial"/>
    </font>
    <font>
      <sz val="12.0"/>
      <name val="Helvetica"/>
    </font>
    <font>
      <sz val="12.0"/>
      <name val="Arial"/>
    </font>
    <font>
      <b/>
      <sz val="12.0"/>
      <color rgb="FF000000"/>
      <name val="Helvetica"/>
    </font>
    <font>
      <sz val="12.0"/>
    </font>
    <font>
      <b/>
      <sz val="12.0"/>
      <color rgb="FF000000"/>
      <name val="Helvetica Neue"/>
    </font>
    <font>
      <b/>
      <sz val="10.0"/>
      <color rgb="FF000000"/>
      <name val="Helvetica Neue"/>
    </font>
    <font>
      <b/>
      <sz val="11.0"/>
      <color rgb="FF000000"/>
      <name val="Helvetica Neue"/>
    </font>
    <font>
      <sz val="12.0"/>
      <color rgb="FF000000"/>
      <name val="Arial"/>
    </font>
    <font>
      <sz val="10.0"/>
      <color rgb="FF000000"/>
      <name val="Helvetica Neue"/>
    </font>
    <font>
      <sz val="12.0"/>
      <color rgb="FF000000"/>
      <name val="Helvetica Neue"/>
    </font>
    <font>
      <sz val="9.0"/>
      <color rgb="FF000000"/>
      <name val="Helvetica Neue"/>
    </font>
    <font>
      <name val="Helvetica Neue"/>
    </font>
    <font>
      <name val="&quot;Helvetica Neue&quot;"/>
    </font>
    <font>
      <color rgb="FF212529"/>
      <name val="&quot;Open Sans&quot;"/>
    </font>
    <font>
      <b/>
      <name val="Arial"/>
    </font>
    <font>
      <sz val="12.0"/>
      <color rgb="FF000000"/>
      <name val="Docs-Helvetica"/>
    </font>
    <font>
      <b/>
      <u/>
      <sz val="10.0"/>
      <color rgb="FF0000FF"/>
      <name val="Arial"/>
    </font>
    <font>
      <u/>
      <sz val="11.0"/>
      <color rgb="FF0000FF"/>
      <name val="Arial"/>
    </font>
    <font>
      <u/>
      <sz val="11.0"/>
      <color rgb="FF1155CC"/>
      <name val="Arial"/>
    </font>
    <font>
      <sz val="10.0"/>
      <name val="Arial"/>
    </font>
    <font>
      <u/>
      <sz val="11.0"/>
      <color rgb="FF1155CC"/>
      <name val="Arial"/>
    </font>
    <font>
      <sz val="11.0"/>
      <color rgb="FF1155CC"/>
      <name val="Arial"/>
    </font>
    <font>
      <u/>
      <sz val="10.0"/>
      <color rgb="FF0000FF"/>
      <name val="Arial"/>
    </font>
  </fonts>
  <fills count="23">
    <fill>
      <patternFill patternType="none"/>
    </fill>
    <fill>
      <patternFill patternType="lightGray"/>
    </fill>
    <fill>
      <patternFill patternType="solid">
        <fgColor rgb="FFFFFF00"/>
        <bgColor rgb="FFFFFF00"/>
      </patternFill>
    </fill>
    <fill>
      <patternFill patternType="solid">
        <fgColor rgb="FFFFE599"/>
        <bgColor rgb="FFFFE599"/>
      </patternFill>
    </fill>
    <fill>
      <patternFill patternType="solid">
        <fgColor rgb="FFFFFFFF"/>
        <bgColor rgb="FFFFFFFF"/>
      </patternFill>
    </fill>
    <fill>
      <patternFill patternType="solid">
        <fgColor rgb="FFFF0000"/>
        <bgColor rgb="FFFF0000"/>
      </patternFill>
    </fill>
    <fill>
      <patternFill patternType="solid">
        <fgColor rgb="FF00FF00"/>
        <bgColor rgb="FF00FF00"/>
      </patternFill>
    </fill>
    <fill>
      <patternFill patternType="solid">
        <fgColor rgb="FFFCE5CD"/>
        <bgColor rgb="FFFCE5CD"/>
      </patternFill>
    </fill>
    <fill>
      <patternFill patternType="solid">
        <fgColor rgb="FFFFD966"/>
        <bgColor rgb="FFFFD966"/>
      </patternFill>
    </fill>
    <fill>
      <patternFill patternType="solid">
        <fgColor rgb="FFCCCCCC"/>
        <bgColor rgb="FFCCCCCC"/>
      </patternFill>
    </fill>
    <fill>
      <patternFill patternType="solid">
        <fgColor rgb="FF93C47D"/>
        <bgColor rgb="FF93C47D"/>
      </patternFill>
    </fill>
    <fill>
      <patternFill patternType="solid">
        <fgColor rgb="FFEA9999"/>
        <bgColor rgb="FFEA9999"/>
      </patternFill>
    </fill>
    <fill>
      <patternFill patternType="solid">
        <fgColor rgb="FFFF9900"/>
        <bgColor rgb="FFFF9900"/>
      </patternFill>
    </fill>
    <fill>
      <patternFill patternType="solid">
        <fgColor rgb="FF00FFFF"/>
        <bgColor rgb="FF00FFFF"/>
      </patternFill>
    </fill>
    <fill>
      <patternFill patternType="solid">
        <fgColor rgb="FFE06666"/>
        <bgColor rgb="FFE06666"/>
      </patternFill>
    </fill>
    <fill>
      <patternFill patternType="solid">
        <fgColor rgb="FF6D9EEB"/>
        <bgColor rgb="FF6D9EEB"/>
      </patternFill>
    </fill>
    <fill>
      <patternFill patternType="solid">
        <fgColor rgb="FFB4A7D6"/>
        <bgColor rgb="FFB4A7D6"/>
      </patternFill>
    </fill>
    <fill>
      <patternFill patternType="solid">
        <fgColor rgb="FF8E7CC3"/>
        <bgColor rgb="FF8E7CC3"/>
      </patternFill>
    </fill>
    <fill>
      <patternFill patternType="solid">
        <fgColor rgb="FFB6D7A8"/>
        <bgColor rgb="FFB6D7A8"/>
      </patternFill>
    </fill>
    <fill>
      <patternFill patternType="solid">
        <fgColor rgb="FFF1C232"/>
        <bgColor rgb="FFF1C232"/>
      </patternFill>
    </fill>
    <fill>
      <patternFill patternType="solid">
        <fgColor rgb="FFA2C4C9"/>
        <bgColor rgb="FFA2C4C9"/>
      </patternFill>
    </fill>
    <fill>
      <patternFill patternType="solid">
        <fgColor rgb="FFD9D9D9"/>
        <bgColor rgb="FFD9D9D9"/>
      </patternFill>
    </fill>
    <fill>
      <patternFill patternType="solid">
        <fgColor rgb="FFE6B8AF"/>
        <bgColor rgb="FFE6B8AF"/>
      </patternFill>
    </fill>
  </fills>
  <borders count="16">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right style="thin">
        <color rgb="FFCCCCCC"/>
      </right>
      <top style="thin">
        <color rgb="FFCCCCCC"/>
      </top>
    </border>
    <border>
      <left style="thin">
        <color rgb="FF000000"/>
      </left>
      <top style="thin">
        <color rgb="FF000000"/>
      </top>
    </border>
    <border>
      <top style="thin">
        <color rgb="FF000000"/>
      </top>
    </border>
    <border>
      <right style="thin">
        <color rgb="FF000000"/>
      </right>
      <top style="thin">
        <color rgb="FF000000"/>
      </top>
    </border>
    <border>
      <left style="thin">
        <color rgb="FF999999"/>
      </left>
      <right style="thin">
        <color rgb="FF999999"/>
      </right>
      <top style="thin">
        <color rgb="FF999999"/>
      </top>
    </border>
    <border>
      <bottom style="thin">
        <color rgb="FFD9D9D9"/>
      </bottom>
    </border>
    <border>
      <left style="thin">
        <color rgb="FFB7B7B7"/>
      </left>
      <right style="thin">
        <color rgb="FFB7B7B7"/>
      </right>
      <top style="thin">
        <color rgb="FFB7B7B7"/>
      </top>
      <bottom style="thin">
        <color rgb="FFB7B7B7"/>
      </bottom>
    </border>
    <border>
      <left style="thin">
        <color rgb="FFB7B7B7"/>
      </left>
      <right style="thin">
        <color rgb="FFB7B7B7"/>
      </right>
      <bottom style="thin">
        <color rgb="FFB7B7B7"/>
      </bottom>
    </border>
    <border>
      <left style="thin">
        <color rgb="FFCCCCCC"/>
      </left>
      <right style="thin">
        <color rgb="FFCCCCCC"/>
      </right>
      <top style="thin">
        <color rgb="FFCCCCCC"/>
      </top>
      <bottom style="thick">
        <color rgb="FF000000"/>
      </bottom>
    </border>
    <border>
      <left style="thin">
        <color rgb="FFB7B7B7"/>
      </left>
      <right style="thin">
        <color rgb="FFB7B7B7"/>
      </right>
      <bottom style="thick">
        <color rgb="FF000000"/>
      </bottom>
    </border>
    <border>
      <left style="thin">
        <color rgb="FFCCCCCC"/>
      </left>
      <right style="thin">
        <color rgb="FFCCCCCC"/>
      </right>
      <bottom style="thin">
        <color rgb="FFCCCCCC"/>
      </bottom>
    </border>
  </borders>
  <cellStyleXfs count="1">
    <xf borderId="0" fillId="0" fontId="0" numFmtId="0" applyAlignment="1" applyFont="1"/>
  </cellStyleXfs>
  <cellXfs count="345">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1" fillId="3" fontId="2" numFmtId="0" xfId="0" applyAlignment="1" applyBorder="1" applyFill="1" applyFont="1">
      <alignment horizontal="center" readingOrder="0" shrinkToFit="0" vertical="center" wrapText="1"/>
    </xf>
    <xf borderId="2" fillId="0" fontId="1" numFmtId="0" xfId="0" applyBorder="1" applyFont="1"/>
    <xf borderId="3" fillId="0" fontId="1" numFmtId="0" xfId="0" applyBorder="1" applyFont="1"/>
    <xf borderId="4" fillId="4" fontId="3" numFmtId="164" xfId="0" applyAlignment="1" applyBorder="1" applyFill="1" applyFont="1" applyNumberFormat="1">
      <alignment horizontal="center" readingOrder="0" shrinkToFit="0" vertical="center" wrapText="1"/>
    </xf>
    <xf borderId="4" fillId="4" fontId="3" numFmtId="0" xfId="0" applyAlignment="1" applyBorder="1" applyFont="1">
      <alignment horizontal="center" readingOrder="0" shrinkToFit="0" vertical="center" wrapText="1"/>
    </xf>
    <xf borderId="3" fillId="2" fontId="4" numFmtId="165" xfId="0" applyAlignment="1" applyBorder="1" applyFont="1" applyNumberFormat="1">
      <alignment horizontal="right" vertical="bottom"/>
    </xf>
    <xf borderId="0" fillId="2" fontId="4" numFmtId="0" xfId="0" applyAlignment="1" applyFont="1">
      <alignment horizontal="right" vertical="bottom"/>
    </xf>
    <xf borderId="0" fillId="2" fontId="4" numFmtId="0" xfId="0" applyAlignment="1" applyFont="1">
      <alignment shrinkToFit="0" vertical="bottom" wrapText="1"/>
    </xf>
    <xf borderId="0" fillId="2" fontId="5" numFmtId="0" xfId="0" applyAlignment="1" applyFont="1">
      <alignment vertical="bottom"/>
    </xf>
    <xf borderId="0" fillId="2" fontId="6" numFmtId="0" xfId="0" applyAlignment="1" applyFont="1">
      <alignment shrinkToFit="0" wrapText="1"/>
    </xf>
    <xf borderId="0" fillId="2" fontId="6" numFmtId="0" xfId="0" applyAlignment="1" applyFont="1">
      <alignment horizontal="center" shrinkToFit="0" wrapText="1"/>
    </xf>
    <xf borderId="0" fillId="2" fontId="4" numFmtId="165" xfId="0" applyAlignment="1" applyFont="1" applyNumberFormat="1">
      <alignment horizontal="right" readingOrder="0" vertical="bottom"/>
    </xf>
    <xf borderId="0" fillId="2" fontId="4" numFmtId="0" xfId="0" applyAlignment="1" applyFont="1">
      <alignment horizontal="right" readingOrder="0" vertical="bottom"/>
    </xf>
    <xf borderId="4" fillId="2" fontId="4" numFmtId="0" xfId="0" applyAlignment="1" applyBorder="1" applyFont="1">
      <alignment readingOrder="0" shrinkToFit="0" vertical="bottom" wrapText="1"/>
    </xf>
    <xf borderId="3" fillId="2" fontId="4" numFmtId="0" xfId="0" applyAlignment="1" applyBorder="1" applyFont="1">
      <alignment readingOrder="0" shrinkToFit="0" vertical="bottom" wrapText="1"/>
    </xf>
    <xf borderId="5" fillId="2" fontId="6" numFmtId="0" xfId="0" applyAlignment="1" applyBorder="1" applyFont="1">
      <alignment readingOrder="0" shrinkToFit="0" vertical="bottom" wrapText="1"/>
    </xf>
    <xf borderId="3" fillId="2" fontId="6" numFmtId="0" xfId="0" applyAlignment="1" applyBorder="1" applyFont="1">
      <alignment horizontal="center" readingOrder="0" shrinkToFit="0" vertical="center" wrapText="1"/>
    </xf>
    <xf borderId="3" fillId="2" fontId="6" numFmtId="0" xfId="0" applyAlignment="1" applyBorder="1" applyFont="1">
      <alignment readingOrder="0" shrinkToFit="0" vertical="bottom" wrapText="1"/>
    </xf>
    <xf borderId="4" fillId="2" fontId="6" numFmtId="0" xfId="0" applyAlignment="1" applyBorder="1" applyFont="1">
      <alignment readingOrder="0" shrinkToFit="0" vertical="bottom" wrapText="1"/>
    </xf>
    <xf borderId="4" fillId="2" fontId="4" numFmtId="0" xfId="0" applyAlignment="1" applyBorder="1" applyFont="1">
      <alignment shrinkToFit="0" vertical="bottom" wrapText="1"/>
    </xf>
    <xf borderId="3" fillId="2" fontId="4" numFmtId="0" xfId="0" applyAlignment="1" applyBorder="1" applyFont="1">
      <alignment shrinkToFit="0" vertical="bottom" wrapText="1"/>
    </xf>
    <xf borderId="5" fillId="2" fontId="6" numFmtId="0" xfId="0" applyAlignment="1" applyBorder="1" applyFont="1">
      <alignment shrinkToFit="0" vertical="bottom" wrapText="1"/>
    </xf>
    <xf borderId="3" fillId="2" fontId="6" numFmtId="0" xfId="0" applyAlignment="1" applyBorder="1" applyFont="1">
      <alignment horizontal="left" shrinkToFit="0" vertical="center" wrapText="1"/>
    </xf>
    <xf borderId="3" fillId="2" fontId="6" numFmtId="0" xfId="0" applyAlignment="1" applyBorder="1" applyFont="1">
      <alignment horizontal="left" readingOrder="0" shrinkToFit="0" vertical="center" wrapText="1"/>
    </xf>
    <xf borderId="4" fillId="2" fontId="6" numFmtId="0" xfId="0" applyAlignment="1" applyBorder="1" applyFont="1">
      <alignment horizontal="left" readingOrder="0" shrinkToFit="0" vertical="center" wrapText="1"/>
    </xf>
    <xf borderId="4" fillId="2" fontId="5" numFmtId="0" xfId="0" applyAlignment="1" applyBorder="1" applyFont="1">
      <alignment readingOrder="0" shrinkToFit="0" wrapText="1"/>
    </xf>
    <xf borderId="3" fillId="2" fontId="5" numFmtId="0" xfId="0" applyAlignment="1" applyBorder="1" applyFont="1">
      <alignment readingOrder="0" shrinkToFit="0" wrapText="1"/>
    </xf>
    <xf borderId="3" fillId="0" fontId="6" numFmtId="0" xfId="0" applyAlignment="1" applyBorder="1" applyFont="1">
      <alignment horizontal="center" readingOrder="0" shrinkToFit="0" vertical="center" wrapText="1"/>
    </xf>
    <xf borderId="3" fillId="5" fontId="6" numFmtId="0" xfId="0" applyAlignment="1" applyBorder="1" applyFill="1" applyFont="1">
      <alignment horizontal="center" readingOrder="0" shrinkToFit="0" vertical="center" wrapText="1"/>
    </xf>
    <xf borderId="5" fillId="2" fontId="5" numFmtId="0" xfId="0" applyAlignment="1" applyBorder="1" applyFont="1">
      <alignment readingOrder="0" shrinkToFit="0" wrapText="1"/>
    </xf>
    <xf borderId="3" fillId="4" fontId="6" numFmtId="0" xfId="0" applyAlignment="1" applyBorder="1" applyFont="1">
      <alignment horizontal="center" readingOrder="0" shrinkToFit="0" vertical="center" wrapText="1"/>
    </xf>
    <xf borderId="0" fillId="2" fontId="4" numFmtId="166" xfId="0" applyAlignment="1" applyFont="1" applyNumberFormat="1">
      <alignment horizontal="right" readingOrder="0" vertical="bottom"/>
    </xf>
    <xf borderId="5" fillId="2" fontId="5" numFmtId="0" xfId="0" applyAlignment="1" applyBorder="1" applyFont="1">
      <alignment readingOrder="0" vertical="bottom"/>
    </xf>
    <xf borderId="3" fillId="2" fontId="6" numFmtId="0" xfId="0" applyAlignment="1" applyBorder="1" applyFont="1">
      <alignment horizontal="center" readingOrder="0" shrinkToFit="0" wrapText="1"/>
    </xf>
    <xf borderId="3" fillId="2" fontId="6" numFmtId="0" xfId="0" applyAlignment="1" applyBorder="1" applyFont="1">
      <alignment horizontal="center" shrinkToFit="0" wrapText="1"/>
    </xf>
    <xf borderId="0" fillId="0" fontId="4" numFmtId="165" xfId="0" applyAlignment="1" applyFont="1" applyNumberFormat="1">
      <alignment horizontal="right" readingOrder="0" vertical="bottom"/>
    </xf>
    <xf borderId="0" fillId="0" fontId="4" numFmtId="0" xfId="0" applyAlignment="1" applyFont="1">
      <alignment horizontal="right" readingOrder="0" vertical="bottom"/>
    </xf>
    <xf borderId="4" fillId="0" fontId="4" numFmtId="0" xfId="0" applyAlignment="1" applyBorder="1" applyFont="1">
      <alignment readingOrder="0" shrinkToFit="0" vertical="bottom" wrapText="1"/>
    </xf>
    <xf borderId="3" fillId="0" fontId="4" numFmtId="0" xfId="0" applyAlignment="1" applyBorder="1" applyFont="1">
      <alignment readingOrder="0" shrinkToFit="0" vertical="bottom" wrapText="1"/>
    </xf>
    <xf borderId="4" fillId="0" fontId="6" numFmtId="0" xfId="0" applyAlignment="1" applyBorder="1" applyFont="1">
      <alignment readingOrder="0" shrinkToFit="0" vertical="bottom" wrapText="1"/>
    </xf>
    <xf borderId="4" fillId="0" fontId="5" numFmtId="0" xfId="0" applyAlignment="1" applyBorder="1" applyFont="1">
      <alignment readingOrder="0" shrinkToFit="0" wrapText="1"/>
    </xf>
    <xf borderId="4" fillId="2" fontId="5" numFmtId="0" xfId="0" applyAlignment="1" applyBorder="1" applyFont="1">
      <alignment vertical="bottom"/>
    </xf>
    <xf borderId="4" fillId="2" fontId="5" numFmtId="0" xfId="0" applyAlignment="1" applyBorder="1" applyFont="1">
      <alignment readingOrder="0" shrinkToFit="0" vertical="bottom" wrapText="1"/>
    </xf>
    <xf borderId="0" fillId="6" fontId="4" numFmtId="165" xfId="0" applyAlignment="1" applyFill="1" applyFont="1" applyNumberFormat="1">
      <alignment horizontal="right" readingOrder="0" vertical="bottom"/>
    </xf>
    <xf borderId="0" fillId="6" fontId="4" numFmtId="0" xfId="0" applyAlignment="1" applyFont="1">
      <alignment horizontal="right" readingOrder="0" vertical="bottom"/>
    </xf>
    <xf borderId="4" fillId="6" fontId="4" numFmtId="0" xfId="0" applyAlignment="1" applyBorder="1" applyFont="1">
      <alignment readingOrder="0" shrinkToFit="0" vertical="bottom" wrapText="1"/>
    </xf>
    <xf borderId="3" fillId="6" fontId="4" numFmtId="0" xfId="0" applyAlignment="1" applyBorder="1" applyFont="1">
      <alignment readingOrder="0" shrinkToFit="0" vertical="bottom" wrapText="1"/>
    </xf>
    <xf borderId="4" fillId="6" fontId="6" numFmtId="0" xfId="0" applyAlignment="1" applyBorder="1" applyFont="1">
      <alignment readingOrder="0" shrinkToFit="0" vertical="bottom" wrapText="1"/>
    </xf>
    <xf borderId="4" fillId="6" fontId="5" numFmtId="0" xfId="0" applyAlignment="1" applyBorder="1" applyFont="1">
      <alignment readingOrder="0" shrinkToFit="0" wrapText="1"/>
    </xf>
    <xf borderId="0" fillId="4" fontId="4" numFmtId="165" xfId="0" applyAlignment="1" applyFont="1" applyNumberFormat="1">
      <alignment horizontal="right" readingOrder="0" vertical="bottom"/>
    </xf>
    <xf borderId="0" fillId="4" fontId="4" numFmtId="0" xfId="0" applyAlignment="1" applyFont="1">
      <alignment horizontal="right" readingOrder="0" vertical="bottom"/>
    </xf>
    <xf borderId="4" fillId="4" fontId="4" numFmtId="0" xfId="0" applyAlignment="1" applyBorder="1" applyFont="1">
      <alignment readingOrder="0" shrinkToFit="0" vertical="bottom" wrapText="1"/>
    </xf>
    <xf borderId="3" fillId="4" fontId="4" numFmtId="0" xfId="0" applyAlignment="1" applyBorder="1" applyFont="1">
      <alignment readingOrder="0" shrinkToFit="0" vertical="bottom" wrapText="1"/>
    </xf>
    <xf borderId="4" fillId="4" fontId="6" numFmtId="0" xfId="0" applyAlignment="1" applyBorder="1" applyFont="1">
      <alignment readingOrder="0" shrinkToFit="0" vertical="bottom" wrapText="1"/>
    </xf>
    <xf borderId="4" fillId="4" fontId="5" numFmtId="0" xfId="0" applyAlignment="1" applyBorder="1" applyFont="1">
      <alignment readingOrder="0" shrinkToFit="0" wrapText="1"/>
    </xf>
    <xf borderId="0" fillId="5" fontId="4" numFmtId="165" xfId="0" applyAlignment="1" applyFont="1" applyNumberFormat="1">
      <alignment horizontal="right" readingOrder="0" vertical="bottom"/>
    </xf>
    <xf borderId="0" fillId="5" fontId="4" numFmtId="0" xfId="0" applyAlignment="1" applyFont="1">
      <alignment horizontal="right" readingOrder="0" vertical="bottom"/>
    </xf>
    <xf borderId="4" fillId="5" fontId="4" numFmtId="0" xfId="0" applyAlignment="1" applyBorder="1" applyFont="1">
      <alignment readingOrder="0" shrinkToFit="0" vertical="bottom" wrapText="1"/>
    </xf>
    <xf borderId="3" fillId="5" fontId="4" numFmtId="0" xfId="0" applyAlignment="1" applyBorder="1" applyFont="1">
      <alignment readingOrder="0" shrinkToFit="0" vertical="bottom" wrapText="1"/>
    </xf>
    <xf borderId="4" fillId="5" fontId="6" numFmtId="0" xfId="0" applyAlignment="1" applyBorder="1" applyFont="1">
      <alignment readingOrder="0" shrinkToFit="0" vertical="bottom" wrapText="1"/>
    </xf>
    <xf borderId="4" fillId="5" fontId="5" numFmtId="0" xfId="0" applyAlignment="1" applyBorder="1" applyFont="1">
      <alignment readingOrder="0" shrinkToFit="0" wrapText="1"/>
    </xf>
    <xf borderId="4" fillId="2" fontId="5" numFmtId="0" xfId="0" applyAlignment="1" applyBorder="1" applyFont="1">
      <alignment readingOrder="0" vertical="bottom"/>
    </xf>
    <xf borderId="3" fillId="4" fontId="6" numFmtId="0" xfId="0" applyAlignment="1" applyBorder="1" applyFont="1">
      <alignment horizontal="center" readingOrder="0" shrinkToFit="0" wrapText="1"/>
    </xf>
    <xf borderId="3" fillId="4" fontId="6" numFmtId="0" xfId="0" applyAlignment="1" applyBorder="1" applyFont="1">
      <alignment horizontal="center" shrinkToFit="0" wrapText="1"/>
    </xf>
    <xf borderId="4" fillId="2" fontId="7" numFmtId="0" xfId="0" applyAlignment="1" applyBorder="1" applyFont="1">
      <alignment readingOrder="0" vertical="bottom"/>
    </xf>
    <xf borderId="3" fillId="2" fontId="7" numFmtId="0" xfId="0" applyAlignment="1" applyBorder="1" applyFont="1">
      <alignment readingOrder="0" vertical="bottom"/>
    </xf>
    <xf borderId="4" fillId="7" fontId="5" numFmtId="0" xfId="0" applyAlignment="1" applyBorder="1" applyFill="1" applyFont="1">
      <alignment readingOrder="0" shrinkToFit="0" wrapText="1"/>
    </xf>
    <xf borderId="3" fillId="2" fontId="4" numFmtId="167" xfId="0" applyAlignment="1" applyBorder="1" applyFont="1" applyNumberFormat="1">
      <alignment horizontal="left" readingOrder="0" shrinkToFit="0" vertical="bottom" wrapText="1"/>
    </xf>
    <xf borderId="3" fillId="2" fontId="4" numFmtId="0" xfId="0" applyAlignment="1" applyBorder="1" applyFont="1">
      <alignment horizontal="left" readingOrder="0" shrinkToFit="0" vertical="bottom" wrapText="1"/>
    </xf>
    <xf borderId="4" fillId="2" fontId="6" numFmtId="0" xfId="0" applyAlignment="1" applyBorder="1" applyFont="1">
      <alignment shrinkToFit="0" vertical="bottom" wrapText="1"/>
    </xf>
    <xf borderId="4" fillId="5" fontId="5" numFmtId="0" xfId="0" applyAlignment="1" applyBorder="1" applyFont="1">
      <alignment shrinkToFit="0" wrapText="1"/>
    </xf>
    <xf borderId="0" fillId="4" fontId="4" numFmtId="0" xfId="0" applyAlignment="1" applyFont="1">
      <alignment horizontal="right" vertical="bottom"/>
    </xf>
    <xf borderId="3" fillId="4" fontId="4" numFmtId="0" xfId="0" applyAlignment="1" applyBorder="1" applyFont="1">
      <alignment shrinkToFit="0" vertical="bottom" wrapText="1"/>
    </xf>
    <xf borderId="4" fillId="4" fontId="6" numFmtId="0" xfId="0" applyAlignment="1" applyBorder="1" applyFont="1">
      <alignment shrinkToFit="0" vertical="bottom" wrapText="1"/>
    </xf>
    <xf borderId="4" fillId="4" fontId="5" numFmtId="0" xfId="0" applyAlignment="1" applyBorder="1" applyFont="1">
      <alignment shrinkToFit="0" wrapText="1"/>
    </xf>
    <xf borderId="0" fillId="0" fontId="4" numFmtId="0" xfId="0" applyAlignment="1" applyFont="1">
      <alignment readingOrder="0" shrinkToFit="0" vertical="bottom" wrapText="1"/>
    </xf>
    <xf borderId="0" fillId="7" fontId="5" numFmtId="0" xfId="0" applyAlignment="1" applyFont="1">
      <alignment readingOrder="0" shrinkToFit="0" wrapText="1"/>
    </xf>
    <xf borderId="0" fillId="0" fontId="6" numFmtId="0" xfId="0" applyAlignment="1" applyFont="1">
      <alignment horizontal="center" readingOrder="0" shrinkToFit="0" vertical="center" wrapText="1"/>
    </xf>
    <xf borderId="0" fillId="0" fontId="5" numFmtId="0" xfId="0" applyAlignment="1" applyFont="1">
      <alignment readingOrder="0" shrinkToFit="0" wrapText="1"/>
    </xf>
    <xf borderId="5" fillId="0" fontId="5" numFmtId="0" xfId="0" applyAlignment="1" applyBorder="1" applyFont="1">
      <alignment readingOrder="0" shrinkToFit="0" wrapText="1"/>
    </xf>
    <xf borderId="0" fillId="8" fontId="8" numFmtId="0" xfId="0" applyAlignment="1" applyFill="1" applyFont="1">
      <alignment horizontal="center" readingOrder="0" shrinkToFit="0" vertical="center" wrapText="1"/>
    </xf>
    <xf borderId="5" fillId="0" fontId="6" numFmtId="0" xfId="0" applyAlignment="1" applyBorder="1" applyFont="1">
      <alignment readingOrder="0" shrinkToFit="0" vertical="bottom" wrapText="1"/>
    </xf>
    <xf borderId="3" fillId="0" fontId="5" numFmtId="0" xfId="0" applyAlignment="1" applyBorder="1" applyFont="1">
      <alignment readingOrder="0" shrinkToFit="0" wrapText="1"/>
    </xf>
    <xf borderId="3" fillId="0" fontId="4" numFmtId="165" xfId="0" applyAlignment="1" applyBorder="1" applyFont="1" applyNumberFormat="1">
      <alignment horizontal="right" readingOrder="0" vertical="bottom"/>
    </xf>
    <xf borderId="0" fillId="0" fontId="6" numFmtId="0" xfId="0" applyAlignment="1" applyFont="1">
      <alignment readingOrder="0" shrinkToFit="0" vertical="bottom" wrapText="1"/>
    </xf>
    <xf borderId="3" fillId="4" fontId="4" numFmtId="0" xfId="0" applyAlignment="1" applyBorder="1" applyFont="1">
      <alignment horizontal="center" readingOrder="0" shrinkToFit="0" vertical="bottom" wrapText="1"/>
    </xf>
    <xf borderId="4" fillId="0" fontId="6" numFmtId="0" xfId="0" applyAlignment="1" applyBorder="1" applyFont="1">
      <alignment horizontal="left" readingOrder="0" shrinkToFit="0" vertical="center" wrapText="1"/>
    </xf>
    <xf borderId="4" fillId="0" fontId="5" numFmtId="0" xfId="0" applyAlignment="1" applyBorder="1" applyFont="1">
      <alignment shrinkToFit="0" wrapText="1"/>
    </xf>
    <xf borderId="0" fillId="4" fontId="4" numFmtId="0" xfId="0" applyAlignment="1" applyFont="1">
      <alignment readingOrder="0" shrinkToFit="0" vertical="bottom" wrapText="1"/>
    </xf>
    <xf borderId="0" fillId="4" fontId="4" numFmtId="0" xfId="0" applyAlignment="1" applyFont="1">
      <alignment horizontal="left" readingOrder="0" shrinkToFit="0" vertical="bottom" wrapText="1"/>
    </xf>
    <xf borderId="0" fillId="4" fontId="6" numFmtId="0" xfId="0" applyAlignment="1" applyFont="1">
      <alignment readingOrder="0" shrinkToFit="0" vertical="bottom" wrapText="1"/>
    </xf>
    <xf borderId="4" fillId="4" fontId="6" numFmtId="0" xfId="0" applyAlignment="1" applyBorder="1" applyFont="1">
      <alignment horizontal="left" readingOrder="0" shrinkToFit="0" vertical="center" wrapText="1"/>
    </xf>
    <xf borderId="0" fillId="4" fontId="6" numFmtId="0" xfId="0" applyAlignment="1" applyFont="1">
      <alignment horizontal="center" readingOrder="0" shrinkToFit="0" vertical="center" wrapText="1"/>
    </xf>
    <xf borderId="3" fillId="4" fontId="4" numFmtId="0" xfId="0" applyAlignment="1" applyBorder="1" applyFont="1">
      <alignment horizontal="left" readingOrder="0" shrinkToFit="0" vertical="bottom" wrapText="1"/>
    </xf>
    <xf borderId="5" fillId="4" fontId="6" numFmtId="0" xfId="0" applyAlignment="1" applyBorder="1" applyFont="1">
      <alignment readingOrder="0" shrinkToFit="0" vertical="bottom" wrapText="1"/>
    </xf>
    <xf borderId="5" fillId="4" fontId="9" numFmtId="0" xfId="0" applyAlignment="1" applyBorder="1" applyFont="1">
      <alignment readingOrder="0"/>
    </xf>
    <xf borderId="2" fillId="9" fontId="6" numFmtId="0" xfId="0" applyAlignment="1" applyBorder="1" applyFill="1" applyFont="1">
      <alignment horizontal="center" readingOrder="0" shrinkToFit="0" vertical="center" wrapText="1"/>
    </xf>
    <xf borderId="6" fillId="10" fontId="10" numFmtId="0" xfId="0" applyAlignment="1" applyBorder="1" applyFill="1" applyFont="1">
      <alignment horizontal="center" readingOrder="0" shrinkToFit="0" vertical="center" wrapText="0"/>
    </xf>
    <xf borderId="7" fillId="0" fontId="1" numFmtId="0" xfId="0" applyBorder="1" applyFont="1"/>
    <xf borderId="8" fillId="0" fontId="1" numFmtId="0" xfId="0" applyBorder="1" applyFont="1"/>
    <xf borderId="9" fillId="4" fontId="10" numFmtId="164" xfId="0" applyAlignment="1" applyBorder="1" applyFont="1" applyNumberFormat="1">
      <alignment horizontal="center" shrinkToFit="0" vertical="center" wrapText="1"/>
    </xf>
    <xf borderId="9" fillId="4" fontId="11" numFmtId="49" xfId="0" applyAlignment="1" applyBorder="1" applyFont="1" applyNumberFormat="1">
      <alignment horizontal="left" shrinkToFit="0" vertical="center" wrapText="1"/>
    </xf>
    <xf borderId="9" fillId="4" fontId="12" numFmtId="49" xfId="0" applyAlignment="1" applyBorder="1" applyFont="1" applyNumberFormat="1">
      <alignment horizontal="left" shrinkToFit="0" vertical="center" wrapText="1"/>
    </xf>
    <xf borderId="9" fillId="4" fontId="11" numFmtId="49" xfId="0" applyAlignment="1" applyBorder="1" applyFont="1" applyNumberFormat="1">
      <alignment horizontal="center" readingOrder="0" shrinkToFit="0" vertical="center" wrapText="1"/>
    </xf>
    <xf borderId="9" fillId="4" fontId="11" numFmtId="0" xfId="0" applyAlignment="1" applyBorder="1" applyFont="1">
      <alignment horizontal="center" readingOrder="0" shrinkToFit="0" vertical="center" wrapText="1"/>
    </xf>
    <xf borderId="4" fillId="0" fontId="13" numFmtId="165" xfId="0" applyAlignment="1" applyBorder="1" applyFont="1" applyNumberFormat="1">
      <alignment horizontal="left" readingOrder="0" shrinkToFit="0" vertical="center" wrapText="1"/>
    </xf>
    <xf borderId="4" fillId="0" fontId="5" numFmtId="0" xfId="0" applyAlignment="1" applyBorder="1" applyFont="1">
      <alignment readingOrder="0" vertical="center"/>
    </xf>
    <xf borderId="4" fillId="0" fontId="14" numFmtId="0" xfId="0" applyAlignment="1" applyBorder="1" applyFont="1">
      <alignment readingOrder="0" shrinkToFit="0" vertical="center" wrapText="1"/>
    </xf>
    <xf borderId="4" fillId="0" fontId="14" numFmtId="0" xfId="0" applyAlignment="1" applyBorder="1" applyFont="1">
      <alignment horizontal="left" readingOrder="0" shrinkToFit="0" vertical="center" wrapText="1"/>
    </xf>
    <xf borderId="4" fillId="0" fontId="15" numFmtId="0" xfId="0" applyAlignment="1" applyBorder="1" applyFont="1">
      <alignment horizontal="left" readingOrder="0" shrinkToFit="0" vertical="center" wrapText="1"/>
    </xf>
    <xf borderId="4" fillId="0" fontId="11" numFmtId="0" xfId="0" applyAlignment="1" applyBorder="1" applyFont="1">
      <alignment horizontal="center" readingOrder="0" shrinkToFit="0" vertical="center" wrapText="1"/>
    </xf>
    <xf borderId="4" fillId="0" fontId="0" numFmtId="0" xfId="0" applyAlignment="1" applyBorder="1" applyFont="1">
      <alignment readingOrder="0" shrinkToFit="0" vertical="center" wrapText="1"/>
    </xf>
    <xf borderId="4" fillId="0" fontId="13" numFmtId="166" xfId="0" applyAlignment="1" applyBorder="1" applyFont="1" applyNumberFormat="1">
      <alignment horizontal="left" readingOrder="0" shrinkToFit="0" vertical="center" wrapText="1"/>
    </xf>
    <xf borderId="4" fillId="0" fontId="16" numFmtId="0" xfId="0" applyAlignment="1" applyBorder="1" applyFont="1">
      <alignment horizontal="left" readingOrder="0" shrinkToFit="0" vertical="center" wrapText="1"/>
    </xf>
    <xf borderId="4" fillId="4" fontId="5" numFmtId="0" xfId="0" applyAlignment="1" applyBorder="1" applyFont="1">
      <alignment vertical="center"/>
    </xf>
    <xf borderId="4" fillId="0" fontId="5" numFmtId="0" xfId="0" applyAlignment="1" applyBorder="1" applyFont="1">
      <alignment vertical="center"/>
    </xf>
    <xf borderId="4" fillId="0" fontId="0" numFmtId="0" xfId="0" applyAlignment="1" applyBorder="1" applyFont="1">
      <alignment shrinkToFit="0" vertical="center" wrapText="1"/>
    </xf>
    <xf borderId="4" fillId="0" fontId="17" numFmtId="0" xfId="0" applyAlignment="1" applyBorder="1" applyFont="1">
      <alignment horizontal="right" readingOrder="0" vertical="center"/>
    </xf>
    <xf borderId="4" fillId="0" fontId="15" numFmtId="165" xfId="0" applyAlignment="1" applyBorder="1" applyFont="1" applyNumberFormat="1">
      <alignment horizontal="left" readingOrder="0" shrinkToFit="0" vertical="center" wrapText="1"/>
    </xf>
    <xf borderId="4" fillId="0" fontId="18" numFmtId="0" xfId="0" applyAlignment="1" applyBorder="1" applyFont="1">
      <alignment readingOrder="0" vertical="center"/>
    </xf>
    <xf borderId="4" fillId="0" fontId="14" numFmtId="0" xfId="0" applyAlignment="1" applyBorder="1" applyFont="1">
      <alignment horizontal="right" readingOrder="0" shrinkToFit="0" vertical="center" wrapText="1"/>
    </xf>
    <xf borderId="4" fillId="0" fontId="18" numFmtId="0" xfId="0" applyAlignment="1" applyBorder="1" applyFont="1">
      <alignment horizontal="right" readingOrder="0" vertical="center"/>
    </xf>
    <xf borderId="4" fillId="0" fontId="0" numFmtId="0" xfId="0" applyAlignment="1" applyBorder="1" applyFont="1">
      <alignment horizontal="left" readingOrder="0" shrinkToFit="0" vertical="center" wrapText="1"/>
    </xf>
    <xf borderId="4" fillId="0" fontId="15" numFmtId="166" xfId="0" applyAlignment="1" applyBorder="1" applyFont="1" applyNumberFormat="1">
      <alignment horizontal="left" readingOrder="0" shrinkToFit="0" vertical="center" wrapText="1"/>
    </xf>
    <xf borderId="4" fillId="0" fontId="18" numFmtId="0" xfId="0" applyAlignment="1" applyBorder="1" applyFont="1">
      <alignment vertical="center"/>
    </xf>
    <xf borderId="4" fillId="0" fontId="19" numFmtId="0" xfId="0" applyAlignment="1" applyBorder="1" applyFont="1">
      <alignment horizontal="left" readingOrder="0" vertical="center"/>
    </xf>
    <xf borderId="1" fillId="11" fontId="2" numFmtId="0" xfId="0" applyAlignment="1" applyBorder="1" applyFill="1" applyFont="1">
      <alignment horizontal="center" readingOrder="0" shrinkToFit="0" vertical="center" wrapText="1"/>
    </xf>
    <xf borderId="4" fillId="0" fontId="5" numFmtId="0" xfId="0" applyAlignment="1" applyBorder="1" applyFont="1">
      <alignment readingOrder="0"/>
    </xf>
    <xf borderId="0" fillId="0" fontId="4" numFmtId="166" xfId="0" applyAlignment="1" applyFont="1" applyNumberFormat="1">
      <alignment horizontal="right" readingOrder="0" vertical="bottom"/>
    </xf>
    <xf borderId="5" fillId="0" fontId="5" numFmtId="0" xfId="0" applyAlignment="1" applyBorder="1" applyFont="1">
      <alignment readingOrder="0"/>
    </xf>
    <xf borderId="4" fillId="0" fontId="5" numFmtId="0" xfId="0" applyBorder="1" applyFont="1"/>
    <xf borderId="0" fillId="2" fontId="4" numFmtId="0" xfId="0" applyAlignment="1" applyFont="1">
      <alignment readingOrder="0" shrinkToFit="0" vertical="bottom" wrapText="1"/>
    </xf>
    <xf borderId="0" fillId="2" fontId="4" numFmtId="0" xfId="0" applyAlignment="1" applyFont="1">
      <alignment horizontal="left" readingOrder="0" shrinkToFit="0" vertical="bottom" wrapText="1"/>
    </xf>
    <xf borderId="0" fillId="2" fontId="6" numFmtId="0" xfId="0" applyAlignment="1" applyFont="1">
      <alignment readingOrder="0" shrinkToFit="0" vertical="bottom" wrapText="1"/>
    </xf>
    <xf borderId="3" fillId="2" fontId="4" numFmtId="0" xfId="0" applyAlignment="1" applyBorder="1" applyFont="1">
      <alignment horizontal="left" readingOrder="0" shrinkToFit="0" vertical="bottom" wrapText="1"/>
    </xf>
    <xf borderId="5" fillId="2" fontId="9" numFmtId="0" xfId="0" applyAlignment="1" applyBorder="1" applyFont="1">
      <alignment readingOrder="0"/>
    </xf>
    <xf borderId="4" fillId="2" fontId="7" numFmtId="0" xfId="0" applyAlignment="1" applyBorder="1" applyFont="1">
      <alignment readingOrder="0"/>
    </xf>
    <xf borderId="4" fillId="2" fontId="9" numFmtId="0" xfId="0" applyAlignment="1" applyBorder="1" applyFont="1">
      <alignment readingOrder="0"/>
    </xf>
    <xf borderId="5" fillId="2" fontId="6" numFmtId="0" xfId="0" applyAlignment="1" applyBorder="1" applyFont="1">
      <alignment horizontal="left" readingOrder="0" shrinkToFit="0" vertical="center" wrapText="1"/>
    </xf>
    <xf borderId="5" fillId="0" fontId="6" numFmtId="0" xfId="0" applyAlignment="1" applyBorder="1" applyFont="1">
      <alignment horizontal="left" readingOrder="0" shrinkToFit="0" vertical="center" wrapText="1"/>
    </xf>
    <xf borderId="5" fillId="5" fontId="6" numFmtId="0" xfId="0" applyAlignment="1" applyBorder="1" applyFont="1">
      <alignment readingOrder="0" shrinkToFit="0" vertical="bottom" wrapText="1"/>
    </xf>
    <xf borderId="4" fillId="5" fontId="6" numFmtId="0" xfId="0" applyAlignment="1" applyBorder="1" applyFont="1">
      <alignment horizontal="left" readingOrder="0" shrinkToFit="0" vertical="center" wrapText="1"/>
    </xf>
    <xf borderId="4" fillId="0" fontId="7" numFmtId="0" xfId="0" applyAlignment="1" applyBorder="1" applyFont="1">
      <alignment readingOrder="0"/>
    </xf>
    <xf borderId="5" fillId="0" fontId="6" numFmtId="0" xfId="0" applyAlignment="1" applyBorder="1" applyFont="1">
      <alignment shrinkToFit="0" vertical="bottom" wrapText="1"/>
    </xf>
    <xf borderId="0" fillId="2" fontId="4" numFmtId="165" xfId="0" applyAlignment="1" applyFont="1" applyNumberFormat="1">
      <alignment horizontal="right" vertical="bottom"/>
    </xf>
    <xf borderId="4" fillId="2" fontId="7" numFmtId="0" xfId="0" applyAlignment="1" applyBorder="1" applyFont="1">
      <alignment vertical="bottom"/>
    </xf>
    <xf borderId="5" fillId="2" fontId="7" numFmtId="0" xfId="0" applyAlignment="1" applyBorder="1" applyFont="1">
      <alignment readingOrder="0" vertical="bottom"/>
    </xf>
    <xf borderId="3" fillId="0" fontId="6" numFmtId="0" xfId="0" applyAlignment="1" applyBorder="1" applyFont="1">
      <alignment horizontal="center" shrinkToFit="0" wrapText="1"/>
    </xf>
    <xf borderId="3" fillId="2" fontId="6" numFmtId="0" xfId="0" applyAlignment="1" applyBorder="1" applyFont="1">
      <alignment readingOrder="0"/>
    </xf>
    <xf borderId="3" fillId="0" fontId="5" numFmtId="0" xfId="0" applyBorder="1" applyFont="1"/>
    <xf borderId="4" fillId="2" fontId="5" numFmtId="0" xfId="0" applyAlignment="1" applyBorder="1" applyFont="1">
      <alignment readingOrder="0"/>
    </xf>
    <xf borderId="0" fillId="0" fontId="5" numFmtId="0" xfId="0" applyFont="1"/>
    <xf borderId="4" fillId="2" fontId="6" numFmtId="0" xfId="0" applyAlignment="1" applyBorder="1" applyFont="1">
      <alignment readingOrder="0"/>
    </xf>
    <xf borderId="4" fillId="2" fontId="5" numFmtId="0" xfId="0" applyBorder="1" applyFont="1"/>
    <xf borderId="4" fillId="2" fontId="20" numFmtId="0" xfId="0" applyAlignment="1" applyBorder="1" applyFont="1">
      <alignment readingOrder="0"/>
    </xf>
    <xf borderId="0" fillId="2" fontId="6" numFmtId="0" xfId="0" applyAlignment="1" applyFont="1">
      <alignment horizontal="center" readingOrder="0" shrinkToFit="0" vertical="center" wrapText="1"/>
    </xf>
    <xf borderId="0" fillId="12" fontId="4" numFmtId="165" xfId="0" applyAlignment="1" applyFill="1" applyFont="1" applyNumberFormat="1">
      <alignment horizontal="right" vertical="bottom"/>
    </xf>
    <xf borderId="0" fillId="12" fontId="4" numFmtId="0" xfId="0" applyAlignment="1" applyFont="1">
      <alignment horizontal="right" vertical="bottom"/>
    </xf>
    <xf borderId="0" fillId="12" fontId="4" numFmtId="0" xfId="0" applyAlignment="1" applyFont="1">
      <alignment shrinkToFit="0" vertical="bottom" wrapText="1"/>
    </xf>
    <xf borderId="0" fillId="12" fontId="6" numFmtId="0" xfId="0" applyAlignment="1" applyFont="1">
      <alignment shrinkToFit="0" vertical="bottom" wrapText="1"/>
    </xf>
    <xf borderId="4" fillId="12" fontId="5" numFmtId="0" xfId="0" applyBorder="1" applyFont="1"/>
    <xf borderId="3" fillId="12" fontId="6" numFmtId="0" xfId="0" applyAlignment="1" applyBorder="1" applyFont="1">
      <alignment horizontal="center" shrinkToFit="0" vertical="center" wrapText="1"/>
    </xf>
    <xf borderId="0" fillId="12" fontId="6" numFmtId="0" xfId="0" applyAlignment="1" applyFont="1">
      <alignment horizontal="center" shrinkToFit="0" vertical="center" wrapText="1"/>
    </xf>
    <xf borderId="0" fillId="2" fontId="6" numFmtId="0" xfId="0" applyAlignment="1" applyFont="1">
      <alignment shrinkToFit="0" vertical="bottom" wrapText="1"/>
    </xf>
    <xf borderId="0" fillId="13" fontId="4" numFmtId="165" xfId="0" applyAlignment="1" applyFill="1" applyFont="1" applyNumberFormat="1">
      <alignment horizontal="right" vertical="bottom"/>
    </xf>
    <xf borderId="0" fillId="13" fontId="4" numFmtId="0" xfId="0" applyAlignment="1" applyFont="1">
      <alignment horizontal="right" vertical="bottom"/>
    </xf>
    <xf borderId="0" fillId="13" fontId="4" numFmtId="0" xfId="0" applyAlignment="1" applyFont="1">
      <alignment shrinkToFit="0" vertical="bottom" wrapText="1"/>
    </xf>
    <xf borderId="0" fillId="13" fontId="6" numFmtId="0" xfId="0" applyAlignment="1" applyFont="1">
      <alignment shrinkToFit="0" vertical="bottom" wrapText="1"/>
    </xf>
    <xf borderId="4" fillId="13" fontId="5" numFmtId="0" xfId="0" applyBorder="1" applyFont="1"/>
    <xf borderId="3" fillId="13" fontId="6" numFmtId="0" xfId="0" applyAlignment="1" applyBorder="1" applyFont="1">
      <alignment horizontal="center" shrinkToFit="0" vertical="center" wrapText="1"/>
    </xf>
    <xf borderId="0" fillId="13" fontId="6" numFmtId="0" xfId="0" applyAlignment="1" applyFont="1">
      <alignment horizontal="center" shrinkToFit="0" vertical="center" wrapText="1"/>
    </xf>
    <xf borderId="0" fillId="4" fontId="6" numFmtId="0" xfId="0" applyAlignment="1" applyFont="1">
      <alignment horizontal="center" shrinkToFit="0" wrapText="1"/>
    </xf>
    <xf borderId="0" fillId="14" fontId="4" numFmtId="165" xfId="0" applyAlignment="1" applyFill="1" applyFont="1" applyNumberFormat="1">
      <alignment horizontal="right" readingOrder="0" vertical="bottom"/>
    </xf>
    <xf borderId="0" fillId="14" fontId="4" numFmtId="0" xfId="0" applyAlignment="1" applyFont="1">
      <alignment horizontal="right" readingOrder="0" vertical="bottom"/>
    </xf>
    <xf borderId="0" fillId="14" fontId="4" numFmtId="0" xfId="0" applyAlignment="1" applyFont="1">
      <alignment readingOrder="0" shrinkToFit="0" vertical="bottom" wrapText="1"/>
    </xf>
    <xf borderId="3" fillId="14" fontId="4" numFmtId="0" xfId="0" applyAlignment="1" applyBorder="1" applyFont="1">
      <alignment readingOrder="0" shrinkToFit="0" vertical="bottom" wrapText="1"/>
    </xf>
    <xf borderId="5" fillId="14" fontId="6" numFmtId="0" xfId="0" applyAlignment="1" applyBorder="1" applyFont="1">
      <alignment readingOrder="0" shrinkToFit="0" vertical="bottom" wrapText="1"/>
    </xf>
    <xf borderId="4" fillId="14" fontId="5" numFmtId="0" xfId="0" applyAlignment="1" applyBorder="1" applyFont="1">
      <alignment readingOrder="0"/>
    </xf>
    <xf borderId="3" fillId="14" fontId="6" numFmtId="0" xfId="0" applyAlignment="1" applyBorder="1" applyFont="1">
      <alignment horizontal="center" readingOrder="0" shrinkToFit="0" vertical="center" wrapText="1"/>
    </xf>
    <xf borderId="4" fillId="4" fontId="5" numFmtId="0" xfId="0" applyAlignment="1" applyBorder="1" applyFont="1">
      <alignment readingOrder="0"/>
    </xf>
    <xf borderId="0" fillId="3" fontId="4" numFmtId="165" xfId="0" applyAlignment="1" applyFont="1" applyNumberFormat="1">
      <alignment horizontal="right" readingOrder="0" vertical="bottom"/>
    </xf>
    <xf borderId="0" fillId="3" fontId="4" numFmtId="0" xfId="0" applyAlignment="1" applyFont="1">
      <alignment horizontal="right" readingOrder="0" vertical="bottom"/>
    </xf>
    <xf borderId="0" fillId="3" fontId="4" numFmtId="0" xfId="0" applyAlignment="1" applyFont="1">
      <alignment readingOrder="0" shrinkToFit="0" vertical="bottom" wrapText="1"/>
    </xf>
    <xf borderId="3" fillId="3" fontId="4" numFmtId="0" xfId="0" applyAlignment="1" applyBorder="1" applyFont="1">
      <alignment readingOrder="0" shrinkToFit="0" vertical="bottom" wrapText="1"/>
    </xf>
    <xf borderId="0" fillId="3" fontId="6" numFmtId="0" xfId="0" applyAlignment="1" applyFont="1">
      <alignment readingOrder="0" shrinkToFit="0" vertical="bottom" wrapText="1"/>
    </xf>
    <xf borderId="4" fillId="3" fontId="5" numFmtId="0" xfId="0" applyAlignment="1" applyBorder="1" applyFont="1">
      <alignment readingOrder="0"/>
    </xf>
    <xf borderId="3" fillId="3" fontId="6" numFmtId="0" xfId="0" applyAlignment="1" applyBorder="1" applyFont="1">
      <alignment horizontal="center" readingOrder="0" shrinkToFit="0" vertical="center" wrapText="1"/>
    </xf>
    <xf borderId="0" fillId="3" fontId="6" numFmtId="0" xfId="0" applyAlignment="1" applyFont="1">
      <alignment horizontal="center" readingOrder="0" shrinkToFit="0" vertical="center" wrapText="1"/>
    </xf>
    <xf borderId="0" fillId="0" fontId="6" numFmtId="0" xfId="0" applyAlignment="1" applyFont="1">
      <alignment horizontal="center" shrinkToFit="0" wrapText="1"/>
    </xf>
    <xf borderId="0" fillId="15" fontId="4" numFmtId="165" xfId="0" applyAlignment="1" applyFill="1" applyFont="1" applyNumberFormat="1">
      <alignment horizontal="right" readingOrder="0" vertical="bottom"/>
    </xf>
    <xf borderId="0" fillId="15" fontId="4" numFmtId="0" xfId="0" applyAlignment="1" applyFont="1">
      <alignment horizontal="right" readingOrder="0" vertical="bottom"/>
    </xf>
    <xf borderId="0" fillId="15" fontId="4" numFmtId="0" xfId="0" applyAlignment="1" applyFont="1">
      <alignment readingOrder="0" shrinkToFit="0" vertical="bottom" wrapText="1"/>
    </xf>
    <xf borderId="3" fillId="15" fontId="4" numFmtId="0" xfId="0" applyAlignment="1" applyBorder="1" applyFont="1">
      <alignment readingOrder="0" shrinkToFit="0" vertical="bottom" wrapText="1"/>
    </xf>
    <xf borderId="0" fillId="15" fontId="6" numFmtId="0" xfId="0" applyAlignment="1" applyFont="1">
      <alignment readingOrder="0" shrinkToFit="0" vertical="bottom" wrapText="1"/>
    </xf>
    <xf borderId="4" fillId="15" fontId="5" numFmtId="0" xfId="0" applyAlignment="1" applyBorder="1" applyFont="1">
      <alignment readingOrder="0"/>
    </xf>
    <xf borderId="3" fillId="15" fontId="6" numFmtId="0" xfId="0" applyAlignment="1" applyBorder="1" applyFont="1">
      <alignment horizontal="center" readingOrder="0" shrinkToFit="0" vertical="center" wrapText="1"/>
    </xf>
    <xf borderId="0" fillId="15" fontId="6" numFmtId="0" xfId="0" applyAlignment="1" applyFont="1">
      <alignment horizontal="center" readingOrder="0" shrinkToFit="0" vertical="center" wrapText="1"/>
    </xf>
    <xf borderId="0" fillId="2" fontId="1" numFmtId="0" xfId="0" applyFont="1"/>
    <xf borderId="0" fillId="16" fontId="4" numFmtId="165" xfId="0" applyAlignment="1" applyFill="1" applyFont="1" applyNumberFormat="1">
      <alignment horizontal="right" readingOrder="0" vertical="bottom"/>
    </xf>
    <xf borderId="0" fillId="16" fontId="4" numFmtId="0" xfId="0" applyAlignment="1" applyFont="1">
      <alignment horizontal="right" readingOrder="0" vertical="bottom"/>
    </xf>
    <xf borderId="0" fillId="16" fontId="4" numFmtId="0" xfId="0" applyAlignment="1" applyFont="1">
      <alignment readingOrder="0" shrinkToFit="0" vertical="bottom" wrapText="1"/>
    </xf>
    <xf borderId="0" fillId="16" fontId="8" numFmtId="0" xfId="0" applyAlignment="1" applyFont="1">
      <alignment readingOrder="0" shrinkToFit="0" vertical="bottom" wrapText="1"/>
    </xf>
    <xf borderId="0" fillId="16" fontId="6" numFmtId="0" xfId="0" applyAlignment="1" applyFont="1">
      <alignment readingOrder="0" shrinkToFit="0" vertical="bottom" wrapText="1"/>
    </xf>
    <xf borderId="4" fillId="16" fontId="5" numFmtId="0" xfId="0" applyAlignment="1" applyBorder="1" applyFont="1">
      <alignment readingOrder="0"/>
    </xf>
    <xf borderId="3" fillId="16" fontId="6" numFmtId="0" xfId="0" applyAlignment="1" applyBorder="1" applyFont="1">
      <alignment horizontal="center" readingOrder="0" shrinkToFit="0" vertical="center" wrapText="1"/>
    </xf>
    <xf borderId="0" fillId="16" fontId="6" numFmtId="0" xfId="0" applyAlignment="1" applyFont="1">
      <alignment horizontal="center" readingOrder="0" shrinkToFit="0" vertical="center" wrapText="1"/>
    </xf>
    <xf borderId="5" fillId="2" fontId="5" numFmtId="0" xfId="0" applyAlignment="1" applyBorder="1" applyFont="1">
      <alignment vertical="bottom"/>
    </xf>
    <xf borderId="4" fillId="2" fontId="6" numFmtId="0" xfId="0" applyAlignment="1" applyBorder="1" applyFont="1">
      <alignment shrinkToFit="0" wrapText="1"/>
    </xf>
    <xf borderId="0" fillId="17" fontId="4" numFmtId="165" xfId="0" applyAlignment="1" applyFill="1" applyFont="1" applyNumberFormat="1">
      <alignment horizontal="right" readingOrder="0" vertical="bottom"/>
    </xf>
    <xf borderId="0" fillId="17" fontId="4" numFmtId="0" xfId="0" applyAlignment="1" applyFont="1">
      <alignment horizontal="right" readingOrder="0" vertical="bottom"/>
    </xf>
    <xf borderId="0" fillId="17" fontId="4" numFmtId="0" xfId="0" applyAlignment="1" applyFont="1">
      <alignment readingOrder="0" shrinkToFit="0" vertical="bottom" wrapText="1"/>
    </xf>
    <xf borderId="0" fillId="17" fontId="8" numFmtId="0" xfId="0" applyAlignment="1" applyFont="1">
      <alignment readingOrder="0" shrinkToFit="0" vertical="bottom" wrapText="1"/>
    </xf>
    <xf borderId="0" fillId="17" fontId="6" numFmtId="0" xfId="0" applyAlignment="1" applyFont="1">
      <alignment readingOrder="0" shrinkToFit="0" vertical="bottom" wrapText="1"/>
    </xf>
    <xf borderId="4" fillId="17" fontId="5" numFmtId="0" xfId="0" applyAlignment="1" applyBorder="1" applyFont="1">
      <alignment readingOrder="0"/>
    </xf>
    <xf borderId="3" fillId="17" fontId="6" numFmtId="0" xfId="0" applyAlignment="1" applyBorder="1" applyFont="1">
      <alignment horizontal="center" readingOrder="0" shrinkToFit="0" vertical="center" wrapText="1"/>
    </xf>
    <xf borderId="0" fillId="17" fontId="6" numFmtId="0" xfId="0" applyAlignment="1" applyFont="1">
      <alignment horizontal="center" readingOrder="0" shrinkToFit="0" vertical="center" wrapText="1"/>
    </xf>
    <xf borderId="0" fillId="2" fontId="5" numFmtId="165" xfId="0" applyAlignment="1" applyFont="1" applyNumberFormat="1">
      <alignment vertical="bottom"/>
    </xf>
    <xf borderId="0" fillId="2" fontId="8" numFmtId="0" xfId="0" applyAlignment="1" applyFont="1">
      <alignment shrinkToFit="0" vertical="bottom" wrapText="1"/>
    </xf>
    <xf borderId="0" fillId="6" fontId="5" numFmtId="165" xfId="0" applyAlignment="1" applyFont="1" applyNumberFormat="1">
      <alignment vertical="bottom"/>
    </xf>
    <xf borderId="0" fillId="6" fontId="5" numFmtId="0" xfId="0" applyAlignment="1" applyFont="1">
      <alignment vertical="bottom"/>
    </xf>
    <xf borderId="0" fillId="6" fontId="8" numFmtId="0" xfId="0" applyAlignment="1" applyFont="1">
      <alignment shrinkToFit="0" vertical="bottom" wrapText="1"/>
    </xf>
    <xf borderId="4" fillId="6" fontId="5" numFmtId="0" xfId="0" applyBorder="1" applyFont="1"/>
    <xf borderId="3" fillId="6" fontId="6" numFmtId="0" xfId="0" applyAlignment="1" applyBorder="1" applyFont="1">
      <alignment horizontal="center" shrinkToFit="0" wrapText="1"/>
    </xf>
    <xf borderId="0" fillId="6" fontId="6" numFmtId="0" xfId="0" applyAlignment="1" applyFont="1">
      <alignment horizontal="center" shrinkToFit="0" wrapText="1"/>
    </xf>
    <xf borderId="0" fillId="18" fontId="4" numFmtId="165" xfId="0" applyAlignment="1" applyFill="1" applyFont="1" applyNumberFormat="1">
      <alignment horizontal="right" readingOrder="0" vertical="bottom"/>
    </xf>
    <xf borderId="0" fillId="18" fontId="4" numFmtId="0" xfId="0" applyAlignment="1" applyFont="1">
      <alignment horizontal="right" readingOrder="0" vertical="bottom"/>
    </xf>
    <xf borderId="0" fillId="18" fontId="4" numFmtId="0" xfId="0" applyAlignment="1" applyFont="1">
      <alignment readingOrder="0" shrinkToFit="0" vertical="bottom" wrapText="1"/>
    </xf>
    <xf borderId="0" fillId="18" fontId="8" numFmtId="0" xfId="0" applyAlignment="1" applyFont="1">
      <alignment readingOrder="0" shrinkToFit="0" vertical="bottom" wrapText="1"/>
    </xf>
    <xf borderId="0" fillId="18" fontId="6" numFmtId="0" xfId="0" applyAlignment="1" applyFont="1">
      <alignment readingOrder="0" shrinkToFit="0" vertical="bottom" wrapText="1"/>
    </xf>
    <xf borderId="4" fillId="18" fontId="6" numFmtId="0" xfId="0" applyAlignment="1" applyBorder="1" applyFont="1">
      <alignment horizontal="left" readingOrder="0" shrinkToFit="0" vertical="center" wrapText="1"/>
    </xf>
    <xf borderId="3" fillId="18" fontId="6" numFmtId="0" xfId="0" applyAlignment="1" applyBorder="1" applyFont="1">
      <alignment horizontal="center" readingOrder="0" shrinkToFit="0" vertical="center" wrapText="1"/>
    </xf>
    <xf borderId="0" fillId="18" fontId="6" numFmtId="0" xfId="0" applyAlignment="1" applyFont="1">
      <alignment horizontal="center" readingOrder="0" shrinkToFit="0" vertical="center" wrapText="1"/>
    </xf>
    <xf borderId="0" fillId="12" fontId="4" numFmtId="165" xfId="0" applyAlignment="1" applyFont="1" applyNumberFormat="1">
      <alignment horizontal="right" readingOrder="0" vertical="bottom"/>
    </xf>
    <xf borderId="0" fillId="12" fontId="4" numFmtId="0" xfId="0" applyAlignment="1" applyFont="1">
      <alignment horizontal="right" readingOrder="0" vertical="bottom"/>
    </xf>
    <xf borderId="0" fillId="12" fontId="4" numFmtId="0" xfId="0" applyAlignment="1" applyFont="1">
      <alignment readingOrder="0" shrinkToFit="0" vertical="bottom" wrapText="1"/>
    </xf>
    <xf borderId="0" fillId="12" fontId="8" numFmtId="0" xfId="0" applyAlignment="1" applyFont="1">
      <alignment readingOrder="0" shrinkToFit="0" vertical="bottom" wrapText="1"/>
    </xf>
    <xf borderId="0" fillId="12" fontId="6" numFmtId="0" xfId="0" applyAlignment="1" applyFont="1">
      <alignment readingOrder="0" shrinkToFit="0" vertical="bottom" wrapText="1"/>
    </xf>
    <xf borderId="4" fillId="12" fontId="5" numFmtId="0" xfId="0" applyAlignment="1" applyBorder="1" applyFont="1">
      <alignment readingOrder="0"/>
    </xf>
    <xf borderId="3" fillId="12" fontId="6" numFmtId="0" xfId="0" applyAlignment="1" applyBorder="1" applyFont="1">
      <alignment horizontal="center" readingOrder="0" shrinkToFit="0" vertical="center" wrapText="1"/>
    </xf>
    <xf borderId="0" fillId="12" fontId="6" numFmtId="0" xfId="0" applyAlignment="1" applyFont="1">
      <alignment horizontal="center" readingOrder="0" shrinkToFit="0" vertical="center" wrapText="1"/>
    </xf>
    <xf borderId="0" fillId="13" fontId="4" numFmtId="165" xfId="0" applyAlignment="1" applyFont="1" applyNumberFormat="1">
      <alignment horizontal="right" readingOrder="0" vertical="bottom"/>
    </xf>
    <xf borderId="0" fillId="13" fontId="4" numFmtId="0" xfId="0" applyAlignment="1" applyFont="1">
      <alignment horizontal="right" readingOrder="0" vertical="bottom"/>
    </xf>
    <xf borderId="0" fillId="13" fontId="4" numFmtId="0" xfId="0" applyAlignment="1" applyFont="1">
      <alignment readingOrder="0" shrinkToFit="0" vertical="bottom" wrapText="1"/>
    </xf>
    <xf borderId="0" fillId="13" fontId="8" numFmtId="0" xfId="0" applyAlignment="1" applyFont="1">
      <alignment readingOrder="0" shrinkToFit="0" vertical="bottom" wrapText="1"/>
    </xf>
    <xf borderId="0" fillId="13" fontId="6" numFmtId="0" xfId="0" applyAlignment="1" applyFont="1">
      <alignment readingOrder="0" shrinkToFit="0" vertical="bottom" wrapText="1"/>
    </xf>
    <xf borderId="4" fillId="13" fontId="5" numFmtId="0" xfId="0" applyAlignment="1" applyBorder="1" applyFont="1">
      <alignment readingOrder="0"/>
    </xf>
    <xf borderId="3" fillId="13" fontId="6" numFmtId="0" xfId="0" applyAlignment="1" applyBorder="1" applyFont="1">
      <alignment horizontal="center" readingOrder="0" shrinkToFit="0" vertical="center" wrapText="1"/>
    </xf>
    <xf borderId="0" fillId="13" fontId="6" numFmtId="0" xfId="0" applyAlignment="1" applyFont="1">
      <alignment horizontal="center" readingOrder="0" shrinkToFit="0" vertical="center" wrapText="1"/>
    </xf>
    <xf borderId="4" fillId="0" fontId="9" numFmtId="0" xfId="0" applyAlignment="1" applyBorder="1" applyFont="1">
      <alignment readingOrder="0"/>
    </xf>
    <xf borderId="3" fillId="0" fontId="4" numFmtId="168" xfId="0" applyAlignment="1" applyBorder="1" applyFont="1" applyNumberFormat="1">
      <alignment horizontal="left" readingOrder="0" shrinkToFit="0" vertical="bottom" wrapText="1"/>
    </xf>
    <xf borderId="0" fillId="0" fontId="4" numFmtId="0" xfId="0" applyAlignment="1" applyFont="1">
      <alignment horizontal="right" vertical="bottom"/>
    </xf>
    <xf borderId="4" fillId="0" fontId="4" numFmtId="0" xfId="0" applyAlignment="1" applyBorder="1" applyFont="1">
      <alignment shrinkToFit="0" vertical="bottom" wrapText="1"/>
    </xf>
    <xf borderId="3" fillId="0" fontId="4" numFmtId="0" xfId="0" applyAlignment="1" applyBorder="1" applyFont="1">
      <alignment shrinkToFit="0" vertical="bottom" wrapText="1"/>
    </xf>
    <xf borderId="4" fillId="0" fontId="6" numFmtId="0" xfId="0" applyAlignment="1" applyBorder="1" applyFont="1">
      <alignment shrinkToFit="0" wrapText="1"/>
    </xf>
    <xf borderId="0" fillId="0" fontId="6" numFmtId="0" xfId="0" applyAlignment="1" applyFont="1">
      <alignment horizontal="left" readingOrder="0" shrinkToFit="0" vertical="center" wrapText="1"/>
    </xf>
    <xf borderId="0" fillId="0" fontId="4" numFmtId="165" xfId="0" applyAlignment="1" applyFont="1" applyNumberFormat="1">
      <alignment horizontal="right" vertical="bottom"/>
    </xf>
    <xf borderId="5" fillId="0" fontId="5" numFmtId="0" xfId="0" applyAlignment="1" applyBorder="1" applyFont="1">
      <alignment vertical="bottom"/>
    </xf>
    <xf borderId="4" fillId="0" fontId="6" numFmtId="0" xfId="0" applyAlignment="1" applyBorder="1" applyFont="1">
      <alignment horizontal="left" shrinkToFit="0" vertical="center" wrapText="1"/>
    </xf>
    <xf borderId="0" fillId="0" fontId="4" numFmtId="0" xfId="0" applyAlignment="1" applyFont="1">
      <alignment shrinkToFit="0" vertical="bottom" wrapText="1"/>
    </xf>
    <xf borderId="4" fillId="0" fontId="21" numFmtId="0" xfId="0" applyAlignment="1" applyBorder="1" applyFont="1">
      <alignment horizontal="left" readingOrder="0"/>
    </xf>
    <xf borderId="0" fillId="0" fontId="4" numFmtId="0" xfId="0" applyAlignment="1" applyFont="1">
      <alignment horizontal="left" readingOrder="0"/>
    </xf>
    <xf borderId="0" fillId="0" fontId="4" numFmtId="0" xfId="0" applyAlignment="1" applyFont="1">
      <alignment horizontal="left" readingOrder="0" shrinkToFit="0" wrapText="1"/>
    </xf>
    <xf borderId="0" fillId="0" fontId="4" numFmtId="165" xfId="0" applyAlignment="1" applyFont="1" applyNumberFormat="1">
      <alignment horizontal="right" readingOrder="0" vertical="center"/>
    </xf>
    <xf borderId="0" fillId="0" fontId="4" numFmtId="0" xfId="0" applyAlignment="1" applyFont="1">
      <alignment horizontal="right" readingOrder="0" vertical="center"/>
    </xf>
    <xf borderId="4" fillId="0" fontId="4" numFmtId="0" xfId="0" applyAlignment="1" applyBorder="1" applyFont="1">
      <alignment readingOrder="0" shrinkToFit="0" vertical="center" wrapText="1"/>
    </xf>
    <xf borderId="3" fillId="0" fontId="4" numFmtId="0" xfId="0" applyAlignment="1" applyBorder="1" applyFont="1">
      <alignment readingOrder="0" shrinkToFit="0" vertical="center" wrapText="1"/>
    </xf>
    <xf borderId="0" fillId="0" fontId="6" numFmtId="0" xfId="0" applyAlignment="1" applyFont="1">
      <alignment readingOrder="0" shrinkToFit="0" vertical="center" wrapText="1"/>
    </xf>
    <xf borderId="0" fillId="0" fontId="21" numFmtId="0" xfId="0" applyAlignment="1" applyFont="1">
      <alignment horizontal="left" readingOrder="0"/>
    </xf>
    <xf borderId="3" fillId="0" fontId="6" numFmtId="0" xfId="0" applyAlignment="1" applyBorder="1" applyFont="1">
      <alignment horizontal="center" shrinkToFit="0" vertical="center" wrapText="1"/>
    </xf>
    <xf borderId="0" fillId="0" fontId="9" numFmtId="0" xfId="0" applyAlignment="1" applyFont="1">
      <alignment readingOrder="0"/>
    </xf>
    <xf borderId="0" fillId="0" fontId="4" numFmtId="0" xfId="0" applyAlignment="1" applyFont="1">
      <alignment horizontal="left" readingOrder="0" vertical="bottom"/>
    </xf>
    <xf borderId="0" fillId="0" fontId="4" numFmtId="169" xfId="0" applyAlignment="1" applyFont="1" applyNumberFormat="1">
      <alignment horizontal="right" readingOrder="0" vertical="bottom"/>
    </xf>
    <xf borderId="0" fillId="0" fontId="6" numFmtId="0" xfId="0" applyAlignment="1" applyFont="1">
      <alignment shrinkToFit="0" vertical="bottom" wrapText="1"/>
    </xf>
    <xf borderId="0" fillId="0" fontId="5" numFmtId="0" xfId="0" applyAlignment="1" applyFont="1">
      <alignment vertical="bottom"/>
    </xf>
    <xf borderId="0" fillId="0" fontId="6" numFmtId="0" xfId="0" applyAlignment="1" applyFont="1">
      <alignment readingOrder="0" shrinkToFit="0" wrapText="1"/>
    </xf>
    <xf borderId="0" fillId="0" fontId="4" numFmtId="166" xfId="0" applyAlignment="1" applyFont="1" applyNumberFormat="1">
      <alignment horizontal="right" vertical="bottom"/>
    </xf>
    <xf borderId="0" fillId="0" fontId="6" numFmtId="0" xfId="0" applyAlignment="1" applyFont="1">
      <alignment shrinkToFit="0" wrapText="1"/>
    </xf>
    <xf borderId="0" fillId="0" fontId="4" numFmtId="0" xfId="0" applyAlignment="1" applyFont="1">
      <alignment horizontal="right" readingOrder="0" shrinkToFit="0" vertical="bottom" wrapText="0"/>
    </xf>
    <xf borderId="0" fillId="0" fontId="4" numFmtId="0" xfId="0" applyAlignment="1" applyFont="1">
      <alignment horizontal="left" readingOrder="0" shrinkToFit="0" vertical="bottom" wrapText="1"/>
    </xf>
    <xf borderId="3" fillId="0" fontId="4" numFmtId="0" xfId="0" applyAlignment="1" applyBorder="1" applyFont="1">
      <alignment horizontal="left" readingOrder="0" shrinkToFit="0" vertical="bottom" wrapText="1"/>
    </xf>
    <xf borderId="0" fillId="0" fontId="4" numFmtId="0" xfId="0" applyAlignment="1" applyFont="1">
      <alignment horizontal="left" shrinkToFit="0" vertical="bottom" wrapText="1"/>
    </xf>
    <xf borderId="0" fillId="0" fontId="6" numFmtId="0" xfId="0" applyAlignment="1" applyFont="1">
      <alignment horizontal="left" shrinkToFit="0" vertical="center" wrapText="1"/>
    </xf>
    <xf borderId="0" fillId="0" fontId="4" numFmtId="0" xfId="0" applyAlignment="1" applyFont="1">
      <alignment horizontal="right" readingOrder="0" shrinkToFit="0" vertical="center" wrapText="0"/>
    </xf>
    <xf borderId="0" fillId="0" fontId="4" numFmtId="0" xfId="0" applyAlignment="1" applyFont="1">
      <alignment horizontal="left" readingOrder="0" shrinkToFit="0" vertical="center" wrapText="1"/>
    </xf>
    <xf borderId="3" fillId="0" fontId="4" numFmtId="0" xfId="0" applyAlignment="1" applyBorder="1" applyFont="1">
      <alignment horizontal="left" readingOrder="0" shrinkToFit="0" vertical="center" wrapText="1"/>
    </xf>
    <xf borderId="0" fillId="0" fontId="4" numFmtId="166" xfId="0" applyAlignment="1" applyFont="1" applyNumberFormat="1">
      <alignment horizontal="right" readingOrder="0" vertical="center"/>
    </xf>
    <xf borderId="10" fillId="0" fontId="4" numFmtId="0" xfId="0" applyAlignment="1" applyBorder="1" applyFont="1">
      <alignment horizontal="right" readingOrder="0" shrinkToFit="0" vertical="bottom" wrapText="0"/>
    </xf>
    <xf borderId="5" fillId="0" fontId="6" numFmtId="0" xfId="0" applyAlignment="1" applyBorder="1" applyFont="1">
      <alignment readingOrder="0" shrinkToFit="0" wrapText="1"/>
    </xf>
    <xf borderId="6" fillId="19" fontId="10" numFmtId="0" xfId="0" applyAlignment="1" applyBorder="1" applyFill="1" applyFont="1">
      <alignment horizontal="center" readingOrder="0" shrinkToFit="0" vertical="center" wrapText="0"/>
    </xf>
    <xf borderId="1" fillId="20" fontId="2" numFmtId="0" xfId="0" applyAlignment="1" applyBorder="1" applyFill="1" applyFont="1">
      <alignment horizontal="center" readingOrder="0" shrinkToFit="0" vertical="center" wrapText="1"/>
    </xf>
    <xf borderId="5" fillId="0" fontId="5" numFmtId="0" xfId="0" applyBorder="1" applyFont="1"/>
    <xf borderId="5" fillId="0" fontId="4" numFmtId="0" xfId="0" applyAlignment="1" applyBorder="1" applyFont="1">
      <alignment readingOrder="0" shrinkToFit="0" vertical="bottom" wrapText="1"/>
    </xf>
    <xf borderId="0" fillId="0" fontId="1" numFmtId="0" xfId="0" applyFont="1"/>
    <xf borderId="3" fillId="2" fontId="5" numFmtId="0" xfId="0" applyAlignment="1" applyBorder="1" applyFont="1">
      <alignment readingOrder="0"/>
    </xf>
    <xf borderId="3" fillId="2" fontId="5" numFmtId="0" xfId="0" applyBorder="1" applyFont="1"/>
    <xf borderId="0" fillId="2" fontId="5" numFmtId="0" xfId="0" applyAlignment="1" applyFont="1">
      <alignment readingOrder="0"/>
    </xf>
    <xf borderId="0" fillId="2" fontId="5" numFmtId="0" xfId="0" applyFont="1"/>
    <xf borderId="3" fillId="2" fontId="4" numFmtId="168" xfId="0" applyAlignment="1" applyBorder="1" applyFont="1" applyNumberFormat="1">
      <alignment horizontal="left" readingOrder="0" shrinkToFit="0" vertical="bottom" wrapText="1"/>
    </xf>
    <xf borderId="0" fillId="2" fontId="6" numFmtId="0" xfId="0" applyAlignment="1" applyFont="1">
      <alignment horizontal="left" readingOrder="0" shrinkToFit="0" vertical="center" wrapText="1"/>
    </xf>
    <xf borderId="4" fillId="2" fontId="6" numFmtId="0" xfId="0" applyAlignment="1" applyBorder="1" applyFont="1">
      <alignment horizontal="left" shrinkToFit="0" vertical="center" wrapText="1"/>
    </xf>
    <xf borderId="4" fillId="2" fontId="21" numFmtId="0" xfId="0" applyAlignment="1" applyBorder="1" applyFont="1">
      <alignment horizontal="left" readingOrder="0"/>
    </xf>
    <xf borderId="0" fillId="2" fontId="4" numFmtId="0" xfId="0" applyAlignment="1" applyFont="1">
      <alignment horizontal="left" readingOrder="0"/>
    </xf>
    <xf borderId="0" fillId="2" fontId="4" numFmtId="0" xfId="0" applyAlignment="1" applyFont="1">
      <alignment horizontal="left" readingOrder="0" shrinkToFit="0" wrapText="1"/>
    </xf>
    <xf borderId="0" fillId="2" fontId="4" numFmtId="165" xfId="0" applyAlignment="1" applyFont="1" applyNumberFormat="1">
      <alignment horizontal="right" readingOrder="0" vertical="center"/>
    </xf>
    <xf borderId="0" fillId="2" fontId="4" numFmtId="0" xfId="0" applyAlignment="1" applyFont="1">
      <alignment horizontal="right" readingOrder="0" vertical="center"/>
    </xf>
    <xf borderId="4" fillId="2" fontId="4" numFmtId="0" xfId="0" applyAlignment="1" applyBorder="1" applyFont="1">
      <alignment readingOrder="0" shrinkToFit="0" vertical="center" wrapText="1"/>
    </xf>
    <xf borderId="3" fillId="2" fontId="4" numFmtId="0" xfId="0" applyAlignment="1" applyBorder="1" applyFont="1">
      <alignment readingOrder="0" shrinkToFit="0" vertical="center" wrapText="1"/>
    </xf>
    <xf borderId="0" fillId="2" fontId="6" numFmtId="0" xfId="0" applyAlignment="1" applyFont="1">
      <alignment readingOrder="0" shrinkToFit="0" vertical="center" wrapText="1"/>
    </xf>
    <xf borderId="0" fillId="2" fontId="21" numFmtId="0" xfId="0" applyAlignment="1" applyFont="1">
      <alignment horizontal="left" readingOrder="0"/>
    </xf>
    <xf borderId="0" fillId="2" fontId="9" numFmtId="0" xfId="0" applyAlignment="1" applyFont="1">
      <alignment readingOrder="0"/>
    </xf>
    <xf borderId="4" fillId="4" fontId="4" numFmtId="0" xfId="0" applyAlignment="1" applyBorder="1" applyFont="1">
      <alignment horizontal="left" readingOrder="0"/>
    </xf>
    <xf borderId="0" fillId="4" fontId="6" numFmtId="0" xfId="0" applyAlignment="1" applyFont="1">
      <alignment horizontal="left" readingOrder="0" shrinkToFit="0" vertical="center" wrapText="1"/>
    </xf>
    <xf borderId="4" fillId="4" fontId="6" numFmtId="0" xfId="0" applyAlignment="1" applyBorder="1" applyFont="1">
      <alignment horizontal="left" shrinkToFit="0" vertical="center" wrapText="1"/>
    </xf>
    <xf borderId="5" fillId="2" fontId="21" numFmtId="0" xfId="0" applyAlignment="1" applyBorder="1" applyFont="1">
      <alignment horizontal="left" readingOrder="0"/>
    </xf>
    <xf borderId="5" fillId="2" fontId="4" numFmtId="0" xfId="0" applyAlignment="1" applyBorder="1" applyFont="1">
      <alignment horizontal="left" readingOrder="0"/>
    </xf>
    <xf borderId="3" fillId="2" fontId="4" numFmtId="0" xfId="0" applyAlignment="1" applyBorder="1" applyFont="1">
      <alignment horizontal="left" readingOrder="0"/>
    </xf>
    <xf borderId="6" fillId="12" fontId="10" numFmtId="0" xfId="0" applyAlignment="1" applyBorder="1" applyFont="1">
      <alignment horizontal="center" readingOrder="0" shrinkToFit="0" vertical="center" wrapText="0"/>
    </xf>
    <xf borderId="4" fillId="21" fontId="22" numFmtId="0" xfId="0" applyAlignment="1" applyBorder="1" applyFill="1" applyFont="1">
      <alignment horizontal="center" readingOrder="0" vertical="center"/>
    </xf>
    <xf borderId="11" fillId="22" fontId="23" numFmtId="49" xfId="0" applyAlignment="1" applyBorder="1" applyFill="1" applyFont="1" applyNumberFormat="1">
      <alignment shrinkToFit="0" wrapText="1"/>
    </xf>
    <xf borderId="4" fillId="0" fontId="14" numFmtId="49" xfId="0" applyAlignment="1" applyBorder="1" applyFont="1" applyNumberFormat="1">
      <alignment horizontal="left" shrinkToFit="0" vertical="center" wrapText="1"/>
    </xf>
    <xf borderId="0" fillId="0" fontId="1" numFmtId="0" xfId="0" applyAlignment="1" applyFont="1">
      <alignment readingOrder="0" vertical="center"/>
    </xf>
    <xf borderId="12" fillId="9" fontId="24" numFmtId="0" xfId="0" applyBorder="1" applyFont="1"/>
    <xf borderId="4" fillId="0" fontId="25" numFmtId="49" xfId="0" applyAlignment="1" applyBorder="1" applyFont="1" applyNumberFormat="1">
      <alignment horizontal="left" vertical="center"/>
    </xf>
    <xf borderId="12" fillId="9" fontId="26" numFmtId="49" xfId="0" applyBorder="1" applyFont="1" applyNumberFormat="1"/>
    <xf borderId="4" fillId="0" fontId="25" numFmtId="0" xfId="0" applyAlignment="1" applyBorder="1" applyFont="1">
      <alignment vertical="center"/>
    </xf>
    <xf borderId="4" fillId="4" fontId="0" numFmtId="0" xfId="0" applyAlignment="1" applyBorder="1" applyFont="1">
      <alignment horizontal="left"/>
    </xf>
    <xf borderId="4" fillId="0" fontId="14" numFmtId="49" xfId="0" applyAlignment="1" applyBorder="1" applyFont="1" applyNumberFormat="1">
      <alignment horizontal="left" vertical="center"/>
    </xf>
    <xf borderId="4" fillId="0" fontId="25" numFmtId="0" xfId="0" applyAlignment="1" applyBorder="1" applyFont="1">
      <alignment horizontal="left" vertical="center"/>
    </xf>
    <xf borderId="0" fillId="0" fontId="25" numFmtId="0" xfId="0" applyAlignment="1" applyFont="1">
      <alignment horizontal="left" vertical="center"/>
    </xf>
    <xf borderId="12" fillId="9" fontId="27" numFmtId="0" xfId="0" applyBorder="1" applyFont="1"/>
    <xf borderId="13" fillId="0" fontId="25" numFmtId="0" xfId="0" applyAlignment="1" applyBorder="1" applyFont="1">
      <alignment horizontal="left" vertical="center"/>
    </xf>
    <xf borderId="13" fillId="0" fontId="25" numFmtId="0" xfId="0" applyAlignment="1" applyBorder="1" applyFont="1">
      <alignment vertical="center"/>
    </xf>
    <xf borderId="14" fillId="9" fontId="27" numFmtId="0" xfId="0" applyBorder="1" applyFont="1"/>
    <xf borderId="15" fillId="0" fontId="25" numFmtId="49" xfId="0" applyAlignment="1" applyBorder="1" applyFont="1" applyNumberFormat="1">
      <alignment horizontal="left" vertical="center"/>
    </xf>
    <xf borderId="15" fillId="0" fontId="25" numFmtId="0" xfId="0" applyAlignment="1" applyBorder="1" applyFont="1">
      <alignment vertical="center"/>
    </xf>
    <xf borderId="15" fillId="0" fontId="25" numFmtId="0" xfId="0" applyAlignment="1" applyBorder="1" applyFont="1">
      <alignment horizontal="left" vertical="center"/>
    </xf>
    <xf borderId="4" fillId="0" fontId="1" numFmtId="0" xfId="0" applyBorder="1" applyFont="1"/>
    <xf borderId="4" fillId="0" fontId="1" numFmtId="49" xfId="0" applyAlignment="1" applyBorder="1" applyFont="1" applyNumberFormat="1">
      <alignment horizontal="left" vertical="center"/>
    </xf>
    <xf borderId="4" fillId="4" fontId="25" numFmtId="0" xfId="0" applyAlignment="1" applyBorder="1" applyFont="1">
      <alignment horizontal="left" vertical="center"/>
    </xf>
    <xf borderId="4" fillId="4" fontId="0" numFmtId="0" xfId="0" applyAlignment="1" applyBorder="1" applyFont="1">
      <alignment horizontal="left" vertical="center"/>
    </xf>
    <xf borderId="4" fillId="0" fontId="1" numFmtId="49" xfId="0" applyBorder="1" applyFont="1" applyNumberFormat="1"/>
    <xf borderId="0" fillId="0" fontId="25" numFmtId="49" xfId="0" applyAlignment="1" applyFont="1" applyNumberFormat="1">
      <alignment horizontal="left" vertical="center"/>
    </xf>
    <xf borderId="0" fillId="0" fontId="28" numFmtId="49" xfId="0" applyAlignment="1" applyFont="1" applyNumberFormat="1">
      <alignment horizontal="left" vertical="center"/>
    </xf>
  </cellXfs>
  <cellStyles count="1">
    <cellStyle xfId="0" name="Normal" builtinId="0"/>
  </cellStyles>
  <dxfs count="2">
    <dxf>
      <font/>
      <fill>
        <patternFill patternType="solid">
          <fgColor rgb="FFB7E1CD"/>
          <bgColor rgb="FFB7E1CD"/>
        </patternFill>
      </fill>
      <border/>
    </dxf>
    <dxf>
      <font/>
      <fill>
        <patternFill patternType="solid">
          <fgColor rgb="FFFF9900"/>
          <bgColor rgb="FFFF9900"/>
        </patternFill>
      </fill>
      <border/>
    </dxf>
  </dxfs>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Task id="{9e394f98-705a-4eb1-8882-b1b8898b83d2}">
    <Anchor>
      <Comment id="{42129653-3b99-4247-947e-9ed961c18672}"/>
    </Anchor>
    <History>
      <Event time="2025-10-23T07:32:02.00" id="{63eaa690-4286-4847-b9cb-7a7113dab022}">
        <Attribution userId="placeholder@email.com" userName="Nura StudioGem" userProvider="google-sheets"/>
        <Anchor>
          <Comment id="{42129653-3b99-4247-947e-9ed961c18672}"/>
        </Anchor>
        <Create/>
      </Event>
      <Event time="2025-10-23T07:32:02.00" id="{e1e1fafb-c3c6-43e7-a5fa-e87ecd671900}">
        <Attribution userId="placeholder@email.com" userName="Nura StudioGem" userProvider="google-sheets"/>
        <Anchor>
          <Comment id="{42129653-3b99-4247-947e-9ed961c18672}"/>
        </Anchor>
        <Assign userId="gaetano@studio-gem.it" userName="gaetano@studio-gem.it" userProvider="google-sheets"/>
      </Event>
    </History>
  </Task>
  <Task id="{3b395bf3-d20d-4722-b4ae-7faac2098c4c}">
    <Anchor>
      <Comment id="{ce925525-524b-4c24-a9ef-3615b7be01b1}"/>
    </Anchor>
    <History>
      <Event time="2024-08-30T08:29:41.00" id="{4d87880c-2971-4555-85f6-3ae02f0e6657}">
        <Attribution userId="placeholder@email.com" userName="Gaetano Ambrosio" userProvider="google-sheets"/>
        <Anchor>
          <Comment id="{ce925525-524b-4c24-a9ef-3615b7be01b1}"/>
        </Anchor>
        <Create/>
      </Event>
      <Event time="2024-08-30T08:29:41.00" id="{c3fd6ea3-dfe9-4903-bbf2-457c7a2e696d}">
        <Attribution userId="placeholder@email.com" userName="Gaetano Ambrosio" userProvider="google-sheets"/>
        <Anchor>
          <Comment id="{ce925525-524b-4c24-a9ef-3615b7be01b1}"/>
        </Anchor>
        <Assign userId="massimiliano@studio-gem.it" userName="massimiliano@studio-gem.it" userProvider="google-sheets"/>
      </Event>
    </History>
  </Task>
  <Task id="{1e4503ff-8088-455d-974f-abe7b7f2813a}">
    <Anchor>
      <Comment id="{f5e57f5a-911a-401d-9c11-767a5743a343}"/>
    </Anchor>
    <History>
      <Event time="2025-09-16T16:33:40.00" id="{cd7a2136-f2e9-46f4-ada7-62b46dc09509}">
        <Attribution userId="placeholder@email.com" userName="Nura StudioGem" userProvider="google-sheets"/>
        <Anchor>
          <Comment id="{f5e57f5a-911a-401d-9c11-767a5743a343}"/>
        </Anchor>
        <Create/>
      </Event>
      <Event time="2025-09-16T16:33:40.00" id="{7384bc07-f06b-468d-9512-2dad350a8b26}">
        <Attribution userId="placeholder@email.com" userName="Nura StudioGem" userProvider="google-sheets"/>
        <Anchor>
          <Comment id="{f5e57f5a-911a-401d-9c11-767a5743a343}"/>
        </Anchor>
        <Assign userId="gaetano@studio-gem.it" userName="gaetano@studio-gem.it"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ssimiliano@studio-gem.it" id="{8bec102f-216b-405c-907e-d1c5201efcdc}" userId="massimiliano@studio-gem.it" providerId="google-sheets"/>
  <x18tc:person displayName="Estefany Gem" id="{14df4d09-bb0d-49d3-b702-9572245c7ac6}" providerId="google-sheets"/>
  <x18tc:person displayName="Massimiliano Gem" id="{8afbde32-54fe-4bb8-8e7f-9ed2fae66f93}" providerId="google-sheets"/>
  <x18tc:person displayName="gaetano@studio-gem.it" id="{97d8857e-a4d4-4a92-bd04-f5d180281462}" userId="gaetano@studio-gem.it" providerId="google-sheets"/>
  <x18tc:person displayName="Joel gem" id="{0f7fe01a-9e18-4ac9-840b-c82f60b3ed8f}" providerId="google-sheets"/>
  <x18tc:person displayName="giuditta@studio-gem.it" id="{55ed6b1c-080f-4bbc-858b-cf4062bbc8ed}" userId="giuditta@studio-gem.it" providerId="google-sheets"/>
  <x18tc:person displayName="gaechacha@gmail.com" id="{dc93c780-efeb-418d-b31e-1f2879923706}" userId="gaechacha@gmail.com" providerId="google-sheets"/>
  <x18tc:person displayName="elisalsa66@gmail.com" id="{e3e0a3b0-6ada-4714-85d6-5668646a9de0}" userId="elisalsa66@gmail.com" providerId="google-sheets"/>
  <x18tc:person displayName="Gaetano Ambrosio" id="{e2b3dc2f-ec3a-4d00-b19b-20b1bc78ff99}" providerId="google-sheets"/>
  <x18tc:person displayName="andrea gem" id="{3c1dfdab-eeaf-483a-b3d9-a17644231b32}" providerId="google-sheets"/>
  <x18tc:person displayName="Elisa Arrivabene" id="{2cdbbf09-cff8-4afa-bb69-5fc3f16ffc5d}" providerId="google-sheets"/>
  <x18tc:person displayName="Nura StudioGem" id="{4ad9fd48-50fd-440e-bc74-f212f7472416}" providerId="google-sheets"/>
  <x18tc:person displayName="Giuditta Gem" id="{4ff0fa3c-752c-465a-b8e3-dbbf3038336b}" providerId="google-sheets"/>
  <x18tc:person displayName="Sara Jannelli SG" id="{e8eebbe9-9cb9-4e40-b857-038bd22aa4ac}" providerId="google-sheets"/>
  <x18tc:person displayName="santo@studio-gem.it" id="{71674694-3793-47df-a2d2-2bee831030ec}" userId="santo@studio-gem.it"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3-07T14:55:39.00" personId="{4ff0fa3c-752c-465a-b8e3-dbbf3038336b}" id="{56f93511-c667-4ee2-9fd6-aae8495f7d50}" done="0">
    <x18tc:text xml:space="preserve">lei era iscritta a dicarlolun20 aveva pagato 550. € 360 messi nel 1 quadr. di cerchio e la rimanente cifra di € 190 in questo corso</x18tc:text>
  </x18tc:threadedComment>
  <x18tc:threadedComment ref="A1" dT="2021-11-04T12:23:44.00" personId="{e2b3dc2f-ec3a-4d00-b19b-20b1bc78ff99}" id="{18112b84-7b24-41bf-98be-7667a103e745}" done="1">
    <x18tc:text xml:space="preserve">aggiungere tendina nome segreteria</x18tc:text>
  </x18tc:threadedComment>
  <x18tc:threadedComment ref="A1" dT="2021-11-25T16:53:31.00" personId="{14df4d09-bb0d-49d3-b702-9572245c7ac6}" id="{18312c3a-7bf7-427f-9765-cec4285d5d26}" done="1">
    <x18tc:text xml:space="preserve">ha pagato 360€</x18tc:text>
  </x18tc:threadedComment>
  <x18tc:threadedComment ref="E6" dT="2025-09-12T11:21:16.00" personId="{4ff0fa3c-752c-465a-b8e3-dbbf3038336b}" id="{98781755-9607-4756-8463-cb1cb767496f}" done="0">
    <x18tc:text xml:space="preserve">inviata rettifica via mail 12/09</x18tc:text>
  </x18tc:threadedComment>
  <x18tc:threadedComment ref="A1" dT="2021-12-13T15:15:35.00" personId="{e8eebbe9-9cb9-4e40-b857-038bd22aa4ac}" id="{86689c9b-cce2-475e-9702-33673eae03a1}" done="1">
    <x18tc:text xml:space="preserve">CHIEDERE CONFERMA (JANIN)</x18tc:text>
  </x18tc:threadedComment>
  <x18tc:threadedComment ref="A1" dT="2023-02-28T14:32:33.00" personId="{14df4d09-bb0d-49d3-b702-9572245c7ac6}" id="{26842077-8097-40ca-9507-4695ad0bd75c}" done="0">
    <x18tc:text xml:space="preserve">NON PUO' PIU' FREQUENTARE, LA MAMMA FARà AL POSTO SUO UN CORSO DI PILATES (GIAD)
IL 03/10/2022 HA PAGATO 360</x18tc:text>
  </x18tc:threadedComment>
  <x18tc:threadedComment ref="A1" dT="2024-08-30T08:18:44.00" personId="{e2b3dc2f-ec3a-4d00-b19b-20b1bc78ff99}" id="{94f973a3-581c-4ea6-a6cd-0276617de67e}" done="1">
    <x18tc:text xml:space="preserve">@massimiliano@studio-gem.it ciao, è sicuro questo spostamento?</x18tc:text>
    <x18tc:mentions>
      <x18tc:mention mentionpersonId="{8bec102f-216b-405c-907e-d1c5201efcdc}" mentionId="{7a4c71c2-d671-47b1-b0c5-a0bbb17e515b}" startIndex="0" length="27"/>
    </x18tc:mentions>
  </x18tc:threadedComment>
  <x18tc:threadedComment ref="A1" dT="2024-08-30T08:19:58.00" personId="{8afbde32-54fe-4bb8-8e7f-9ed2fae66f93}" id="{fdc3d33e-1ad7-4874-a6ea-7f4867e79daa}" parentId="{94f973a3-581c-4ea6-a6cd-0276617de67e}">
    <x18tc:text xml:space="preserve">si sicuro</x18tc:text>
  </x18tc:threadedComment>
  <x18tc:threadedComment ref="A1" dT="2024-08-30T08:21:31.00" personId="{8afbde32-54fe-4bb8-8e7f-9ed2fae66f93}" id="{b404e336-6d37-4241-a58c-4eb22b825a6e}" parentId="{94f973a3-581c-4ea6-a6cd-0276617de67e}">
    <x18tc:text xml:space="preserve">mi sono dimenticato di aggiungere altri orari</x18tc:text>
  </x18tc:threadedComment>
  <x18tc:threadedComment ref="A1" dT="2024-08-30T08:23:45.00" personId="{e2b3dc2f-ec3a-4d00-b19b-20b1bc78ff99}" id="{1f43ac2e-6734-423e-96a9-7c47ce2a1a55}" parentId="{94f973a3-581c-4ea6-a6cd-0276617de67e}">
    <x18tc:text xml:space="preserve">ok era solo per sapere</x18tc:text>
  </x18tc:threadedComment>
  <x18tc:threadedComment ref="A1" dT="2024-08-30T08:26:01.00" personId="{8afbde32-54fe-4bb8-8e7f-9ed2fae66f93}" id="{f2f5fe76-3471-418f-9cb2-454fc6f82944}" parentId="{94f973a3-581c-4ea6-a6cd-0276617de67e}">
    <x18tc:text xml:space="preserve">@gaechacha@gmail.com prova per slack</x18tc:text>
    <x18tc:mentions>
      <x18tc:mention mentionpersonId="{dc93c780-efeb-418d-b31e-1f2879923706}" mentionId="{4ddf1343-4720-4db7-8783-e7ce7679c939}" startIndex="0" length="20"/>
    </x18tc:mentions>
  </x18tc:threadedComment>
  <x18tc:threadedComment ref="B436" dT="2025-10-23T07:32:02.00" personId="{4ad9fd48-50fd-440e-bc74-f212f7472416}" id="{42129653-3b99-4247-947e-9ed961c18672}" done="1">
    <x18tc:text xml:space="preserve">@gaetano@studio-gem.it buongiorno Gae, puoi aggiungere il mio nome nella colonna B ? Grazie
Attività assegnata a gaetano@studio-gem.it</x18tc:text>
    <x18tc:mentions>
      <x18tc:mention mentionpersonId="{97d8857e-a4d4-4a92-bd04-f5d180281462}" mentionId="{eab5d718-15ec-467e-ad31-f5056c7e7bb2}" startIndex="0" length="22"/>
    </x18tc:mentions>
  </x18tc:threadedComment>
  <x18tc:threadedComment ref="A1" dT="2023-02-28T14:32:05.00" personId="{14df4d09-bb0d-49d3-b702-9572245c7ac6}" id="{7a219af3-d6c1-4cc7-9967-6b1958617051}" done="0">
    <x18tc:text xml:space="preserve">IL 30/06/22 HA PAGATO 245€ 1 CORSO</x18tc:text>
  </x18tc:threadedComment>
  <x18tc:threadedComment ref="A1" dT="2025-05-20T10:30:55.00" personId="{0f7fe01a-9e18-4ac9-840b-c82f60b3ed8f}" id="{4a7292a7-17be-4305-9993-1518914b00c4}" done="1">
    <x18tc:text xml:space="preserve">SMS INVIATO JOEL</x18tc:text>
  </x18tc:threadedComment>
  <x18tc:threadedComment ref="A1" dT="2024-08-30T08:29:41.00" personId="{e2b3dc2f-ec3a-4d00-b19b-20b1bc78ff99}" id="{ce925525-524b-4c24-a9ef-3615b7be01b1}" done="1">
    <x18tc:text xml:space="preserve">@massimiliano@studio-gem.it verifica staff
Attività assegnata a massimiliano@studio-gem.it</x18tc:text>
    <x18tc:mentions>
      <x18tc:mention mentionpersonId="{8bec102f-216b-405c-907e-d1c5201efcdc}" mentionId="{ff0ee7e2-0b80-46bb-a0b0-8159cdb29b63}" startIndex="0" length="27"/>
    </x18tc:mentions>
  </x18tc:threadedComment>
  <x18tc:threadedComment ref="C172" dT="2025-12-15T19:36:26.00" personId="{4ff0fa3c-752c-465a-b8e3-dbbf3038336b}" id="{1b6be685-141b-473b-909c-9d53e21c7554}" done="1">
    <x18tc:text xml:space="preserve">ALICE CENZON</x18tc:text>
  </x18tc:threadedComment>
  <x18tc:threadedComment ref="A1" dT="2020-11-18T10:31:44.00" personId="{2cdbbf09-cff8-4afa-bb69-5fc3f16ffc5d}" id="{8881233e-cc7d-4524-a15b-e6385b61000c}" done="1">
    <x18tc:text xml:space="preserve">Estrapolare e creare file dipendente</x18tc:text>
  </x18tc:threadedComment>
  <x18tc:threadedComment ref="A1" dT="2023-05-29T09:28:42.00" personId="{14df4d09-bb0d-49d3-b702-9572245c7ac6}" id="{b1f66c4e-f428-420a-9b45-3ab797bb6b3c}" done="0">
    <x18tc:text xml:space="preserve">HA PAGATO 425€ IL 20/9/22</x18tc:text>
  </x18tc:threadedComment>
  <x18tc:threadedComment ref="A1" dT="2020-11-18T10:32:19.00" personId="{2cdbbf09-cff8-4afa-bb69-5fc3f16ffc5d}" id="{72c73e62-6b6b-41fe-8ab0-c50d78ebbfcc}" done="1">
    <x18tc:text xml:space="preserve">Deve scrivere la segreteria</x18tc:text>
  </x18tc:threadedComment>
  <x18tc:threadedComment ref="A1" dT="2023-05-29T09:03:26.00" personId="{14df4d09-bb0d-49d3-b702-9572245c7ac6}" id="{efffd15a-b5e5-4d7c-885b-a743aa3ee251}" done="0">
    <x18tc:text xml:space="preserve">MANCA PARTECIPAZIONE ATHENA</x18tc:text>
  </x18tc:threadedComment>
  <x18tc:threadedComment ref="A1" dT="2021-10-06T18:12:15.00" personId="{4ff0fa3c-752c-465a-b8e3-dbbf3038336b}" id="{e5ea74b2-4614-43e0-8252-b6c1f7b96ca3}" done="0">
    <x18tc:text xml:space="preserve">cede abbonamento alla mamma Gugliada Micol che si iscrive a Nembrimer20:30</x18tc:text>
  </x18tc:threadedComment>
  <x18tc:threadedComment ref="A1" dT="2023-04-13T13:34:50.00" personId="{14df4d09-bb0d-49d3-b702-9572245c7ac6}" id="{38174c7d-92e1-4e83-ada7-0ba30703e3d5}" done="0">
    <x18tc:text xml:space="preserve">HA PAGATO 250€ IL 13/12/2022 PER UN CORSO MELEMER20 PER LEI E IL MARITO (GIFT) MA NON ERANO D'ACCORDO SI DOVEVANO SPOSTARE MA NON HANNO MAI DECISO</x18tc:text>
  </x18tc:threadedComment>
  <x18tc:threadedComment ref="A1" dT="2020-11-20T11:39:22.00" personId="{e2b3dc2f-ec3a-4d00-b19b-20b1bc78ff99}" id="{20177fc9-8823-4409-b800-cc4c2e6b3362}" done="1">
    <x18tc:text xml:space="preserve">sistemare</x18tc:text>
  </x18tc:threadedComment>
  <x18tc:threadedComment ref="A1" dT="2025-03-14T10:54:40.00" personId="{4ad9fd48-50fd-440e-bc74-f212f7472416}" id="{4d80415d-11f7-4a89-8c11-a2af4f62d1ff}" done="1">
    <x18tc:text xml:space="preserve">giuditta@studio-gem.it</x18tc:text>
  </x18tc:threadedComment>
  <x18tc:threadedComment ref="B13" dT="2025-09-16T16:33:40.00" personId="{4ad9fd48-50fd-440e-bc74-f212f7472416}" id="{f5e57f5a-911a-401d-9c11-767a5743a343}" done="0">
    <x18tc:text xml:space="preserve">@gaetano@studio-gem.it
Attività assegnata a gaetano@studio-gem.it</x18tc:text>
    <x18tc:mentions>
      <x18tc:mention mentionpersonId="{97d8857e-a4d4-4a92-bd04-f5d180281462}" mentionId="{cb4f1ddf-69c6-4f0c-b2f6-dec1372cb7c6}" startIndex="0" length="22"/>
    </x18tc:mentions>
  </x18tc:threadedComment>
  <x18tc:threadedComment ref="B13" dT="2025-09-16T16:34:06.00" personId="{4ad9fd48-50fd-440e-bc74-f212f7472416}" id="{cd19e887-f76e-42e8-ad57-f84b777403d1}" parentId="{f5e57f5a-911a-401d-9c11-767a5743a343}">
    <x18tc:text xml:space="preserve">puoi aggiungere il mio nominativo</x18tc:text>
  </x18tc:threadedComment>
  <x18tc:threadedComment ref="A1" dT="2025-03-28T09:11:44.00" personId="{4ad9fd48-50fd-440e-bc74-f212f7472416}" id="{46f8b248-eb91-400f-9f79-252608ba1913}" done="1">
    <x18tc:text xml:space="preserve">giuditta@studio-gem.it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8" dT="2024-09-28T10:29:48.00" personId="{0f7fe01a-9e18-4ac9-840b-c82f60b3ed8f}" id="{a30728d5-7cc9-4db0-acf5-9ab03e895e47}" done="1">
    <x18tc:text xml:space="preserve">2425PUGGIONIGIO20</x18tc:text>
  </x18tc:threadedComment>
  <x18tc:threadedComment ref="G18" dT="2024-09-28T10:30:19.00" personId="{0f7fe01a-9e18-4ac9-840b-c82f60b3ed8f}" id="{eff0dab9-b14f-4941-b3dd-2a6b2d7aea6f}" done="1">
    <x18tc:text xml:space="preserve">2425MIRAMGIO18</x18tc:text>
  </x18tc:threadedComment>
  <x18tc:threadedComment ref="G17" dT="2024-09-28T09:08:51.00" personId="{0f7fe01a-9e18-4ac9-840b-c82f60b3ed8f}" id="{eaa27715-2b55-47ba-9e86-929de0406694}" done="1">
    <x18tc:text xml:space="preserve">2425PUGGIONIGIO20</x18tc:text>
  </x18tc:threadedComment>
  <x18tc:threadedComment ref="G11" dT="2024-09-28T07:38:03.00" personId="{14df4d09-bb0d-49d3-b702-9572245c7ac6}" id="{01550fc3-2b80-4281-bc81-7ae2a3534f18}" done="1">
    <x18tc:text xml:space="preserve">2425MARINOVEN17</x18tc:text>
  </x18tc:threadedComment>
  <x18tc:threadedComment ref="F12" dT="2024-09-28T08:58:25.00" personId="{0f7fe01a-9e18-4ac9-840b-c82f60b3ed8f}" id="{8b565347-33c5-407d-ac6a-faf32b827398}" done="1">
    <x18tc:text xml:space="preserve">2425TODISCOSAB14</x18tc:text>
  </x18tc:threadedComment>
  <x18tc:threadedComment ref="F17" dT="2024-09-28T09:08:38.00" personId="{0f7fe01a-9e18-4ac9-840b-c82f60b3ed8f}" id="{b3f1d4de-0878-49d5-a683-50cbe43e9fe2}" done="1">
    <x18tc:text xml:space="preserve">2425PUGGIONIGIO19</x18tc:text>
  </x18tc:threadedComment>
  <x18tc:threadedComment ref="G15" dT="2024-09-28T09:04:59.00" personId="{0f7fe01a-9e18-4ac9-840b-c82f60b3ed8f}" id="{7c69969a-0e10-4860-8699-2b7f4111260c}" done="1">
    <x18tc:text xml:space="preserve">2425LUISETTOGIO20</x18tc:text>
  </x18tc:threadedComment>
  <x18tc:threadedComment ref="G16" dT="2024-09-28T09:06:00.00" personId="{0f7fe01a-9e18-4ac9-840b-c82f60b3ed8f}" id="{85581e2d-3292-427f-b993-f96a6bc1ce20}" done="1">
    <x18tc:text xml:space="preserve">2425CRUZVEN19</x18tc:text>
  </x18tc:threadedComment>
  <x18tc:threadedComment ref="G10" dT="2024-09-28T07:32:57.00" personId="{14df4d09-bb0d-49d3-b702-9572245c7ac6}" id="{1c341479-c360-482d-ba44-521460319b3b}" done="1">
    <x18tc:text xml:space="preserve">2425MARINOVEN17</x18tc:text>
  </x18tc:threadedComment>
  <x18tc:threadedComment ref="G28" dT="2024-10-15T16:49:43.00" personId="{0f7fe01a-9e18-4ac9-840b-c82f60b3ed8f}" id="{dcaac95c-3791-4691-a400-c3901c02503f}" done="1">
    <x18tc:text xml:space="preserve">2425ARUTAMER20</x18tc:text>
  </x18tc:threadedComment>
  <x18tc:threadedComment ref="F28" dT="2024-10-15T16:49:27.00" personId="{0f7fe01a-9e18-4ac9-840b-c82f60b3ed8f}" id="{a0a27a88-c00d-4390-a660-566e711f948a}" done="1">
    <x18tc:text xml:space="preserve">2425BONNIVEN20</x18tc:text>
  </x18tc:threadedComment>
  <x18tc:threadedComment ref="G26" dT="2024-10-15T16:41:51.00" personId="{0f7fe01a-9e18-4ac9-840b-c82f60b3ed8f}" id="{2c8855f1-a205-4e34-8dda-c6f650add876}" done="1">
    <x18tc:text xml:space="preserve">2425SETTIVEN19</x18tc:text>
  </x18tc:threadedComment>
  <x18tc:threadedComment ref="G25" dT="2024-10-15T16:40:55.00" personId="{0f7fe01a-9e18-4ac9-840b-c82f60b3ed8f}" id="{c55c54f3-e24e-433d-b5dc-eb2a6d34c3d6}" done="1">
    <x18tc:text xml:space="preserve">2425DUTTASAB15</x18tc:text>
  </x18tc:threadedComment>
  <x18tc:threadedComment ref="F24" dT="2024-10-07T20:29:58.00" personId="{14df4d09-bb0d-49d3-b702-9572245c7ac6}" id="{18d85e89-5ffb-4af8-8367-82c46e4a11f8}" done="1">
    <x18tc:text xml:space="preserve">2425LUISETTOMER21</x18tc:text>
  </x18tc:threadedComment>
  <x18tc:threadedComment ref="F25" dT="2024-10-15T16:40:46.00" personId="{0f7fe01a-9e18-4ac9-840b-c82f60b3ed8f}" id="{9bc9c290-cdac-43fd-9ccb-6cd0d49711e2}" done="1">
    <x18tc:text xml:space="preserve">2425DUTTASAB13</x18tc:text>
  </x18tc:threadedComment>
  <x18tc:threadedComment ref="G3" dT="2024-08-22T08:38:02.00" personId="{14df4d09-bb0d-49d3-b702-9572245c7ac6}" id="{89085165-8a54-4c27-bb58-b442b7d61aa9}" done="1">
    <x18tc:text xml:space="preserve">2425DARIENZOSAB15</x18tc:text>
  </x18tc:threadedComment>
  <x18tc:threadedComment ref="F20" dT="2024-10-03T10:33:59.00" personId="{14df4d09-bb0d-49d3-b702-9572245c7ac6}" id="{2bad3d73-db40-411c-8661-4ca6164bd8c3}" done="1">
    <x18tc:text xml:space="preserve">2425NEMBRIGIO20</x18tc:text>
  </x18tc:threadedComment>
  <x18tc:threadedComment ref="F19" dT="2024-10-03T10:33:51.00" personId="{14df4d09-bb0d-49d3-b702-9572245c7ac6}" id="{d41ed38d-1717-439c-93fb-f5a613fe5e7f}" done="1">
    <x18tc:text xml:space="preserve">2425NEMBRIGIO20</x18tc:text>
  </x18tc:threadedComment>
  <x18tc:threadedComment ref="F15" dT="2024-09-28T09:04:47.00" personId="{0f7fe01a-9e18-4ac9-840b-c82f60b3ed8f}" id="{34142849-69e5-4507-bdec-5f966437d1fb}" done="1">
    <x18tc:text xml:space="preserve">2425LUISETTOGIO21</x18tc:text>
  </x18tc:threadedComment>
  <x18tc:threadedComment ref="F23" dT="2024-10-07T20:28:44.00" personId="{14df4d09-bb0d-49d3-b702-9572245c7ac6}" id="{f9fa51f5-e8e5-4c78-b955-d850ec99febd}" done="1">
    <x18tc:text xml:space="preserve">2425LUISETTOMER21</x18tc:text>
  </x18tc:threadedComment>
  <x18tc:threadedComment ref="G29" dT="2024-10-15T16:50:31.00" personId="{0f7fe01a-9e18-4ac9-840b-c82f60b3ed8f}" id="{4b973d3b-4f8c-4adf-b2ce-8f2d23304272}" done="1">
    <x18tc:text xml:space="preserve">2425PICCIRILLOMER19</x18tc:text>
  </x18tc:threadedComment>
  <x18tc:threadedComment ref="G12" dT="2024-09-28T08:59:19.00" personId="{0f7fe01a-9e18-4ac9-840b-c82f60b3ed8f}" id="{cde174d3-ba55-4fa2-8b61-1646c0ceb773}" done="1">
    <x18tc:text xml:space="preserve">2425VASSALLOSAB14</x18tc:text>
  </x18tc:threadedComment>
  <x18tc:threadedComment ref="F29" dT="2024-10-15T16:50:20.00" personId="{0f7fe01a-9e18-4ac9-840b-c82f60b3ed8f}" id="{12fd257d-52ff-40cd-b7f5-9230e1e1958c}" done="1">
    <x18tc:text xml:space="preserve">2425PICCIRILLOSAB16</x18tc:text>
  </x18tc:threadedComment>
  <x18tc:threadedComment ref="F3" dT="2024-08-22T08:36:10.00" personId="{14df4d09-bb0d-49d3-b702-9572245c7ac6}" id="{02cdbb52-1ea3-4e42-a719-9760b13a20b2}" done="1">
    <x18tc:text xml:space="preserve">2425DARIENZOSAB14</x18tc:text>
  </x18tc:threadedComment>
  <x18tc:threadedComment ref="F13" dT="2024-09-28T09:00:51.00" personId="{0f7fe01a-9e18-4ac9-840b-c82f60b3ed8f}" id="{988078dc-3fbd-414b-ac7b-38050b5b9c58}" done="1">
    <x18tc:text xml:space="preserve">2425CRUZGIO20</x18tc:text>
  </x18tc:threadedComment>
  <x18tc:threadedComment ref="G13" dT="2024-09-28T09:01:24.00" personId="{0f7fe01a-9e18-4ac9-840b-c82f60b3ed8f}" id="{75684824-64ae-49b6-acfe-f49e2ef39514}" done="1">
    <x18tc:text xml:space="preserve">2425GARIANOGIO20</x18tc:text>
  </x18tc:threadedComment>
  <x18tc:threadedComment ref="F14" dT="2024-09-28T09:03:59.00" personId="{0f7fe01a-9e18-4ac9-840b-c82f60b3ed8f}" id="{bc2c204f-0ff8-4389-8520-fe17a28ca736}" done="1">
    <x18tc:text xml:space="preserve">2425NEMBRIGIO20</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496" dT="2024-07-03T09:11:38.00" personId="{4ad9fd48-50fd-440e-bc74-f212f7472416}" id="{e8d153b9-8e0d-4172-a7f7-fcb24fef6f26}" done="1">
    <x18tc:text xml:space="preserve">sms mandato alle persone iscritte al corso</x18tc:text>
  </x18tc:threadedComment>
  <x18tc:threadedComment ref="F495" dT="2024-06-28T14:07:41.00" personId="{4ad9fd48-50fd-440e-bc74-f212f7472416}" id="{0fb78ff9-7802-497d-b258-f1c78858dede}" done="1">
    <x18tc:text xml:space="preserve">mandato sms</x18tc:text>
  </x18tc:threadedComment>
  <x18tc:threadedComment ref="A1" dT="2020-11-18T10:32:03.00" personId="{2cdbbf09-cff8-4afa-bb69-5fc3f16ffc5d}" id="{6f655407-8c42-4d70-be9a-be77bd797c2f}" done="1">
    <x18tc:text xml:space="preserve">Deve scrivere solo Massi</x18tc:text>
  </x18tc:threadedComment>
  <x18tc:threadedComment ref="C402" dT="2024-05-16T19:30:54.00" personId="{14df4d09-bb0d-49d3-b702-9572245c7ac6}" id="{2f60a694-4f5f-48e7-8e2b-64a249c8b8e8}" done="1">
    <x18tc:text xml:space="preserve">crissa</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 dT="2023-08-14T11:21:54.00" personId="{e2b3dc2f-ec3a-4d00-b19b-20b1bc78ff99}" id="{255c1b7f-0ea1-4f68-8890-6eb2f24d929e}" done="0">
    <x18tc:text xml:space="preserve">@santo@studio-gem.it @giuditta@studio-gem.it  a cosa serve questa colonna???
@elisalsa66@gmail.com</x18tc:text>
    <x18tc:mentions>
      <x18tc:mention mentionpersonId="{71674694-3793-47df-a2d2-2bee831030ec}" mentionId="{2e6f51f1-6a3d-4352-a47a-1fe24837b902}" startIndex="0" length="20"/>
      <x18tc:mention mentionpersonId="{55ed6b1c-080f-4bbc-858b-cf4062bbc8ed}" mentionId="{7e6ef973-3844-4d51-8c32-3423df84b8d8}" startIndex="21" length="23"/>
      <x18tc:mention mentionpersonId="{e3e0a3b0-6ada-4714-85d6-5668646a9de0}" mentionId="{94c9d037-d230-48a4-bcf7-822479f98682}" startIndex="77" length="21"/>
    </x18tc:mentions>
  </x18tc:threadedComment>
  <x18tc:threadedComment ref="B30" dT="2023-12-06T14:05:46.00" personId="{3c1dfdab-eeaf-483a-b3d9-a17644231b32}" id="{250ce1d7-5d98-4fef-86ad-3faa1fce3eac}" done="0">
    <x18tc:text xml:space="preserve">IRENE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40" Type="http://schemas.openxmlformats.org/officeDocument/2006/relationships/hyperlink" Target="https://docs.google.com/spreadsheets/d/1e1lY6XsQARKf30wlhjYBQ-G5u988KOSLJb6u5C1MHVw/edit?usp=sharing" TargetMode="External"/><Relationship Id="rId42" Type="http://schemas.openxmlformats.org/officeDocument/2006/relationships/hyperlink" Target="https://docs.google.com/spreadsheets/d/1xRp6qzDSjUg1D_K3j6oqfBfjTW0nSfka_X5R5-v_QOg/edit?usp=sharing" TargetMode="External"/><Relationship Id="rId41" Type="http://schemas.openxmlformats.org/officeDocument/2006/relationships/hyperlink" Target="https://docs.google.com/spreadsheets/d/11R7KSzaE_YJU_rwEGUI7pYuVhq6MjlbRdrMcnA6Xjvg/edit?usp=sharing" TargetMode="External"/><Relationship Id="rId44" Type="http://schemas.openxmlformats.org/officeDocument/2006/relationships/hyperlink" Target="https://docs.google.com/spreadsheets/d/1u0kzu4apgox2GkBFbkwrnCdjPaNwss3kSSChYf3FlPU/edit?usp=sharing" TargetMode="External"/><Relationship Id="rId43" Type="http://schemas.openxmlformats.org/officeDocument/2006/relationships/hyperlink" Target="https://docs.google.com/spreadsheets/d/1gXCjzSaiAfGMnCXBkl9KMMeqOdroBCkQuJhlbp-gAas/edit?usp=sharing" TargetMode="External"/><Relationship Id="rId46" Type="http://schemas.openxmlformats.org/officeDocument/2006/relationships/hyperlink" Target="https://docs.google.com/spreadsheets/d/1R85XEQ4nnr9VN8fA5m8yhke-4CmlVk_X8IpkzO0ouUM/edit?usp=sharing" TargetMode="External"/><Relationship Id="rId45" Type="http://schemas.openxmlformats.org/officeDocument/2006/relationships/hyperlink" Target="https://docs.google.com/spreadsheets/d/11BV5Jv-Spo2q1RFkCMgbeJEahex-142j5Y-zlImvj2M/edit?usp=sharing" TargetMode="External"/><Relationship Id="rId107" Type="http://schemas.openxmlformats.org/officeDocument/2006/relationships/hyperlink" Target="https://docs.google.com/spreadsheets/d/1g_RvbsfphnLtp6ZGV7_oyfrjIMe4EMDbzql0Sq7UBhw/edit?usp=drivesdk" TargetMode="External"/><Relationship Id="rId106" Type="http://schemas.openxmlformats.org/officeDocument/2006/relationships/hyperlink" Target="https://docs.google.com/spreadsheets/d/1oKfjSFVTCmsvwaHtx-tcAhxPGWc7Xx62G29FYL0_Tig/edit?usp=drivesdk" TargetMode="External"/><Relationship Id="rId105" Type="http://schemas.openxmlformats.org/officeDocument/2006/relationships/hyperlink" Target="https://docs.google.com/spreadsheets/d/1eGEfYdoAcjlEvQmsjLtVM2qzjQHq4zfPwOtRXxolSzI/edit?usp=drivesdk" TargetMode="External"/><Relationship Id="rId104" Type="http://schemas.openxmlformats.org/officeDocument/2006/relationships/hyperlink" Target="https://docs.google.com/spreadsheets/d/1oa_sEJPs_FHVf23m4i_uR_42nxJ7rWii-iu42ShhFh0/edit?usp=drivesdk" TargetMode="External"/><Relationship Id="rId109" Type="http://schemas.openxmlformats.org/officeDocument/2006/relationships/hyperlink" Target="https://docs.google.com/spreadsheets/d/13m-vif0Xd60ClJzk11Rm5Nt6lvGl7EGTu-VDID4BF9k/edit?usp=drivesdk" TargetMode="External"/><Relationship Id="rId108" Type="http://schemas.openxmlformats.org/officeDocument/2006/relationships/hyperlink" Target="https://docs.google.com/spreadsheets/d/1nGR2eXIywbR9OT3uaNuCiDn3rmPA0Tp8wJob2Emmu6Q/edit?usp=drivesdk" TargetMode="External"/><Relationship Id="rId48" Type="http://schemas.openxmlformats.org/officeDocument/2006/relationships/hyperlink" Target="https://docs.google.com/spreadsheets/d/15KMmP1Vjl732i7j7OxuUchlhKrP5yvETS1EfwxmRccM/edit?usp=sharing" TargetMode="External"/><Relationship Id="rId47" Type="http://schemas.openxmlformats.org/officeDocument/2006/relationships/hyperlink" Target="https://docs.google.com/spreadsheets/d/1a6Tk_MRSk4HpAHc9W9T0D5DwDGx8b9-zeKxgeOFKgB8/edit?usp=sharing" TargetMode="External"/><Relationship Id="rId49" Type="http://schemas.openxmlformats.org/officeDocument/2006/relationships/hyperlink" Target="https://docs.google.com/spreadsheets/d/1CQ2t-B8fqf_DsTpo-v5lWuNbCkoLhhiwyqGfPJtJZpY/edit?usp=sharing" TargetMode="External"/><Relationship Id="rId103" Type="http://schemas.openxmlformats.org/officeDocument/2006/relationships/hyperlink" Target="https://docs.google.com/spreadsheets/d/1B-X9vhrCRG4uGB4ISqS0F4ByxCkYQExKlk2_N18w7Q4/edit?usp=drivesdk" TargetMode="External"/><Relationship Id="rId102" Type="http://schemas.openxmlformats.org/officeDocument/2006/relationships/hyperlink" Target="https://docs.google.com/spreadsheets/d/16nFUsGeauNlq45uNYgIbYxzGyV9Q7tDDrwJjyRP6xA8/edit?usp=drivesdk" TargetMode="External"/><Relationship Id="rId101" Type="http://schemas.openxmlformats.org/officeDocument/2006/relationships/hyperlink" Target="https://docs.google.com/spreadsheets/d/1GscA5uLAIFlebkBQCR_3Ou0t7QGVTThrM7hv1P1GBC0/edit?usp=drivesdk" TargetMode="External"/><Relationship Id="rId100" Type="http://schemas.openxmlformats.org/officeDocument/2006/relationships/hyperlink" Target="https://docs.google.com/spreadsheets/d/1vI1w4kb5yLOe_xsuNiaZW-8yHQHXotD2kd3lZ3haQ98/edit?usp=drivesdk" TargetMode="External"/><Relationship Id="rId31" Type="http://schemas.openxmlformats.org/officeDocument/2006/relationships/hyperlink" Target="https://docs.google.com/spreadsheets/d/1YK_28C1m0nRBNIRPNebFDEXL4L8_pXYCUefhkwCQ_gI/edit?usp=sharing" TargetMode="External"/><Relationship Id="rId30" Type="http://schemas.openxmlformats.org/officeDocument/2006/relationships/hyperlink" Target="https://docs.google.com/spreadsheets/d/1vQuuIZwiVuo_vwGad5YtcZTekXnT84YcD3HD8zGWftg/edit?usp=sharing" TargetMode="External"/><Relationship Id="rId33" Type="http://schemas.openxmlformats.org/officeDocument/2006/relationships/hyperlink" Target="https://docs.google.com/spreadsheets/d/1qq6jtdLCSg-D-yDdatH-PBcqV_JJ_6NHSk7hSMR8RG4/edit?usp=sharing" TargetMode="External"/><Relationship Id="rId32" Type="http://schemas.openxmlformats.org/officeDocument/2006/relationships/hyperlink" Target="https://docs.google.com/spreadsheets/d/15boojvjooVV4VFyQrUsITmvusysXOSDYw0wO_Rnfrzg/edit?usp=sharing" TargetMode="External"/><Relationship Id="rId35" Type="http://schemas.openxmlformats.org/officeDocument/2006/relationships/hyperlink" Target="https://docs.google.com/spreadsheets/d/1BGi5gwoGHzU7JwtqlAd_LIVBLMkzBAH59ygY2U3ZrkU/edit?usp=sharing" TargetMode="External"/><Relationship Id="rId34" Type="http://schemas.openxmlformats.org/officeDocument/2006/relationships/hyperlink" Target="https://docs.google.com/spreadsheets/d/1BCqBK2K3gxxrUb0WlEDsRwXFiAwAJIOilTnkz_i8OQo/edit?usp=sharing" TargetMode="External"/><Relationship Id="rId37" Type="http://schemas.openxmlformats.org/officeDocument/2006/relationships/hyperlink" Target="https://docs.google.com/spreadsheets/d/1hqnZ7IVkf_s4mQ4AX1qb6U5f5WfKQTgQalSP5CEd8iI/edit?usp=sharing" TargetMode="External"/><Relationship Id="rId36" Type="http://schemas.openxmlformats.org/officeDocument/2006/relationships/hyperlink" Target="https://docs.google.com/spreadsheets/d/1yiNj2-Ymiuphg4xlKWzn4dBQ12E-Ob12O9SSTCZr6-I/edit?usp=sharing" TargetMode="External"/><Relationship Id="rId39" Type="http://schemas.openxmlformats.org/officeDocument/2006/relationships/hyperlink" Target="https://docs.google.com/spreadsheets/d/1-iRZJMDY2jhNLC-9LzZnBvaRhvUDN8l90aS9dU1DUPw/edit?usp=sharing" TargetMode="External"/><Relationship Id="rId38" Type="http://schemas.openxmlformats.org/officeDocument/2006/relationships/hyperlink" Target="https://docs.google.com/spreadsheets/d/1rWOPtD8a_jjsRLmFIdVPerNxT-GpZbudk3qpQFQmTmE/edit?usp=sharing" TargetMode="External"/><Relationship Id="rId20" Type="http://schemas.openxmlformats.org/officeDocument/2006/relationships/hyperlink" Target="https://docs.google.com/spreadsheets/d/1cJjgqBD_KkCXTCkikv7nSsVMZMtT5WjW9zJOLvRlZF4/edit?usp=sharing" TargetMode="External"/><Relationship Id="rId22" Type="http://schemas.openxmlformats.org/officeDocument/2006/relationships/hyperlink" Target="https://docs.google.com/spreadsheets/d/1H8CDutZuSwBJQL7Ij82yUaTi38M7ixOnL7jmEs9blLc/edit?usp=sharing" TargetMode="External"/><Relationship Id="rId21" Type="http://schemas.openxmlformats.org/officeDocument/2006/relationships/hyperlink" Target="https://docs.google.com/spreadsheets/d/19k0sG4HykUDbUujqM9tmTI7XV1RmbGFxjLfKbfRf-mU/edit?usp=sharing" TargetMode="External"/><Relationship Id="rId24" Type="http://schemas.openxmlformats.org/officeDocument/2006/relationships/hyperlink" Target="https://docs.google.com/spreadsheets/d/1bqo7WKTJpYGI85uCdvH4IezUjaVIvT8G8ZF7-rwLkYw/edit?usp=sharing" TargetMode="External"/><Relationship Id="rId23" Type="http://schemas.openxmlformats.org/officeDocument/2006/relationships/hyperlink" Target="https://docs.google.com/spreadsheets/d/1cWTc76KPGr2xS_GdjubSWcTXaTc4-FzF2p5wYasBXPM/edit?usp=sharing" TargetMode="External"/><Relationship Id="rId129" Type="http://schemas.openxmlformats.org/officeDocument/2006/relationships/hyperlink" Target="https://docs.google.com/spreadsheets/d/1FwQcggK7W0IY8QPhFYkJt7EU0DntihM8qGWDyHaySWk/edit?usp=drivesdk" TargetMode="External"/><Relationship Id="rId128" Type="http://schemas.openxmlformats.org/officeDocument/2006/relationships/hyperlink" Target="https://docs.google.com/spreadsheets/d/1sgRWt7f5CmMeSxFkbYYfpM0Td7fLSOgqw-mrrMHJNpQ/edit?usp=drivesdk" TargetMode="External"/><Relationship Id="rId127" Type="http://schemas.openxmlformats.org/officeDocument/2006/relationships/hyperlink" Target="https://docs.google.com/spreadsheets/d/1FHEPkj--kgcktqxbKZt-LVvOiDtcSf7sl-WwVbe03ts/edit?usp=drivesdk" TargetMode="External"/><Relationship Id="rId126" Type="http://schemas.openxmlformats.org/officeDocument/2006/relationships/hyperlink" Target="https://docs.google.com/spreadsheets/d/1CcVDaglKqc3HhA2Fulj4LvjWn3SmVWRRk8hJ-G4bX4c/edit?usp=drivesdk" TargetMode="External"/><Relationship Id="rId26" Type="http://schemas.openxmlformats.org/officeDocument/2006/relationships/hyperlink" Target="https://docs.google.com/spreadsheets/d/1hKrCEAzoTKTpo2TJOteO_k-1X55bw6gAMpPJLR7MxC4/edit?usp=sharing" TargetMode="External"/><Relationship Id="rId121" Type="http://schemas.openxmlformats.org/officeDocument/2006/relationships/hyperlink" Target="https://docs.google.com/spreadsheets/d/1rNp9fqZHYJPeu8Vn8twZz7bSfBB7mdmSnzKnymrd_YE/edit?usp=drivesdk" TargetMode="External"/><Relationship Id="rId25" Type="http://schemas.openxmlformats.org/officeDocument/2006/relationships/hyperlink" Target="https://docs.google.com/spreadsheets/d/1kJ_uMQ9VHv2H9yC6dluK8Rhf-tosG1cUU7hiiVxO9co/edit?usp=sharing" TargetMode="External"/><Relationship Id="rId120" Type="http://schemas.openxmlformats.org/officeDocument/2006/relationships/hyperlink" Target="https://docs.google.com/spreadsheets/d/1owb8Y7KoGZj_CgSoLezFs0sScsZm-KpJSRPtz1-XD48/edit?usp=drivesdk" TargetMode="External"/><Relationship Id="rId28" Type="http://schemas.openxmlformats.org/officeDocument/2006/relationships/hyperlink" Target="https://docs.google.com/spreadsheets/d/1BcRBMxCxyYu527WttL51tzsZ5yO7Xm4vj21UuAy9Uls/edit?usp=sharing" TargetMode="External"/><Relationship Id="rId27" Type="http://schemas.openxmlformats.org/officeDocument/2006/relationships/hyperlink" Target="https://docs.google.com/spreadsheets/d/1r7mRQFP35VAu1U8z4kQLJU0UGMx_kJqsHhcF3iIHAT4/edit?usp=sharing" TargetMode="External"/><Relationship Id="rId125" Type="http://schemas.openxmlformats.org/officeDocument/2006/relationships/hyperlink" Target="https://docs.google.com/spreadsheets/d/1Ft9sL9A0KB7P6joJnPL6-kCEK_VO9esm6Rs5bIOdMH8/edit?usp=drivesdk" TargetMode="External"/><Relationship Id="rId29" Type="http://schemas.openxmlformats.org/officeDocument/2006/relationships/hyperlink" Target="https://docs.google.com/spreadsheets/d/1m2JjeoIcDUz86henY3q_VRtpcBqxjMjXGImprwPPxho/edit?usp=sharing" TargetMode="External"/><Relationship Id="rId124" Type="http://schemas.openxmlformats.org/officeDocument/2006/relationships/hyperlink" Target="https://docs.google.com/spreadsheets/d/16wGO1JedQTDCGsloMFZ6RR6xSImkuq8Tp4LnNmvrJVY/edit?usp=drivesdk" TargetMode="External"/><Relationship Id="rId123" Type="http://schemas.openxmlformats.org/officeDocument/2006/relationships/hyperlink" Target="https://docs.google.com/spreadsheets/d/1JK82v-0PuSb1EqodVpqCUKXiWsbW3oUSu--7ryqgD8U/edit?usp=drivesdk" TargetMode="External"/><Relationship Id="rId122" Type="http://schemas.openxmlformats.org/officeDocument/2006/relationships/hyperlink" Target="https://docs.google.com/spreadsheets/d/15MZyOoHxntCgda-AsOX1FeMh0VW7UfAYmeC7GQ1GlJQ/edit?usp=drivesdk" TargetMode="External"/><Relationship Id="rId95" Type="http://schemas.openxmlformats.org/officeDocument/2006/relationships/hyperlink" Target="https://docs.google.com/spreadsheets/d/161ZL6SVF7NpAFUjvkQqy9mCcsiYhAc9ZAEPy50mNntA/edit?usp=drivesdk" TargetMode="External"/><Relationship Id="rId94" Type="http://schemas.openxmlformats.org/officeDocument/2006/relationships/hyperlink" Target="https://docs.google.com/spreadsheets/d/1mfKu7sZMWLA-qdXe4o-aZ09QhdyzTcpz7IZx7OksQTI/edit?usp=drivesdk" TargetMode="External"/><Relationship Id="rId97" Type="http://schemas.openxmlformats.org/officeDocument/2006/relationships/hyperlink" Target="https://docs.google.com/spreadsheets/d/13ye6kqA_tl4_J1fi1ECKWDeJK1Wr6izC3Ie_1dvcQiI/edit?usp=drivesdk" TargetMode="External"/><Relationship Id="rId96" Type="http://schemas.openxmlformats.org/officeDocument/2006/relationships/hyperlink" Target="https://docs.google.com/spreadsheets/d/1q_xHL8QtaOxeh5nI3gaQnmlx1oQG5QR9IKfAcCo-vck/edit?usp=drivesdk" TargetMode="External"/><Relationship Id="rId11" Type="http://schemas.openxmlformats.org/officeDocument/2006/relationships/hyperlink" Target="https://docs.google.com/spreadsheets/d/14PQ7mttPlhjsBUzVSgUMWCZGjOvkvwAiR2r7ofBp7C0/edit?usp=sharing" TargetMode="External"/><Relationship Id="rId99" Type="http://schemas.openxmlformats.org/officeDocument/2006/relationships/hyperlink" Target="https://docs.google.com/spreadsheets/d/1mzXnEu9vVOYJbxvp_ISS8vE3S5R_2mC6hfefUw_xUhs/edit?usp=drivesdk" TargetMode="External"/><Relationship Id="rId10" Type="http://schemas.openxmlformats.org/officeDocument/2006/relationships/hyperlink" Target="https://docs.google.com/spreadsheets/d/16OLl_KrxSpoZlECZYDzGPEGkrIrKT7G4f-CeIw6jHV4/edit?usp=sharing" TargetMode="External"/><Relationship Id="rId98" Type="http://schemas.openxmlformats.org/officeDocument/2006/relationships/hyperlink" Target="https://docs.google.com/spreadsheets/d/1nfkOHr0dOchXNkzC-jfhLyb-HWOqJ1hjGo8dgi-E24I/edit?usp=drivesdk" TargetMode="External"/><Relationship Id="rId13" Type="http://schemas.openxmlformats.org/officeDocument/2006/relationships/hyperlink" Target="https://docs.google.com/spreadsheets/d/1PrU2KOmWsjcGVk9fBwY2O2QDhWaNsUQHbPDw_RPObvs/edit?usp=sharing" TargetMode="External"/><Relationship Id="rId12" Type="http://schemas.openxmlformats.org/officeDocument/2006/relationships/hyperlink" Target="https://docs.google.com/spreadsheets/d/157bIFpcMK067vplcy2MB0JYnEtcG7gM6Icj8cpAxIBM/edit?usp=sharing" TargetMode="External"/><Relationship Id="rId91" Type="http://schemas.openxmlformats.org/officeDocument/2006/relationships/hyperlink" Target="https://docs.google.com/spreadsheets/d/1dHh3TO2-Nf_KlZ4eAD8A5xYDeFtiIB-wYIxHuwcH1Ag/edit?usp=drivesdk" TargetMode="External"/><Relationship Id="rId90" Type="http://schemas.openxmlformats.org/officeDocument/2006/relationships/hyperlink" Target="https://docs.google.com/spreadsheets/d/1oKpiyp7tB0ti5AE04Hcii9HZINAhXOIJD-mLp79QnHM/edit?usp=drivesdk" TargetMode="External"/><Relationship Id="rId93" Type="http://schemas.openxmlformats.org/officeDocument/2006/relationships/hyperlink" Target="https://docs.google.com/spreadsheets/d/1Ef7rFRwKKd9naVVdW8nQNs76h9xprN7TLb7B92UtIsc/edit?usp=drivesdk" TargetMode="External"/><Relationship Id="rId92" Type="http://schemas.openxmlformats.org/officeDocument/2006/relationships/hyperlink" Target="https://docs.google.com/spreadsheets/d/1acEqb8l6NDSib_ofK6PGWZS8222jHBG-V1c6ZyAXjJU/edit?usp=drivesdk" TargetMode="External"/><Relationship Id="rId118" Type="http://schemas.openxmlformats.org/officeDocument/2006/relationships/hyperlink" Target="https://docs.google.com/spreadsheets/d/1r7ymTYGcEBMNrIcwX4PZNzOqMnxEZhpY0Xk9pIGiKdc/edit?usp=drivesdk" TargetMode="External"/><Relationship Id="rId117" Type="http://schemas.openxmlformats.org/officeDocument/2006/relationships/hyperlink" Target="https://docs.google.com/spreadsheets/d/1T42NTMDuIo29G1qLM4Bng_pz0AGPF0vmuuYSUO7qasY/edit?usp=drivesdk" TargetMode="External"/><Relationship Id="rId116" Type="http://schemas.openxmlformats.org/officeDocument/2006/relationships/hyperlink" Target="https://docs.google.com/spreadsheets/d/16GrdCmUQVieyK1bd3IOw1xH_pAYX9Ts0F9_vhW2GkK8/edit?usp=drivesdk" TargetMode="External"/><Relationship Id="rId115" Type="http://schemas.openxmlformats.org/officeDocument/2006/relationships/hyperlink" Target="https://docs.google.com/spreadsheets/d/1m3nLnUQX9qYpLdn4MPvtUfmwL0ZfGhwaA1e4nb6mXm4/edit?usp=drivesdk" TargetMode="External"/><Relationship Id="rId119" Type="http://schemas.openxmlformats.org/officeDocument/2006/relationships/hyperlink" Target="https://docs.google.com/spreadsheets/d/1J610yQrdj-rBvkPqnQvAPM0udvYgHjRzKKlPCgIIdcI/edit?usp=drivesdk" TargetMode="External"/><Relationship Id="rId15" Type="http://schemas.openxmlformats.org/officeDocument/2006/relationships/hyperlink" Target="https://docs.google.com/spreadsheets/d/1YcRwILBiOvuGMWU_xzi0htKpb_2BarS6h24Jzk0Dv80/edit?usp=sharing" TargetMode="External"/><Relationship Id="rId110" Type="http://schemas.openxmlformats.org/officeDocument/2006/relationships/hyperlink" Target="https://docs.google.com/spreadsheets/d/1wK0NT-L9kPvhYrNGSP_5tnDAA_2riBpMrptYmFdhN6E/edit?usp=drivesdk" TargetMode="External"/><Relationship Id="rId14" Type="http://schemas.openxmlformats.org/officeDocument/2006/relationships/hyperlink" Target="https://docs.google.com/spreadsheets/d/1hHdO2u5y23WiffkNz0eJtqevgP9UYshH78KBzLWx0XY/edit?usp=sharing" TargetMode="External"/><Relationship Id="rId17" Type="http://schemas.openxmlformats.org/officeDocument/2006/relationships/hyperlink" Target="https://docs.google.com/spreadsheets/d/18O4Mi1S90wJ24X3Y15CodcYDI_A2w3f16M_y9sIAn1o/edit?usp=sharing" TargetMode="External"/><Relationship Id="rId16" Type="http://schemas.openxmlformats.org/officeDocument/2006/relationships/hyperlink" Target="https://docs.google.com/spreadsheets/d/1nApIXa3DnVSAf4XnicB6vFxgtpVqvfZAQDf9Qp4OSD4/edit?usp=sharing" TargetMode="External"/><Relationship Id="rId19" Type="http://schemas.openxmlformats.org/officeDocument/2006/relationships/hyperlink" Target="https://docs.google.com/spreadsheets/d/1k4dbkOKt7jibCKSmckfs2uWb4DHa4lr9ZuB_hn0KOms/edit?usp=sharing" TargetMode="External"/><Relationship Id="rId114" Type="http://schemas.openxmlformats.org/officeDocument/2006/relationships/hyperlink" Target="https://docs.google.com/spreadsheets/d/1pf61PTUWG-QzgNx5jAphjqX_vgd3iV-FybwTsB1ZD9s/edit?usp=drivesdk" TargetMode="External"/><Relationship Id="rId18" Type="http://schemas.openxmlformats.org/officeDocument/2006/relationships/hyperlink" Target="https://docs.google.com/spreadsheets/d/1gMxX8VXCTQ-37tqVtTJV_BKEpkh-V4phb4bAy1gk290/edit?usp=sharing" TargetMode="External"/><Relationship Id="rId113" Type="http://schemas.openxmlformats.org/officeDocument/2006/relationships/hyperlink" Target="https://docs.google.com/spreadsheets/d/19OGKAThB0x_jsg_FGTZrH3y-ShgRGdxbziI_JUuai-Q/edit?usp=drivesdk" TargetMode="External"/><Relationship Id="rId112" Type="http://schemas.openxmlformats.org/officeDocument/2006/relationships/hyperlink" Target="https://docs.google.com/spreadsheets/d/1cwEXcVt3ysC-EKIRfnjWgi3uf24I9uzFZ806ggGuuAg/edit?usp=drivesdk" TargetMode="External"/><Relationship Id="rId111" Type="http://schemas.openxmlformats.org/officeDocument/2006/relationships/hyperlink" Target="https://docs.google.com/spreadsheets/d/1KiZvARDBAgYBZxn9Oh_aVB9X_9YlLy5IwaIkfodX_CE/edit?usp=drivesdk" TargetMode="External"/><Relationship Id="rId84" Type="http://schemas.openxmlformats.org/officeDocument/2006/relationships/hyperlink" Target="https://docs.google.com/spreadsheets/d/1D0iaj02S67kSJrEurNRFLxF27Veu18OwAh07K90HJrA/edit?usp=drivesdk" TargetMode="External"/><Relationship Id="rId83" Type="http://schemas.openxmlformats.org/officeDocument/2006/relationships/hyperlink" Target="https://docs.google.com/spreadsheets/d/1DzccTyTjlrebLzZnGTuseCdWzYTBSYfIYqSxjgpIJ1s/edit?usp=drivesdk" TargetMode="External"/><Relationship Id="rId86" Type="http://schemas.openxmlformats.org/officeDocument/2006/relationships/hyperlink" Target="https://docs.google.com/spreadsheets/d/1gNU3Twg3R9mjl-N6atm7GRXmlx7CljuibX6IiLDMWCQ/edit?usp=drivesdk" TargetMode="External"/><Relationship Id="rId85" Type="http://schemas.openxmlformats.org/officeDocument/2006/relationships/hyperlink" Target="https://docs.google.com/spreadsheets/d/1k8-6eNp_dVHnOqTQHXBJNCb8RBoTaLqfqYX1dvAvlN8/edit?usp=drivesdk" TargetMode="External"/><Relationship Id="rId88" Type="http://schemas.openxmlformats.org/officeDocument/2006/relationships/hyperlink" Target="https://docs.google.com/spreadsheets/d/18UpIHyRbygIFImFHpeQXCweJZ6p1vwicFlC1P40ogdk/edit?usp=drivesdk" TargetMode="External"/><Relationship Id="rId87" Type="http://schemas.openxmlformats.org/officeDocument/2006/relationships/hyperlink" Target="https://docs.google.com/spreadsheets/d/1nw_jlHEzqdDs1nzh0LgcJ5GLc4hjIKpxPmjygGy3UJY/edit?usp=drivesdk" TargetMode="External"/><Relationship Id="rId89" Type="http://schemas.openxmlformats.org/officeDocument/2006/relationships/hyperlink" Target="https://docs.google.com/spreadsheets/d/1vkCn-QUoPg8Q-XVi7E67KBg91YipROnmf48Q621AsoQ/edit?usp=drivesdk" TargetMode="External"/><Relationship Id="rId80" Type="http://schemas.openxmlformats.org/officeDocument/2006/relationships/hyperlink" Target="https://docs.google.com/spreadsheets/d/12REPYOJnmmnWVd28e72rY3BehlHxUuDqK2IkFRlMv2c/edit?usp=drivesdk" TargetMode="External"/><Relationship Id="rId82" Type="http://schemas.openxmlformats.org/officeDocument/2006/relationships/hyperlink" Target="https://docs.google.com/spreadsheets/d/17eFsr1WhnD4RaHs3vU0TADnGIEUNeAWPZtVQGzMmHOs/edit?usp=drivesdk" TargetMode="External"/><Relationship Id="rId81" Type="http://schemas.openxmlformats.org/officeDocument/2006/relationships/hyperlink" Target="https://docs.google.com/spreadsheets/d/1H8zY3Y6qtIE_KnCvcfWYYXywtOytzSr89W9x-UpykmA/edit?usp=drivesdk" TargetMode="External"/><Relationship Id="rId1" Type="http://schemas.openxmlformats.org/officeDocument/2006/relationships/hyperlink" Target="https://docs.google.com/spreadsheets/d/18iHbFEZ6msv3IU3InH0K5SEgnjM_8H0uHajc7c4fMiQ/edit?gid=1738522582" TargetMode="External"/><Relationship Id="rId2" Type="http://schemas.openxmlformats.org/officeDocument/2006/relationships/hyperlink" Target="https://docs.google.com/spreadsheets/d/18iHbFEZ6msv3IU3InH0K5SEgnjM_8H0uHajc7c4fMiQ/edit?gid=1738522582" TargetMode="External"/><Relationship Id="rId3" Type="http://schemas.openxmlformats.org/officeDocument/2006/relationships/hyperlink" Target="https://docs.google.com/spreadsheets/d/1ZMj9MmlcWolWuTUKuPfdiZYVYSB6I88HxUS1ZjygKo0/edit" TargetMode="External"/><Relationship Id="rId149" Type="http://schemas.openxmlformats.org/officeDocument/2006/relationships/drawing" Target="../drawings/drawing7.xml"/><Relationship Id="rId4" Type="http://schemas.openxmlformats.org/officeDocument/2006/relationships/hyperlink" Target="https://docs.google.com/spreadsheets/d/1QD3tuixhQqxCFAvUH_LcWC7bt_Whhm8mMLYoyIkANeY/edit?usp=sharing" TargetMode="External"/><Relationship Id="rId148" Type="http://schemas.openxmlformats.org/officeDocument/2006/relationships/hyperlink" Target="https://docs.google.com/spreadsheets/d/1AqAYIvlyi7Dxvugs0_sw3iaBCc8dVWBYvmUUTxPWJ9A/edit?usp=drivesdk" TargetMode="External"/><Relationship Id="rId9" Type="http://schemas.openxmlformats.org/officeDocument/2006/relationships/hyperlink" Target="https://docs.google.com/spreadsheets/d/1DBsfnsNCSpJ2cWSE8CdnkpuAoJA5lpFzGydY35MAIT4/edit?usp=sharing" TargetMode="External"/><Relationship Id="rId143" Type="http://schemas.openxmlformats.org/officeDocument/2006/relationships/hyperlink" Target="https://docs.google.com/spreadsheets/d/18oEswM_6FoFpo9BnrdzFLMMaHxu8FwvnAS46RyPDc1s/edit?usp=drivesdk" TargetMode="External"/><Relationship Id="rId142" Type="http://schemas.openxmlformats.org/officeDocument/2006/relationships/hyperlink" Target="https://docs.google.com/spreadsheets/d/1BtAHLIVeil7XgFeQ0WsHWAskD983PaVhIrZMF5gtAjY/edit?usp=drivesdk" TargetMode="External"/><Relationship Id="rId141" Type="http://schemas.openxmlformats.org/officeDocument/2006/relationships/hyperlink" Target="https://docs.google.com/spreadsheets/d/1odMYEfoQjtb3T-gPTvDdz84yQ1DjmsI5UVROqSoKOdo/edit?usp=drivesdk" TargetMode="External"/><Relationship Id="rId140" Type="http://schemas.openxmlformats.org/officeDocument/2006/relationships/hyperlink" Target="https://docs.google.com/spreadsheets/d/1v5y3AWFCFE1eMlaezyrGNEXYCByGhiWBQiXz_wjawis/edit?usp=drivesdk" TargetMode="External"/><Relationship Id="rId5" Type="http://schemas.openxmlformats.org/officeDocument/2006/relationships/hyperlink" Target="https://docs.google.com/spreadsheets/d/12rWS1s2kwCVAvqZ7kRoQhDLVNt561SRwhoesZLszdLI/edit?usp=sharing" TargetMode="External"/><Relationship Id="rId147" Type="http://schemas.openxmlformats.org/officeDocument/2006/relationships/hyperlink" Target="https://docs.google.com/spreadsheets/d/1EsyTSVMIREP8_8MqRPADFTTXC-4ryOiKXpRXiWU1oLo/edit?usp=drivesdk" TargetMode="External"/><Relationship Id="rId6" Type="http://schemas.openxmlformats.org/officeDocument/2006/relationships/hyperlink" Target="https://docs.google.com/spreadsheets/d/18OQqOBm_s-mhKnINQD1xGQDGtbvHE7YfdYiSN1PAAOE/edit?usp=sharing" TargetMode="External"/><Relationship Id="rId146" Type="http://schemas.openxmlformats.org/officeDocument/2006/relationships/hyperlink" Target="https://docs.google.com/spreadsheets/d/1zhBT0OEvoeX1VCN7VpvyNnNRSKEHCQJ3iVpm_nGcMPs/edit?usp=drivesdk" TargetMode="External"/><Relationship Id="rId7" Type="http://schemas.openxmlformats.org/officeDocument/2006/relationships/hyperlink" Target="https://docs.google.com/spreadsheets/d/1gFq7NXlxtEt01Zdo8BAA4eeFnoApkreXuzrQBiIcbd0/edit?usp=sharing" TargetMode="External"/><Relationship Id="rId145" Type="http://schemas.openxmlformats.org/officeDocument/2006/relationships/hyperlink" Target="https://docs.google.com/spreadsheets/d/19COcM4DRJ5DD6yg7vgP7zXs_fuXlfaRwevZgoTV8g7Y/edit?usp=drivesdk" TargetMode="External"/><Relationship Id="rId8" Type="http://schemas.openxmlformats.org/officeDocument/2006/relationships/hyperlink" Target="https://docs.google.com/spreadsheets/d/131ubf3cr5EqcgnafiwL05IXx2XR6mxl1Pd1Mj_3_TUk/edit?usp=sharing" TargetMode="External"/><Relationship Id="rId144" Type="http://schemas.openxmlformats.org/officeDocument/2006/relationships/hyperlink" Target="https://docs.google.com/spreadsheets/d/1yBtqoLaBwmOs8bWub0ewK06u882W0YL2_6f-Y2kMTFI/edit?usp=drivesdk" TargetMode="External"/><Relationship Id="rId73" Type="http://schemas.openxmlformats.org/officeDocument/2006/relationships/hyperlink" Target="https://docs.google.com/spreadsheets/d/1eEYTpjouBVhgDJGmOA8NKGvzp3ZQEasp6w3ISdZQElg/edit?usp=sharing" TargetMode="External"/><Relationship Id="rId72" Type="http://schemas.openxmlformats.org/officeDocument/2006/relationships/hyperlink" Target="https://docs.google.com/spreadsheets/d/1TQBKkJ_Gm0MlQlJrTKwBZFKkj-60xomk3TTAROCsmzE/edit?usp=sharing" TargetMode="External"/><Relationship Id="rId75" Type="http://schemas.openxmlformats.org/officeDocument/2006/relationships/hyperlink" Target="https://docs.google.com/spreadsheets/d/1ewc8ZWcN4bdyAlLqkib6STqFS7VAPVkcVw_I_Q-s6cY/edit?usp=drive_web&amp;ouid=115492482843041064562" TargetMode="External"/><Relationship Id="rId74" Type="http://schemas.openxmlformats.org/officeDocument/2006/relationships/hyperlink" Target="https://docs.google.com/spreadsheets/d/1lPEsMDD_y6OqQ3aePEjUbscgKJdccVuo57A4quyz0ek/edit?usp=sharing" TargetMode="External"/><Relationship Id="rId77" Type="http://schemas.openxmlformats.org/officeDocument/2006/relationships/hyperlink" Target="https://docs.google.com/spreadsheets/d/1DpvsIX_AoIRkRVe6rd3MMLvtMPNcdywTv7LSkojEetI/edit?usp=drivesdk" TargetMode="External"/><Relationship Id="rId76" Type="http://schemas.openxmlformats.org/officeDocument/2006/relationships/hyperlink" Target="https://docs.google.com/spreadsheets/d/1DU8fGq8IGd0N6niRsvIKecLbq_ZtONLE7TOCeM2-JIY/edit?usp=drivesdk" TargetMode="External"/><Relationship Id="rId79" Type="http://schemas.openxmlformats.org/officeDocument/2006/relationships/hyperlink" Target="https://docs.google.com/spreadsheets/d/1nNH2uJEKobfh71s4ovX5675_hZ7U3y9_TubgqhevWnI/edit?usp=drivesdk" TargetMode="External"/><Relationship Id="rId78" Type="http://schemas.openxmlformats.org/officeDocument/2006/relationships/hyperlink" Target="https://docs.google.com/spreadsheets/d/1YEwI-2Vh9oDCm7r0H7KWc_XsWk-pWJ2nKNvjHoOGU-g/edit?usp=drivesdk" TargetMode="External"/><Relationship Id="rId71" Type="http://schemas.openxmlformats.org/officeDocument/2006/relationships/hyperlink" Target="https://docs.google.com/spreadsheets/d/1tBSWg01WLsXH5IJTeZByVNEzYnA-BE85pvDWovbG3jA/edit?usp=sharing" TargetMode="External"/><Relationship Id="rId70" Type="http://schemas.openxmlformats.org/officeDocument/2006/relationships/hyperlink" Target="https://docs.google.com/spreadsheets/d/1HrHYyhq9oFXlYGgwcQs1DC9j24E0-AgCAS1OATMiHRI/edit?usp=sharing" TargetMode="External"/><Relationship Id="rId139" Type="http://schemas.openxmlformats.org/officeDocument/2006/relationships/hyperlink" Target="https://docs.google.com/spreadsheets/d/12rbstDtGDh0WoKg6H2YCzPuns4evhJzm0GzUPcXsdUs/edit?usp=drivesdk" TargetMode="External"/><Relationship Id="rId138" Type="http://schemas.openxmlformats.org/officeDocument/2006/relationships/hyperlink" Target="https://docs.google.com/spreadsheets/d/1W78wjQ7dNbMaEUkPj51x3a1QrGyXe0ze-KoGFvG-5vc/edit?usp=drivesdk" TargetMode="External"/><Relationship Id="rId137" Type="http://schemas.openxmlformats.org/officeDocument/2006/relationships/hyperlink" Target="https://docs.google.com/spreadsheets/d/1kTSJtYmCx-g7v8lV192MP1kr7fGa5CAeYCkKfm8-aps/edit?usp=drivesdk" TargetMode="External"/><Relationship Id="rId132" Type="http://schemas.openxmlformats.org/officeDocument/2006/relationships/hyperlink" Target="https://docs.google.com/spreadsheets/d/1dgnNcNsTYtVC4j75gPc69AD_JOsUO-ZDsl-BjF-M-es/edit?usp=drivesdk" TargetMode="External"/><Relationship Id="rId131" Type="http://schemas.openxmlformats.org/officeDocument/2006/relationships/hyperlink" Target="https://docs.google.com/spreadsheets/d/17QXHxxrIvq3sITiMsaUfNJEkXKZYU1Eis8BdJIbb6T4/edit?usp=drivesdk" TargetMode="External"/><Relationship Id="rId130" Type="http://schemas.openxmlformats.org/officeDocument/2006/relationships/hyperlink" Target="https://docs.google.com/spreadsheets/d/1HX1AYSYpoR7Je__bsRXAUDgbvb-6sGrJCKqPU4eVh5o/edit?usp=drivesdk" TargetMode="External"/><Relationship Id="rId136" Type="http://schemas.openxmlformats.org/officeDocument/2006/relationships/hyperlink" Target="https://docs.google.com/spreadsheets/d/11OvwPCWHobg9K3June-HsTuWBkvAESgRXHhwgpUzXog/edit?usp=drivesdk" TargetMode="External"/><Relationship Id="rId135" Type="http://schemas.openxmlformats.org/officeDocument/2006/relationships/hyperlink" Target="https://docs.google.com/spreadsheets/d/1K-5eiahvRXx7UwNAXclUB3xNgREsYM_aljnX6QT_keE/edit?usp=drivesdk" TargetMode="External"/><Relationship Id="rId134" Type="http://schemas.openxmlformats.org/officeDocument/2006/relationships/hyperlink" Target="https://docs.google.com/spreadsheets/d/1nUcDQCktOtI0rPFx-EFOlKGRVKmaFoMFgfTKG9MclXc/edit?usp=drivesdk" TargetMode="External"/><Relationship Id="rId133" Type="http://schemas.openxmlformats.org/officeDocument/2006/relationships/hyperlink" Target="https://docs.google.com/spreadsheets/d/1R2i0q8-tkZ5N5V1Q2oG3fXf6TrZcQthwwafkrg0HASI/edit?usp=drivesdk" TargetMode="External"/><Relationship Id="rId62" Type="http://schemas.openxmlformats.org/officeDocument/2006/relationships/hyperlink" Target="https://docs.google.com/spreadsheets/d/1F_nTWxkQONo6U8H60UL7Ug-pROgAc5VhSvvtf1VAhpk/edit?usp=sharing" TargetMode="External"/><Relationship Id="rId61" Type="http://schemas.openxmlformats.org/officeDocument/2006/relationships/hyperlink" Target="https://docs.google.com/spreadsheets/d/1ed_s7Zidxb5_kILXLLwBm1jwI3i7hORJ7zIEvqmYkzs/edit?usp=sharing" TargetMode="External"/><Relationship Id="rId64" Type="http://schemas.openxmlformats.org/officeDocument/2006/relationships/hyperlink" Target="https://docs.google.com/spreadsheets/d/1OiXgolE8vUXlbKV-GdG4PK1gdGFf8ETXRWoBmlvOVtA/edit?usp=sharing" TargetMode="External"/><Relationship Id="rId63" Type="http://schemas.openxmlformats.org/officeDocument/2006/relationships/hyperlink" Target="https://docs.google.com/spreadsheets/d/1iARBCfLdDNZfA2zFt7qj6v9kM5Iki1GbnoQn53ftBWQ/edit?usp=sharing" TargetMode="External"/><Relationship Id="rId66" Type="http://schemas.openxmlformats.org/officeDocument/2006/relationships/hyperlink" Target="https://docs.google.com/spreadsheets/d/17lrJR7r5haa7hZwK1Deqd42saFPKUsdwPat5UVPF-uI/edit?usp=sharing" TargetMode="External"/><Relationship Id="rId65" Type="http://schemas.openxmlformats.org/officeDocument/2006/relationships/hyperlink" Target="https://docs.google.com/spreadsheets/d/1lm2fRsfeEk6K3SIRf1wJTlGskYc7v8p4id3LSa-GaRI/edit?usp=sharing" TargetMode="External"/><Relationship Id="rId68" Type="http://schemas.openxmlformats.org/officeDocument/2006/relationships/hyperlink" Target="https://docs.google.com/spreadsheets/d/1VKQBFK1HzhQ45gBGFsVUESP0rbriR23DmTV46rtWBW4/edit?usp=sharing" TargetMode="External"/><Relationship Id="rId67" Type="http://schemas.openxmlformats.org/officeDocument/2006/relationships/hyperlink" Target="https://docs.google.com/spreadsheets/d/1zNLgFzG7IbiVAHLoRkCOviJQxem5aWlsoPmjQnYGG3g/edit?usp=sharing" TargetMode="External"/><Relationship Id="rId60" Type="http://schemas.openxmlformats.org/officeDocument/2006/relationships/hyperlink" Target="https://docs.google.com/spreadsheets/d/1lyixNNoSp3FreqNP9sLYfhEhk2yhs8Wa7Zf_c_aDYDc/edit?usp=sharing" TargetMode="External"/><Relationship Id="rId69" Type="http://schemas.openxmlformats.org/officeDocument/2006/relationships/hyperlink" Target="https://docs.google.com/spreadsheets/d/1McyDZYZrD9t4Z9ZAJ63UWOBGoFiVLKHsv5LfgoB7tGo/edit?usp=sharing" TargetMode="External"/><Relationship Id="rId51" Type="http://schemas.openxmlformats.org/officeDocument/2006/relationships/hyperlink" Target="https://docs.google.com/spreadsheets/d/18B75LJT-p29Da9Nm25eKk1GMuSHrgwz0rvUx2JZsXu0/edit?usp=sharing" TargetMode="External"/><Relationship Id="rId50" Type="http://schemas.openxmlformats.org/officeDocument/2006/relationships/hyperlink" Target="https://docs.google.com/spreadsheets/d/1_TBj88eoJBB_8tKE5AddOALjlLXfPISU6WN-LeVsNhI/edit?usp=sharing" TargetMode="External"/><Relationship Id="rId53" Type="http://schemas.openxmlformats.org/officeDocument/2006/relationships/hyperlink" Target="https://docs.google.com/spreadsheets/d/1fagrevsE8xabNxwchO0N-DLg5QPBKUuN8-n5kaGKgL0/edit?gid=1932012694" TargetMode="External"/><Relationship Id="rId52" Type="http://schemas.openxmlformats.org/officeDocument/2006/relationships/hyperlink" Target="https://docs.google.com/spreadsheets/d/1ggLAtcWaxzX2Bpf_zz1Fxl1tT-zEfhhEMimZtmf1Ezc/edit?usp=sharing" TargetMode="External"/><Relationship Id="rId55" Type="http://schemas.openxmlformats.org/officeDocument/2006/relationships/hyperlink" Target="https://docs.google.com/spreadsheets/d/1jg6T6dLfMjPXWPkOBIhbXR-1Ug_VkwjdVLAmBpD0M_Q/edit?usp=sharing" TargetMode="External"/><Relationship Id="rId54" Type="http://schemas.openxmlformats.org/officeDocument/2006/relationships/hyperlink" Target="https://docs.google.com/spreadsheets/d/16k5eL1WDz-vRWlOUSE01IzPK8xlOE-IUognKuVXZuIA/edit?usp=sharing" TargetMode="External"/><Relationship Id="rId57" Type="http://schemas.openxmlformats.org/officeDocument/2006/relationships/hyperlink" Target="https://docs.google.com/spreadsheets/d/16oF-f1m2Bj91zc7WEN3MDWwWUAtrggheecSIpOJIylA/edit?usp=sharing" TargetMode="External"/><Relationship Id="rId56" Type="http://schemas.openxmlformats.org/officeDocument/2006/relationships/hyperlink" Target="https://docs.google.com/spreadsheets/d/1CVuTnrj0L4jYjy59Bp8oWU3eNw2aGB-8nTXaGi3z3oU/edit?usp=sharing" TargetMode="External"/><Relationship Id="rId59" Type="http://schemas.openxmlformats.org/officeDocument/2006/relationships/hyperlink" Target="https://docs.google.com/spreadsheets/d/1FpqeKnv71gfY6rzQn43sk8xR7gtPHh6GnoSEpLksvdo/edit" TargetMode="External"/><Relationship Id="rId58" Type="http://schemas.openxmlformats.org/officeDocument/2006/relationships/hyperlink" Target="https://docs.google.com/spreadsheets/d/1xSij9DvAVfkLcXMI8SF8-5tuTg8jm4XD1rUd7aol2-0/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2" width="18.63"/>
    <col customWidth="1" min="3" max="3" width="25.38"/>
    <col customWidth="1" min="4" max="4" width="43.75"/>
    <col customWidth="1" min="5" max="5" width="38.75"/>
    <col customWidth="1" min="6" max="6" width="25.25"/>
    <col customWidth="1" min="7" max="8" width="17.0"/>
  </cols>
  <sheetData>
    <row r="1" ht="41.25" customHeight="1">
      <c r="A1" s="1" t="s">
        <v>0</v>
      </c>
      <c r="C1" s="2" t="s">
        <v>1</v>
      </c>
      <c r="D1" s="3"/>
      <c r="E1" s="3"/>
      <c r="F1" s="3"/>
      <c r="G1" s="3"/>
      <c r="H1" s="4"/>
    </row>
    <row r="2" ht="22.5" customHeight="1">
      <c r="A2" s="5" t="s">
        <v>2</v>
      </c>
      <c r="B2" s="6" t="s">
        <v>3</v>
      </c>
      <c r="C2" s="6" t="s">
        <v>4</v>
      </c>
      <c r="D2" s="6" t="s">
        <v>5</v>
      </c>
      <c r="E2" s="6" t="s">
        <v>6</v>
      </c>
      <c r="F2" s="6" t="s">
        <v>7</v>
      </c>
      <c r="G2" s="6" t="s">
        <v>8</v>
      </c>
      <c r="H2" s="6" t="s">
        <v>9</v>
      </c>
    </row>
    <row r="3" ht="29.25" customHeight="1">
      <c r="A3" s="7">
        <v>45909.0</v>
      </c>
      <c r="B3" s="8" t="s">
        <v>10</v>
      </c>
      <c r="C3" s="9" t="s">
        <v>11</v>
      </c>
      <c r="D3" s="9" t="s">
        <v>12</v>
      </c>
      <c r="E3" s="10"/>
      <c r="F3" s="11" t="s">
        <v>13</v>
      </c>
      <c r="G3" s="12" t="b">
        <v>1</v>
      </c>
      <c r="H3" s="12" t="b">
        <v>0</v>
      </c>
    </row>
    <row r="4" outlineLevel="1">
      <c r="A4" s="13">
        <v>45910.0</v>
      </c>
      <c r="B4" s="14" t="s">
        <v>10</v>
      </c>
      <c r="C4" s="15" t="s">
        <v>14</v>
      </c>
      <c r="D4" s="16" t="s">
        <v>15</v>
      </c>
      <c r="E4" s="17" t="s">
        <v>16</v>
      </c>
      <c r="F4" s="15" t="s">
        <v>17</v>
      </c>
      <c r="G4" s="18" t="b">
        <v>1</v>
      </c>
      <c r="H4" s="18" t="b">
        <v>0</v>
      </c>
    </row>
    <row r="5" outlineLevel="1">
      <c r="A5" s="13">
        <v>45912.0</v>
      </c>
      <c r="B5" s="14" t="s">
        <v>18</v>
      </c>
      <c r="C5" s="16" t="s">
        <v>19</v>
      </c>
      <c r="D5" s="16" t="s">
        <v>20</v>
      </c>
      <c r="E5" s="19" t="s">
        <v>21</v>
      </c>
      <c r="F5" s="16" t="s">
        <v>22</v>
      </c>
      <c r="G5" s="18" t="b">
        <v>1</v>
      </c>
      <c r="H5" s="18" t="b">
        <v>0</v>
      </c>
    </row>
    <row r="6" outlineLevel="1">
      <c r="A6" s="13">
        <v>45912.0</v>
      </c>
      <c r="B6" s="14" t="s">
        <v>18</v>
      </c>
      <c r="C6" s="15" t="s">
        <v>23</v>
      </c>
      <c r="D6" s="16" t="s">
        <v>24</v>
      </c>
      <c r="E6" s="20" t="s">
        <v>21</v>
      </c>
      <c r="F6" s="16" t="s">
        <v>25</v>
      </c>
      <c r="G6" s="18" t="b">
        <v>1</v>
      </c>
      <c r="H6" s="18" t="b">
        <v>0</v>
      </c>
    </row>
    <row r="7" outlineLevel="1">
      <c r="A7" s="13">
        <v>45912.0</v>
      </c>
      <c r="B7" s="14" t="s">
        <v>26</v>
      </c>
      <c r="C7" s="15" t="s">
        <v>27</v>
      </c>
      <c r="D7" s="16" t="s">
        <v>28</v>
      </c>
      <c r="E7" s="17" t="s">
        <v>16</v>
      </c>
      <c r="F7" s="16" t="s">
        <v>29</v>
      </c>
      <c r="G7" s="18" t="b">
        <v>1</v>
      </c>
      <c r="H7" s="18" t="b">
        <v>0</v>
      </c>
    </row>
    <row r="8" outlineLevel="1">
      <c r="A8" s="13">
        <v>45912.0</v>
      </c>
      <c r="B8" s="14" t="s">
        <v>10</v>
      </c>
      <c r="C8" s="15" t="s">
        <v>30</v>
      </c>
      <c r="D8" s="16" t="s">
        <v>31</v>
      </c>
      <c r="E8" s="17"/>
      <c r="F8" s="16" t="s">
        <v>32</v>
      </c>
      <c r="G8" s="18" t="b">
        <v>1</v>
      </c>
      <c r="H8" s="18" t="b">
        <v>0</v>
      </c>
    </row>
    <row r="9" outlineLevel="1">
      <c r="A9" s="13">
        <v>45915.0</v>
      </c>
      <c r="B9" s="8" t="s">
        <v>10</v>
      </c>
      <c r="C9" s="21" t="s">
        <v>33</v>
      </c>
      <c r="D9" s="22" t="s">
        <v>34</v>
      </c>
      <c r="E9" s="23"/>
      <c r="F9" s="24" t="s">
        <v>35</v>
      </c>
      <c r="G9" s="18" t="b">
        <v>0</v>
      </c>
      <c r="H9" s="18" t="b">
        <v>0</v>
      </c>
    </row>
    <row r="10" outlineLevel="1">
      <c r="A10" s="13">
        <v>45916.0</v>
      </c>
      <c r="B10" s="14" t="s">
        <v>10</v>
      </c>
      <c r="C10" s="15" t="s">
        <v>19</v>
      </c>
      <c r="D10" s="16" t="s">
        <v>36</v>
      </c>
      <c r="E10" s="17"/>
      <c r="F10" s="25" t="s">
        <v>37</v>
      </c>
      <c r="G10" s="18" t="b">
        <v>0</v>
      </c>
      <c r="H10" s="18" t="b">
        <v>0</v>
      </c>
    </row>
    <row r="11" outlineLevel="1">
      <c r="A11" s="13">
        <v>45916.0</v>
      </c>
      <c r="B11" s="14" t="s">
        <v>10</v>
      </c>
      <c r="C11" s="15" t="s">
        <v>38</v>
      </c>
      <c r="D11" s="16" t="s">
        <v>39</v>
      </c>
      <c r="E11" s="17"/>
      <c r="F11" s="26" t="s">
        <v>37</v>
      </c>
      <c r="G11" s="18" t="b">
        <v>0</v>
      </c>
      <c r="H11" s="18" t="b">
        <v>0</v>
      </c>
    </row>
    <row r="12" outlineLevel="1">
      <c r="A12" s="13">
        <v>45916.0</v>
      </c>
      <c r="B12" s="14" t="s">
        <v>10</v>
      </c>
      <c r="C12" s="15" t="s">
        <v>40</v>
      </c>
      <c r="D12" s="16" t="s">
        <v>41</v>
      </c>
      <c r="E12" s="17"/>
      <c r="F12" s="26" t="s">
        <v>42</v>
      </c>
      <c r="G12" s="18" t="b">
        <v>0</v>
      </c>
      <c r="H12" s="18" t="b">
        <v>0</v>
      </c>
    </row>
    <row r="13" outlineLevel="1">
      <c r="A13" s="13">
        <v>45916.0</v>
      </c>
      <c r="B13" s="14"/>
      <c r="C13" s="15" t="s">
        <v>19</v>
      </c>
      <c r="D13" s="16" t="s">
        <v>43</v>
      </c>
      <c r="E13" s="17"/>
      <c r="F13" s="20" t="s">
        <v>44</v>
      </c>
      <c r="G13" s="18" t="b">
        <v>0</v>
      </c>
      <c r="H13" s="18" t="b">
        <v>0</v>
      </c>
    </row>
    <row r="14" outlineLevel="1">
      <c r="A14" s="13">
        <v>45917.0</v>
      </c>
      <c r="B14" s="14" t="s">
        <v>18</v>
      </c>
      <c r="C14" s="15" t="s">
        <v>23</v>
      </c>
      <c r="D14" s="16" t="s">
        <v>45</v>
      </c>
      <c r="E14" s="17"/>
      <c r="F14" s="26" t="s">
        <v>46</v>
      </c>
      <c r="G14" s="18" t="b">
        <v>1</v>
      </c>
      <c r="H14" s="18" t="b">
        <v>0</v>
      </c>
    </row>
    <row r="15" outlineLevel="1">
      <c r="A15" s="13">
        <v>45918.0</v>
      </c>
      <c r="B15" s="14" t="s">
        <v>18</v>
      </c>
      <c r="C15" s="15" t="s">
        <v>47</v>
      </c>
      <c r="D15" s="16" t="s">
        <v>48</v>
      </c>
      <c r="E15" s="17" t="s">
        <v>30</v>
      </c>
      <c r="F15" s="27"/>
      <c r="G15" s="18" t="b">
        <v>0</v>
      </c>
      <c r="H15" s="18" t="b">
        <v>0</v>
      </c>
    </row>
    <row r="16" outlineLevel="1">
      <c r="A16" s="13">
        <v>45919.0</v>
      </c>
      <c r="B16" s="14" t="s">
        <v>18</v>
      </c>
      <c r="C16" s="15" t="s">
        <v>49</v>
      </c>
      <c r="D16" s="16" t="s">
        <v>50</v>
      </c>
      <c r="E16" s="17" t="s">
        <v>16</v>
      </c>
      <c r="F16" s="27" t="s">
        <v>51</v>
      </c>
      <c r="G16" s="18" t="b">
        <v>1</v>
      </c>
      <c r="H16" s="18" t="b">
        <v>0</v>
      </c>
    </row>
    <row r="17" outlineLevel="1">
      <c r="A17" s="13">
        <v>45919.0</v>
      </c>
      <c r="B17" s="14" t="s">
        <v>18</v>
      </c>
      <c r="C17" s="15" t="s">
        <v>49</v>
      </c>
      <c r="D17" s="16" t="s">
        <v>52</v>
      </c>
      <c r="E17" s="17" t="s">
        <v>53</v>
      </c>
      <c r="F17" s="27"/>
      <c r="G17" s="18" t="b">
        <v>0</v>
      </c>
      <c r="H17" s="18" t="b">
        <v>0</v>
      </c>
    </row>
    <row r="18" outlineLevel="1">
      <c r="A18" s="13">
        <v>45919.0</v>
      </c>
      <c r="B18" s="14" t="s">
        <v>18</v>
      </c>
      <c r="C18" s="15" t="s">
        <v>54</v>
      </c>
      <c r="D18" s="16" t="s">
        <v>55</v>
      </c>
      <c r="E18" s="17" t="s">
        <v>56</v>
      </c>
      <c r="F18" s="27"/>
      <c r="G18" s="18" t="b">
        <v>0</v>
      </c>
      <c r="H18" s="18" t="b">
        <v>0</v>
      </c>
    </row>
    <row r="19" outlineLevel="1">
      <c r="A19" s="13">
        <v>45919.0</v>
      </c>
      <c r="B19" s="14" t="s">
        <v>18</v>
      </c>
      <c r="C19" s="15" t="s">
        <v>54</v>
      </c>
      <c r="D19" s="16" t="s">
        <v>57</v>
      </c>
      <c r="E19" s="17" t="s">
        <v>16</v>
      </c>
      <c r="F19" s="27" t="s">
        <v>51</v>
      </c>
      <c r="G19" s="18" t="b">
        <v>1</v>
      </c>
      <c r="H19" s="18" t="b">
        <v>0</v>
      </c>
    </row>
    <row r="20" outlineLevel="1">
      <c r="A20" s="13">
        <v>45919.0</v>
      </c>
      <c r="B20" s="14" t="s">
        <v>18</v>
      </c>
      <c r="C20" s="15" t="s">
        <v>23</v>
      </c>
      <c r="D20" s="16" t="s">
        <v>24</v>
      </c>
      <c r="E20" s="17"/>
      <c r="F20" s="16" t="s">
        <v>58</v>
      </c>
      <c r="G20" s="18" t="b">
        <v>1</v>
      </c>
      <c r="H20" s="18" t="b">
        <v>0</v>
      </c>
    </row>
    <row r="21" outlineLevel="1">
      <c r="A21" s="13">
        <v>45919.0</v>
      </c>
      <c r="B21" s="14" t="s">
        <v>59</v>
      </c>
      <c r="C21" s="15" t="s">
        <v>60</v>
      </c>
      <c r="D21" s="16" t="s">
        <v>61</v>
      </c>
      <c r="E21" s="17" t="s">
        <v>16</v>
      </c>
      <c r="F21" s="28" t="s">
        <v>62</v>
      </c>
      <c r="G21" s="18" t="b">
        <v>0</v>
      </c>
      <c r="H21" s="18" t="b">
        <v>0</v>
      </c>
    </row>
    <row r="22" outlineLevel="1">
      <c r="A22" s="13">
        <v>45919.0</v>
      </c>
      <c r="B22" s="14" t="s">
        <v>59</v>
      </c>
      <c r="C22" s="15" t="s">
        <v>63</v>
      </c>
      <c r="D22" s="16" t="s">
        <v>64</v>
      </c>
      <c r="E22" s="17" t="s">
        <v>65</v>
      </c>
      <c r="F22" s="28" t="s">
        <v>62</v>
      </c>
      <c r="G22" s="18" t="b">
        <v>0</v>
      </c>
      <c r="H22" s="18" t="b">
        <v>0</v>
      </c>
    </row>
    <row r="23" outlineLevel="1">
      <c r="A23" s="13">
        <v>45919.0</v>
      </c>
      <c r="B23" s="14" t="s">
        <v>59</v>
      </c>
      <c r="C23" s="15" t="s">
        <v>66</v>
      </c>
      <c r="D23" s="16" t="s">
        <v>64</v>
      </c>
      <c r="E23" s="17" t="s">
        <v>65</v>
      </c>
      <c r="F23" s="28" t="s">
        <v>62</v>
      </c>
      <c r="G23" s="18" t="b">
        <v>0</v>
      </c>
      <c r="H23" s="18" t="b">
        <v>0</v>
      </c>
    </row>
    <row r="24" outlineLevel="1">
      <c r="A24" s="13">
        <v>45922.0</v>
      </c>
      <c r="B24" s="14" t="s">
        <v>18</v>
      </c>
      <c r="C24" s="15" t="s">
        <v>67</v>
      </c>
      <c r="D24" s="16" t="s">
        <v>68</v>
      </c>
      <c r="E24" s="17"/>
      <c r="F24" s="16" t="s">
        <v>69</v>
      </c>
      <c r="G24" s="18" t="b">
        <v>1</v>
      </c>
      <c r="H24" s="18" t="b">
        <v>0</v>
      </c>
    </row>
    <row r="25" outlineLevel="1">
      <c r="A25" s="13">
        <v>45922.0</v>
      </c>
      <c r="B25" s="14" t="s">
        <v>10</v>
      </c>
      <c r="C25" s="15" t="s">
        <v>70</v>
      </c>
      <c r="D25" s="16" t="s">
        <v>34</v>
      </c>
      <c r="E25" s="17"/>
      <c r="F25" s="16" t="s">
        <v>71</v>
      </c>
      <c r="G25" s="18" t="b">
        <v>0</v>
      </c>
      <c r="H25" s="18" t="b">
        <v>0</v>
      </c>
    </row>
    <row r="26" outlineLevel="1">
      <c r="A26" s="13">
        <v>45922.0</v>
      </c>
      <c r="B26" s="14" t="s">
        <v>10</v>
      </c>
      <c r="C26" s="15" t="s">
        <v>33</v>
      </c>
      <c r="D26" s="16" t="s">
        <v>34</v>
      </c>
      <c r="E26" s="17"/>
      <c r="F26" s="16" t="s">
        <v>35</v>
      </c>
      <c r="G26" s="18" t="b">
        <v>0</v>
      </c>
      <c r="H26" s="18" t="b">
        <v>0</v>
      </c>
    </row>
    <row r="27" outlineLevel="1">
      <c r="A27" s="13">
        <v>45923.0</v>
      </c>
      <c r="B27" s="14" t="s">
        <v>18</v>
      </c>
      <c r="C27" s="15" t="s">
        <v>67</v>
      </c>
      <c r="D27" s="16" t="s">
        <v>72</v>
      </c>
      <c r="E27" s="17"/>
      <c r="F27" s="16" t="s">
        <v>73</v>
      </c>
      <c r="G27" s="18" t="b">
        <v>0</v>
      </c>
      <c r="H27" s="18" t="b">
        <v>0</v>
      </c>
    </row>
    <row r="28" outlineLevel="1">
      <c r="A28" s="13">
        <v>45924.0</v>
      </c>
      <c r="B28" s="14" t="s">
        <v>26</v>
      </c>
      <c r="C28" s="15" t="s">
        <v>74</v>
      </c>
      <c r="D28" s="16" t="s">
        <v>75</v>
      </c>
      <c r="E28" s="17" t="s">
        <v>76</v>
      </c>
      <c r="F28" s="28"/>
      <c r="G28" s="18" t="b">
        <v>0</v>
      </c>
      <c r="H28" s="18" t="b">
        <v>0</v>
      </c>
    </row>
    <row r="29" outlineLevel="1">
      <c r="A29" s="13">
        <v>45925.0</v>
      </c>
      <c r="B29" s="14" t="s">
        <v>18</v>
      </c>
      <c r="C29" s="15" t="s">
        <v>77</v>
      </c>
      <c r="D29" s="16" t="s">
        <v>78</v>
      </c>
      <c r="E29" s="17" t="s">
        <v>79</v>
      </c>
      <c r="F29" s="27"/>
      <c r="G29" s="18" t="b">
        <v>0</v>
      </c>
      <c r="H29" s="18" t="b">
        <v>0</v>
      </c>
    </row>
    <row r="30" outlineLevel="1">
      <c r="A30" s="13">
        <v>45925.0</v>
      </c>
      <c r="B30" s="14" t="s">
        <v>18</v>
      </c>
      <c r="C30" s="15" t="s">
        <v>80</v>
      </c>
      <c r="D30" s="16" t="s">
        <v>81</v>
      </c>
      <c r="E30" s="17"/>
      <c r="F30" s="27" t="s">
        <v>82</v>
      </c>
      <c r="G30" s="18" t="b">
        <v>1</v>
      </c>
      <c r="H30" s="18" t="b">
        <v>0</v>
      </c>
    </row>
    <row r="31" outlineLevel="1">
      <c r="A31" s="13">
        <v>45925.0</v>
      </c>
      <c r="B31" s="14" t="s">
        <v>18</v>
      </c>
      <c r="C31" s="15" t="s">
        <v>80</v>
      </c>
      <c r="D31" s="16" t="s">
        <v>83</v>
      </c>
      <c r="E31" s="17" t="s">
        <v>84</v>
      </c>
      <c r="F31" s="27"/>
      <c r="G31" s="18" t="b">
        <v>0</v>
      </c>
      <c r="H31" s="18" t="b">
        <v>0</v>
      </c>
    </row>
    <row r="32" outlineLevel="1">
      <c r="A32" s="13">
        <v>45925.0</v>
      </c>
      <c r="B32" s="14" t="s">
        <v>10</v>
      </c>
      <c r="C32" s="15" t="s">
        <v>85</v>
      </c>
      <c r="D32" s="16" t="s">
        <v>86</v>
      </c>
      <c r="E32" s="17"/>
      <c r="F32" s="27" t="s">
        <v>87</v>
      </c>
      <c r="G32" s="18" t="b">
        <v>0</v>
      </c>
      <c r="H32" s="18" t="b">
        <v>0</v>
      </c>
    </row>
    <row r="33" outlineLevel="1">
      <c r="A33" s="13">
        <v>45929.0</v>
      </c>
      <c r="B33" s="14" t="s">
        <v>18</v>
      </c>
      <c r="C33" s="15" t="s">
        <v>60</v>
      </c>
      <c r="D33" s="16" t="s">
        <v>88</v>
      </c>
      <c r="E33" s="17"/>
      <c r="F33" s="27" t="s">
        <v>89</v>
      </c>
      <c r="G33" s="18" t="b">
        <v>0</v>
      </c>
      <c r="H33" s="18" t="b">
        <v>0</v>
      </c>
    </row>
    <row r="34" outlineLevel="1">
      <c r="A34" s="13">
        <v>45929.0</v>
      </c>
      <c r="B34" s="14" t="s">
        <v>18</v>
      </c>
      <c r="C34" s="15" t="s">
        <v>76</v>
      </c>
      <c r="D34" s="16" t="s">
        <v>90</v>
      </c>
      <c r="E34" s="17"/>
      <c r="F34" s="27"/>
      <c r="G34" s="18" t="b">
        <v>0</v>
      </c>
      <c r="H34" s="18" t="b">
        <v>0</v>
      </c>
    </row>
    <row r="35" outlineLevel="1">
      <c r="A35" s="13">
        <v>45929.0</v>
      </c>
      <c r="B35" s="14" t="s">
        <v>18</v>
      </c>
      <c r="C35" s="15" t="s">
        <v>47</v>
      </c>
      <c r="D35" s="16" t="s">
        <v>91</v>
      </c>
      <c r="E35" s="17" t="s">
        <v>16</v>
      </c>
      <c r="F35" s="27" t="s">
        <v>92</v>
      </c>
      <c r="G35" s="18" t="b">
        <v>1</v>
      </c>
      <c r="H35" s="18" t="b">
        <v>0</v>
      </c>
    </row>
    <row r="36" outlineLevel="1">
      <c r="A36" s="13">
        <v>45930.0</v>
      </c>
      <c r="B36" s="14" t="s">
        <v>18</v>
      </c>
      <c r="C36" s="15" t="s">
        <v>47</v>
      </c>
      <c r="D36" s="16" t="s">
        <v>93</v>
      </c>
      <c r="E36" s="17"/>
      <c r="F36" s="27" t="s">
        <v>94</v>
      </c>
      <c r="G36" s="18" t="b">
        <v>0</v>
      </c>
      <c r="H36" s="18" t="b">
        <v>0</v>
      </c>
    </row>
    <row r="37" outlineLevel="1">
      <c r="A37" s="13">
        <v>45930.0</v>
      </c>
      <c r="B37" s="14" t="s">
        <v>18</v>
      </c>
      <c r="C37" s="15" t="s">
        <v>95</v>
      </c>
      <c r="D37" s="16" t="s">
        <v>96</v>
      </c>
      <c r="E37" s="17"/>
      <c r="F37" s="27" t="s">
        <v>97</v>
      </c>
      <c r="G37" s="18" t="b">
        <v>0</v>
      </c>
      <c r="H37" s="18" t="b">
        <v>0</v>
      </c>
    </row>
    <row r="38" outlineLevel="1">
      <c r="A38" s="13">
        <v>45931.0</v>
      </c>
      <c r="B38" s="14" t="s">
        <v>18</v>
      </c>
      <c r="C38" s="15" t="s">
        <v>56</v>
      </c>
      <c r="D38" s="16" t="s">
        <v>98</v>
      </c>
      <c r="E38" s="17"/>
      <c r="F38" s="27" t="s">
        <v>99</v>
      </c>
      <c r="G38" s="29" t="b">
        <v>1</v>
      </c>
      <c r="H38" s="29" t="b">
        <v>0</v>
      </c>
    </row>
    <row r="39" outlineLevel="1">
      <c r="A39" s="13">
        <v>45931.0</v>
      </c>
      <c r="B39" s="14" t="s">
        <v>18</v>
      </c>
      <c r="C39" s="15" t="s">
        <v>14</v>
      </c>
      <c r="D39" s="16" t="s">
        <v>45</v>
      </c>
      <c r="E39" s="17"/>
      <c r="F39" s="27" t="s">
        <v>99</v>
      </c>
      <c r="G39" s="29" t="b">
        <v>1</v>
      </c>
      <c r="H39" s="29" t="b">
        <v>0</v>
      </c>
    </row>
    <row r="40" outlineLevel="1">
      <c r="A40" s="13">
        <v>45933.0</v>
      </c>
      <c r="B40" s="14" t="s">
        <v>18</v>
      </c>
      <c r="C40" s="15" t="s">
        <v>60</v>
      </c>
      <c r="D40" s="16" t="s">
        <v>100</v>
      </c>
      <c r="E40" s="20" t="s">
        <v>16</v>
      </c>
      <c r="F40" s="27" t="s">
        <v>101</v>
      </c>
      <c r="G40" s="29" t="b">
        <v>1</v>
      </c>
      <c r="H40" s="29" t="b">
        <v>0</v>
      </c>
    </row>
    <row r="41" outlineLevel="1">
      <c r="A41" s="13">
        <v>45933.0</v>
      </c>
      <c r="B41" s="14" t="s">
        <v>18</v>
      </c>
      <c r="C41" s="15" t="s">
        <v>23</v>
      </c>
      <c r="D41" s="16" t="s">
        <v>24</v>
      </c>
      <c r="E41" s="20" t="s">
        <v>27</v>
      </c>
      <c r="F41" s="27" t="s">
        <v>102</v>
      </c>
      <c r="G41" s="29" t="b">
        <v>0</v>
      </c>
      <c r="H41" s="29" t="b">
        <v>0</v>
      </c>
    </row>
    <row r="42" outlineLevel="1">
      <c r="A42" s="13">
        <v>45936.0</v>
      </c>
      <c r="B42" s="14" t="s">
        <v>18</v>
      </c>
      <c r="C42" s="15" t="s">
        <v>70</v>
      </c>
      <c r="D42" s="16" t="s">
        <v>103</v>
      </c>
      <c r="E42" s="20" t="s">
        <v>104</v>
      </c>
      <c r="F42" s="27"/>
      <c r="G42" s="29" t="b">
        <v>0</v>
      </c>
      <c r="H42" s="29" t="b">
        <v>0</v>
      </c>
    </row>
    <row r="43" outlineLevel="1">
      <c r="A43" s="13">
        <v>45938.0</v>
      </c>
      <c r="B43" s="14" t="s">
        <v>18</v>
      </c>
      <c r="C43" s="15" t="s">
        <v>74</v>
      </c>
      <c r="D43" s="16" t="s">
        <v>105</v>
      </c>
      <c r="E43" s="20" t="s">
        <v>76</v>
      </c>
      <c r="F43" s="27"/>
      <c r="G43" s="29" t="b">
        <v>0</v>
      </c>
      <c r="H43" s="29" t="b">
        <v>0</v>
      </c>
    </row>
    <row r="44" outlineLevel="1">
      <c r="A44" s="13">
        <v>45939.0</v>
      </c>
      <c r="B44" s="14" t="s">
        <v>18</v>
      </c>
      <c r="C44" s="15" t="s">
        <v>84</v>
      </c>
      <c r="D44" s="16" t="s">
        <v>106</v>
      </c>
      <c r="E44" s="20" t="s">
        <v>85</v>
      </c>
      <c r="F44" s="27"/>
      <c r="G44" s="29" t="b">
        <v>0</v>
      </c>
      <c r="H44" s="29" t="b">
        <v>0</v>
      </c>
    </row>
    <row r="45" outlineLevel="1">
      <c r="A45" s="13">
        <v>45939.0</v>
      </c>
      <c r="B45" s="14" t="s">
        <v>10</v>
      </c>
      <c r="C45" s="15" t="s">
        <v>107</v>
      </c>
      <c r="D45" s="16" t="s">
        <v>108</v>
      </c>
      <c r="E45" s="20"/>
      <c r="F45" s="27"/>
      <c r="G45" s="29" t="b">
        <v>0</v>
      </c>
      <c r="H45" s="29" t="b">
        <v>0</v>
      </c>
    </row>
    <row r="46" outlineLevel="1">
      <c r="A46" s="13">
        <v>45940.0</v>
      </c>
      <c r="B46" s="14" t="s">
        <v>18</v>
      </c>
      <c r="C46" s="15" t="s">
        <v>19</v>
      </c>
      <c r="D46" s="16" t="s">
        <v>100</v>
      </c>
      <c r="E46" s="20" t="s">
        <v>16</v>
      </c>
      <c r="F46" s="27" t="s">
        <v>109</v>
      </c>
      <c r="G46" s="29" t="b">
        <v>1</v>
      </c>
      <c r="H46" s="29" t="b">
        <v>0</v>
      </c>
    </row>
    <row r="47" outlineLevel="1">
      <c r="A47" s="13">
        <v>45941.0</v>
      </c>
      <c r="B47" s="14" t="s">
        <v>26</v>
      </c>
      <c r="C47" s="15" t="s">
        <v>110</v>
      </c>
      <c r="D47" s="16" t="s">
        <v>111</v>
      </c>
      <c r="E47" s="20" t="s">
        <v>112</v>
      </c>
      <c r="F47" s="27" t="s">
        <v>113</v>
      </c>
      <c r="G47" s="29" t="b">
        <v>0</v>
      </c>
      <c r="H47" s="29" t="b">
        <v>0</v>
      </c>
    </row>
    <row r="48" outlineLevel="1">
      <c r="A48" s="13">
        <v>45943.0</v>
      </c>
      <c r="B48" s="14" t="s">
        <v>18</v>
      </c>
      <c r="C48" s="15" t="s">
        <v>114</v>
      </c>
      <c r="D48" s="16" t="s">
        <v>115</v>
      </c>
      <c r="E48" s="27" t="s">
        <v>116</v>
      </c>
      <c r="F48" s="27" t="s">
        <v>117</v>
      </c>
      <c r="G48" s="29" t="b">
        <v>0</v>
      </c>
      <c r="H48" s="29" t="b">
        <v>0</v>
      </c>
    </row>
    <row r="49" outlineLevel="1">
      <c r="A49" s="13">
        <v>45943.0</v>
      </c>
      <c r="B49" s="14" t="s">
        <v>18</v>
      </c>
      <c r="C49" s="15" t="s">
        <v>70</v>
      </c>
      <c r="D49" s="16" t="s">
        <v>118</v>
      </c>
      <c r="E49" s="20" t="s">
        <v>104</v>
      </c>
      <c r="F49" s="27"/>
      <c r="G49" s="29" t="b">
        <v>0</v>
      </c>
      <c r="H49" s="29" t="b">
        <v>0</v>
      </c>
    </row>
    <row r="50" outlineLevel="1">
      <c r="A50" s="13">
        <v>45943.0</v>
      </c>
      <c r="B50" s="14" t="s">
        <v>18</v>
      </c>
      <c r="C50" s="15" t="s">
        <v>85</v>
      </c>
      <c r="D50" s="16" t="s">
        <v>119</v>
      </c>
      <c r="E50" s="20" t="s">
        <v>120</v>
      </c>
      <c r="F50" s="27" t="s">
        <v>121</v>
      </c>
      <c r="G50" s="29" t="b">
        <v>0</v>
      </c>
      <c r="H50" s="29" t="b">
        <v>0</v>
      </c>
    </row>
    <row r="51" outlineLevel="1">
      <c r="A51" s="13">
        <v>45943.0</v>
      </c>
      <c r="B51" s="14" t="s">
        <v>18</v>
      </c>
      <c r="C51" s="15" t="s">
        <v>85</v>
      </c>
      <c r="D51" s="16" t="s">
        <v>122</v>
      </c>
      <c r="E51" s="20" t="s">
        <v>84</v>
      </c>
      <c r="F51" s="27"/>
      <c r="G51" s="29" t="b">
        <v>0</v>
      </c>
      <c r="H51" s="29" t="b">
        <v>0</v>
      </c>
    </row>
    <row r="52" outlineLevel="1">
      <c r="A52" s="13">
        <v>45943.0</v>
      </c>
      <c r="B52" s="14" t="s">
        <v>18</v>
      </c>
      <c r="C52" s="15" t="s">
        <v>19</v>
      </c>
      <c r="D52" s="16" t="s">
        <v>123</v>
      </c>
      <c r="E52" s="20"/>
      <c r="F52" s="27" t="s">
        <v>124</v>
      </c>
      <c r="G52" s="29" t="b">
        <v>1</v>
      </c>
      <c r="H52" s="29" t="b">
        <v>0</v>
      </c>
    </row>
    <row r="53" outlineLevel="1">
      <c r="A53" s="13">
        <v>45943.0</v>
      </c>
      <c r="B53" s="14" t="s">
        <v>26</v>
      </c>
      <c r="C53" s="15" t="s">
        <v>125</v>
      </c>
      <c r="D53" s="16" t="s">
        <v>126</v>
      </c>
      <c r="E53" s="27" t="s">
        <v>16</v>
      </c>
      <c r="F53" s="27" t="s">
        <v>127</v>
      </c>
      <c r="G53" s="29" t="b">
        <v>1</v>
      </c>
      <c r="H53" s="29" t="b">
        <v>0</v>
      </c>
    </row>
    <row r="54" outlineLevel="1">
      <c r="A54" s="13">
        <v>45944.0</v>
      </c>
      <c r="B54" s="14" t="s">
        <v>18</v>
      </c>
      <c r="C54" s="15" t="s">
        <v>128</v>
      </c>
      <c r="D54" s="16" t="s">
        <v>129</v>
      </c>
      <c r="E54" s="20" t="s">
        <v>16</v>
      </c>
      <c r="F54" s="27" t="s">
        <v>130</v>
      </c>
      <c r="G54" s="29" t="b">
        <v>1</v>
      </c>
      <c r="H54" s="29" t="b">
        <v>0</v>
      </c>
    </row>
    <row r="55" outlineLevel="1">
      <c r="A55" s="13">
        <v>45945.0</v>
      </c>
      <c r="B55" s="14" t="s">
        <v>18</v>
      </c>
      <c r="C55" s="15" t="s">
        <v>131</v>
      </c>
      <c r="D55" s="16" t="s">
        <v>132</v>
      </c>
      <c r="E55" s="20" t="s">
        <v>23</v>
      </c>
      <c r="F55" s="27"/>
      <c r="G55" s="29" t="b">
        <v>0</v>
      </c>
      <c r="H55" s="29" t="b">
        <v>0</v>
      </c>
    </row>
    <row r="56" outlineLevel="1">
      <c r="A56" s="13">
        <v>45945.0</v>
      </c>
      <c r="B56" s="14" t="s">
        <v>18</v>
      </c>
      <c r="C56" s="15" t="s">
        <v>74</v>
      </c>
      <c r="D56" s="16"/>
      <c r="E56" s="20"/>
      <c r="F56" s="27" t="s">
        <v>133</v>
      </c>
      <c r="G56" s="30" t="b">
        <v>0</v>
      </c>
      <c r="H56" s="30" t="b">
        <v>0</v>
      </c>
    </row>
    <row r="57" outlineLevel="1">
      <c r="A57" s="13">
        <v>45946.0</v>
      </c>
      <c r="B57" s="14" t="s">
        <v>18</v>
      </c>
      <c r="C57" s="15" t="s">
        <v>77</v>
      </c>
      <c r="D57" s="16" t="s">
        <v>134</v>
      </c>
      <c r="E57" s="20" t="s">
        <v>79</v>
      </c>
      <c r="F57" s="27"/>
      <c r="G57" s="29" t="b">
        <v>0</v>
      </c>
      <c r="H57" s="29" t="b">
        <v>0</v>
      </c>
    </row>
    <row r="58" outlineLevel="1">
      <c r="A58" s="13">
        <v>45946.0</v>
      </c>
      <c r="B58" s="14" t="s">
        <v>18</v>
      </c>
      <c r="C58" s="15" t="s">
        <v>85</v>
      </c>
      <c r="D58" s="16" t="s">
        <v>122</v>
      </c>
      <c r="E58" s="20"/>
      <c r="F58" s="20" t="s">
        <v>135</v>
      </c>
      <c r="G58" s="29" t="b">
        <v>0</v>
      </c>
      <c r="H58" s="29" t="b">
        <v>0</v>
      </c>
    </row>
    <row r="59" outlineLevel="1">
      <c r="A59" s="13">
        <v>45946.0</v>
      </c>
      <c r="B59" s="14" t="s">
        <v>18</v>
      </c>
      <c r="C59" s="15" t="s">
        <v>131</v>
      </c>
      <c r="D59" s="16" t="s">
        <v>136</v>
      </c>
      <c r="E59" s="20" t="s">
        <v>56</v>
      </c>
      <c r="F59" s="20"/>
      <c r="G59" s="29" t="b">
        <v>0</v>
      </c>
      <c r="H59" s="29" t="b">
        <v>0</v>
      </c>
    </row>
    <row r="60" outlineLevel="1">
      <c r="A60" s="13">
        <v>45946.0</v>
      </c>
      <c r="B60" s="14" t="s">
        <v>18</v>
      </c>
      <c r="C60" s="15" t="s">
        <v>84</v>
      </c>
      <c r="D60" s="16" t="s">
        <v>137</v>
      </c>
      <c r="E60" s="20"/>
      <c r="F60" s="27" t="s">
        <v>138</v>
      </c>
      <c r="G60" s="29" t="b">
        <v>0</v>
      </c>
      <c r="H60" s="29" t="b">
        <v>0</v>
      </c>
    </row>
    <row r="61" outlineLevel="1">
      <c r="A61" s="13">
        <v>45946.0</v>
      </c>
      <c r="B61" s="14" t="s">
        <v>10</v>
      </c>
      <c r="C61" s="15" t="s">
        <v>139</v>
      </c>
      <c r="D61" s="16" t="s">
        <v>140</v>
      </c>
      <c r="E61" s="27" t="s">
        <v>97</v>
      </c>
      <c r="F61" s="27"/>
      <c r="G61" s="29" t="b">
        <v>0</v>
      </c>
      <c r="H61" s="29" t="b">
        <v>0</v>
      </c>
    </row>
    <row r="62" outlineLevel="1">
      <c r="A62" s="13">
        <v>45946.0</v>
      </c>
      <c r="B62" s="14" t="s">
        <v>10</v>
      </c>
      <c r="C62" s="15" t="s">
        <v>139</v>
      </c>
      <c r="D62" s="16" t="s">
        <v>141</v>
      </c>
      <c r="E62" s="27" t="s">
        <v>97</v>
      </c>
      <c r="F62" s="27"/>
      <c r="G62" s="29" t="b">
        <v>0</v>
      </c>
      <c r="H62" s="29" t="b">
        <v>0</v>
      </c>
    </row>
    <row r="63" outlineLevel="1">
      <c r="A63" s="13">
        <v>45950.0</v>
      </c>
      <c r="B63" s="14" t="s">
        <v>18</v>
      </c>
      <c r="C63" s="15" t="s">
        <v>114</v>
      </c>
      <c r="D63" s="16" t="s">
        <v>115</v>
      </c>
      <c r="E63" s="27" t="s">
        <v>116</v>
      </c>
      <c r="F63" s="27" t="s">
        <v>117</v>
      </c>
      <c r="G63" s="29" t="b">
        <v>0</v>
      </c>
      <c r="H63" s="29" t="b">
        <v>0</v>
      </c>
    </row>
    <row r="64" outlineLevel="1">
      <c r="A64" s="13">
        <v>45950.0</v>
      </c>
      <c r="B64" s="14" t="s">
        <v>18</v>
      </c>
      <c r="C64" s="15" t="s">
        <v>142</v>
      </c>
      <c r="D64" s="16" t="s">
        <v>143</v>
      </c>
      <c r="E64" s="20" t="s">
        <v>144</v>
      </c>
      <c r="F64" s="31"/>
      <c r="G64" s="29" t="b">
        <v>0</v>
      </c>
      <c r="H64" s="29" t="b">
        <v>0</v>
      </c>
    </row>
    <row r="65" outlineLevel="1">
      <c r="A65" s="13">
        <v>45950.0</v>
      </c>
      <c r="B65" s="14" t="s">
        <v>26</v>
      </c>
      <c r="C65" s="15" t="s">
        <v>60</v>
      </c>
      <c r="D65" s="16" t="s">
        <v>145</v>
      </c>
      <c r="E65" s="20" t="s">
        <v>16</v>
      </c>
      <c r="F65" s="31" t="s">
        <v>146</v>
      </c>
      <c r="G65" s="29" t="b">
        <v>1</v>
      </c>
      <c r="H65" s="29" t="b">
        <v>0</v>
      </c>
    </row>
    <row r="66" outlineLevel="1">
      <c r="A66" s="13">
        <v>45951.0</v>
      </c>
      <c r="B66" s="14" t="s">
        <v>18</v>
      </c>
      <c r="C66" s="15" t="s">
        <v>128</v>
      </c>
      <c r="D66" s="16" t="s">
        <v>147</v>
      </c>
      <c r="E66" s="20" t="s">
        <v>49</v>
      </c>
      <c r="F66" s="31" t="s">
        <v>148</v>
      </c>
      <c r="G66" s="29" t="b">
        <v>0</v>
      </c>
      <c r="H66" s="29" t="b">
        <v>0</v>
      </c>
    </row>
    <row r="67" outlineLevel="1">
      <c r="A67" s="13">
        <v>45952.0</v>
      </c>
      <c r="B67" s="14" t="s">
        <v>18</v>
      </c>
      <c r="C67" s="15" t="s">
        <v>131</v>
      </c>
      <c r="D67" s="16" t="s">
        <v>98</v>
      </c>
      <c r="E67" s="20"/>
      <c r="F67" s="31" t="s">
        <v>149</v>
      </c>
      <c r="G67" s="29" t="b">
        <v>0</v>
      </c>
      <c r="H67" s="29" t="b">
        <v>0</v>
      </c>
    </row>
    <row r="68" outlineLevel="1">
      <c r="A68" s="13">
        <v>45953.0</v>
      </c>
      <c r="B68" s="14" t="s">
        <v>18</v>
      </c>
      <c r="C68" s="15" t="s">
        <v>131</v>
      </c>
      <c r="D68" s="16" t="s">
        <v>150</v>
      </c>
      <c r="E68" s="20" t="s">
        <v>49</v>
      </c>
      <c r="F68" s="31"/>
      <c r="G68" s="29" t="b">
        <v>0</v>
      </c>
      <c r="H68" s="29" t="b">
        <v>0</v>
      </c>
    </row>
    <row r="69" outlineLevel="1">
      <c r="A69" s="13">
        <v>45953.0</v>
      </c>
      <c r="B69" s="14" t="s">
        <v>10</v>
      </c>
      <c r="C69" s="15" t="s">
        <v>151</v>
      </c>
      <c r="D69" s="16" t="s">
        <v>152</v>
      </c>
      <c r="E69" s="20" t="s">
        <v>153</v>
      </c>
      <c r="F69" s="31"/>
      <c r="G69" s="29" t="b">
        <v>0</v>
      </c>
      <c r="H69" s="29" t="b">
        <v>0</v>
      </c>
    </row>
    <row r="70" outlineLevel="1">
      <c r="A70" s="13">
        <v>45954.0</v>
      </c>
      <c r="B70" s="14" t="s">
        <v>18</v>
      </c>
      <c r="C70" s="15" t="s">
        <v>84</v>
      </c>
      <c r="D70" s="16" t="s">
        <v>154</v>
      </c>
      <c r="E70" s="20"/>
      <c r="F70" s="31" t="s">
        <v>155</v>
      </c>
      <c r="G70" s="29" t="b">
        <v>0</v>
      </c>
      <c r="H70" s="29" t="b">
        <v>0</v>
      </c>
    </row>
    <row r="71" outlineLevel="1">
      <c r="A71" s="13">
        <v>45955.0</v>
      </c>
      <c r="B71" s="14" t="s">
        <v>18</v>
      </c>
      <c r="C71" s="15" t="s">
        <v>156</v>
      </c>
      <c r="D71" s="16" t="s">
        <v>157</v>
      </c>
      <c r="E71" s="20" t="s">
        <v>16</v>
      </c>
      <c r="F71" s="27" t="s">
        <v>158</v>
      </c>
      <c r="G71" s="29" t="b">
        <v>1</v>
      </c>
      <c r="H71" s="29" t="b">
        <v>0</v>
      </c>
    </row>
    <row r="72" outlineLevel="1">
      <c r="A72" s="13">
        <v>45955.0</v>
      </c>
      <c r="B72" s="14" t="s">
        <v>18</v>
      </c>
      <c r="C72" s="15" t="s">
        <v>56</v>
      </c>
      <c r="D72" s="16" t="s">
        <v>159</v>
      </c>
      <c r="E72" s="20" t="s">
        <v>53</v>
      </c>
      <c r="F72" s="27"/>
      <c r="G72" s="29" t="b">
        <v>0</v>
      </c>
      <c r="H72" s="29" t="b">
        <v>0</v>
      </c>
    </row>
    <row r="73" outlineLevel="1">
      <c r="A73" s="13">
        <v>45955.0</v>
      </c>
      <c r="B73" s="14" t="s">
        <v>18</v>
      </c>
      <c r="C73" s="15" t="s">
        <v>56</v>
      </c>
      <c r="D73" s="16" t="s">
        <v>160</v>
      </c>
      <c r="E73" s="20"/>
      <c r="F73" s="27" t="s">
        <v>161</v>
      </c>
      <c r="G73" s="29" t="b">
        <v>0</v>
      </c>
      <c r="H73" s="29" t="b">
        <v>0</v>
      </c>
    </row>
    <row r="74" outlineLevel="1">
      <c r="A74" s="13">
        <v>45957.0</v>
      </c>
      <c r="B74" s="14" t="s">
        <v>18</v>
      </c>
      <c r="C74" s="15" t="s">
        <v>114</v>
      </c>
      <c r="D74" s="16" t="s">
        <v>115</v>
      </c>
      <c r="E74" s="27" t="s">
        <v>116</v>
      </c>
      <c r="F74" s="27" t="s">
        <v>117</v>
      </c>
      <c r="G74" s="29" t="b">
        <v>0</v>
      </c>
      <c r="H74" s="29" t="b">
        <v>0</v>
      </c>
    </row>
    <row r="75" outlineLevel="1">
      <c r="A75" s="13">
        <v>45957.0</v>
      </c>
      <c r="B75" s="14" t="s">
        <v>18</v>
      </c>
      <c r="C75" s="15" t="s">
        <v>84</v>
      </c>
      <c r="D75" s="16" t="s">
        <v>162</v>
      </c>
      <c r="E75" s="31" t="s">
        <v>163</v>
      </c>
      <c r="F75" s="31" t="s">
        <v>164</v>
      </c>
      <c r="G75" s="32" t="b">
        <v>0</v>
      </c>
      <c r="H75" s="32" t="b">
        <v>0</v>
      </c>
    </row>
    <row r="76" outlineLevel="1">
      <c r="A76" s="13">
        <v>45957.0</v>
      </c>
      <c r="B76" s="14" t="s">
        <v>18</v>
      </c>
      <c r="C76" s="15" t="s">
        <v>84</v>
      </c>
      <c r="D76" s="16" t="s">
        <v>165</v>
      </c>
      <c r="E76" s="20" t="s">
        <v>144</v>
      </c>
      <c r="F76" s="31" t="s">
        <v>166</v>
      </c>
      <c r="G76" s="32" t="b">
        <v>0</v>
      </c>
      <c r="H76" s="32" t="b">
        <v>0</v>
      </c>
    </row>
    <row r="77" outlineLevel="1">
      <c r="A77" s="13">
        <v>45958.0</v>
      </c>
      <c r="B77" s="14" t="s">
        <v>18</v>
      </c>
      <c r="C77" s="15" t="s">
        <v>167</v>
      </c>
      <c r="D77" s="16" t="s">
        <v>168</v>
      </c>
      <c r="E77" s="31" t="s">
        <v>169</v>
      </c>
      <c r="F77" s="31" t="s">
        <v>170</v>
      </c>
      <c r="G77" s="29" t="b">
        <v>0</v>
      </c>
      <c r="H77" s="29" t="b">
        <v>0</v>
      </c>
    </row>
    <row r="78" outlineLevel="1">
      <c r="A78" s="13">
        <v>45961.0</v>
      </c>
      <c r="B78" s="14" t="s">
        <v>18</v>
      </c>
      <c r="C78" s="15" t="s">
        <v>54</v>
      </c>
      <c r="D78" s="16" t="s">
        <v>171</v>
      </c>
      <c r="E78" s="17"/>
      <c r="F78" s="31" t="s">
        <v>172</v>
      </c>
      <c r="G78" s="29" t="b">
        <v>1</v>
      </c>
      <c r="H78" s="29" t="b">
        <v>0</v>
      </c>
    </row>
    <row r="79" outlineLevel="1">
      <c r="A79" s="13">
        <v>45961.0</v>
      </c>
      <c r="B79" s="14" t="s">
        <v>18</v>
      </c>
      <c r="C79" s="15" t="s">
        <v>54</v>
      </c>
      <c r="D79" s="16" t="s">
        <v>173</v>
      </c>
      <c r="E79" s="17"/>
      <c r="F79" s="31" t="s">
        <v>174</v>
      </c>
      <c r="G79" s="29" t="b">
        <v>1</v>
      </c>
      <c r="H79" s="29" t="b">
        <v>0</v>
      </c>
    </row>
    <row r="80" outlineLevel="1">
      <c r="A80" s="13">
        <v>45961.0</v>
      </c>
      <c r="B80" s="14" t="s">
        <v>18</v>
      </c>
      <c r="C80" s="15" t="s">
        <v>19</v>
      </c>
      <c r="D80" s="16" t="s">
        <v>175</v>
      </c>
      <c r="E80" s="31" t="s">
        <v>16</v>
      </c>
      <c r="F80" s="31" t="s">
        <v>176</v>
      </c>
      <c r="G80" s="29" t="b">
        <v>1</v>
      </c>
      <c r="H80" s="29" t="b">
        <v>0</v>
      </c>
    </row>
    <row r="81" outlineLevel="1">
      <c r="A81" s="13">
        <v>45961.0</v>
      </c>
      <c r="B81" s="14" t="s">
        <v>18</v>
      </c>
      <c r="C81" s="15" t="s">
        <v>40</v>
      </c>
      <c r="D81" s="16" t="s">
        <v>177</v>
      </c>
      <c r="E81" s="31" t="s">
        <v>16</v>
      </c>
      <c r="F81" s="31" t="s">
        <v>97</v>
      </c>
      <c r="G81" s="29" t="b">
        <v>0</v>
      </c>
      <c r="H81" s="29" t="b">
        <v>0</v>
      </c>
    </row>
    <row r="82" outlineLevel="1">
      <c r="A82" s="13">
        <v>45964.0</v>
      </c>
      <c r="B82" s="14" t="s">
        <v>18</v>
      </c>
      <c r="C82" s="15" t="s">
        <v>114</v>
      </c>
      <c r="D82" s="16" t="s">
        <v>115</v>
      </c>
      <c r="E82" s="31" t="s">
        <v>178</v>
      </c>
      <c r="F82" s="31" t="s">
        <v>117</v>
      </c>
      <c r="G82" s="18" t="b">
        <v>0</v>
      </c>
      <c r="H82" s="18" t="b">
        <v>0</v>
      </c>
    </row>
    <row r="83" outlineLevel="1">
      <c r="A83" s="13">
        <v>45967.0</v>
      </c>
      <c r="B83" s="14" t="s">
        <v>18</v>
      </c>
      <c r="C83" s="15" t="s">
        <v>47</v>
      </c>
      <c r="D83" s="16" t="s">
        <v>179</v>
      </c>
      <c r="E83" s="31" t="s">
        <v>180</v>
      </c>
      <c r="F83" s="31"/>
      <c r="G83" s="18" t="b">
        <v>0</v>
      </c>
      <c r="H83" s="18" t="b">
        <v>0</v>
      </c>
    </row>
    <row r="84" outlineLevel="1">
      <c r="A84" s="13">
        <v>45968.0</v>
      </c>
      <c r="B84" s="14" t="s">
        <v>18</v>
      </c>
      <c r="C84" s="15" t="s">
        <v>60</v>
      </c>
      <c r="D84" s="16" t="s">
        <v>181</v>
      </c>
      <c r="E84" s="31" t="s">
        <v>16</v>
      </c>
      <c r="F84" s="31" t="s">
        <v>182</v>
      </c>
      <c r="G84" s="18" t="b">
        <v>1</v>
      </c>
      <c r="H84" s="18" t="b">
        <v>0</v>
      </c>
    </row>
    <row r="85" outlineLevel="1">
      <c r="A85" s="13">
        <v>45968.0</v>
      </c>
      <c r="B85" s="14" t="s">
        <v>18</v>
      </c>
      <c r="C85" s="15" t="s">
        <v>60</v>
      </c>
      <c r="D85" s="16" t="s">
        <v>183</v>
      </c>
      <c r="E85" s="31" t="s">
        <v>16</v>
      </c>
      <c r="F85" s="31" t="s">
        <v>184</v>
      </c>
      <c r="G85" s="18" t="b">
        <v>1</v>
      </c>
      <c r="H85" s="18" t="b">
        <v>0</v>
      </c>
    </row>
    <row r="86" outlineLevel="1">
      <c r="A86" s="13">
        <v>45968.0</v>
      </c>
      <c r="B86" s="14" t="s">
        <v>18</v>
      </c>
      <c r="C86" s="15" t="s">
        <v>60</v>
      </c>
      <c r="D86" s="16" t="s">
        <v>185</v>
      </c>
      <c r="E86" s="31" t="s">
        <v>16</v>
      </c>
      <c r="F86" s="31" t="s">
        <v>186</v>
      </c>
      <c r="G86" s="18" t="b">
        <v>1</v>
      </c>
      <c r="H86" s="18" t="b">
        <v>0</v>
      </c>
    </row>
    <row r="87" outlineLevel="1">
      <c r="A87" s="13">
        <v>45968.0</v>
      </c>
      <c r="B87" s="14" t="s">
        <v>18</v>
      </c>
      <c r="C87" s="15" t="s">
        <v>27</v>
      </c>
      <c r="D87" s="16" t="s">
        <v>187</v>
      </c>
      <c r="E87" s="31" t="s">
        <v>16</v>
      </c>
      <c r="F87" s="31" t="s">
        <v>188</v>
      </c>
      <c r="G87" s="18" t="b">
        <v>1</v>
      </c>
      <c r="H87" s="18" t="b">
        <v>0</v>
      </c>
    </row>
    <row r="88" outlineLevel="1">
      <c r="A88" s="13">
        <v>45969.0</v>
      </c>
      <c r="B88" s="14" t="s">
        <v>18</v>
      </c>
      <c r="C88" s="15" t="s">
        <v>189</v>
      </c>
      <c r="D88" s="16" t="s">
        <v>190</v>
      </c>
      <c r="E88" s="31" t="s">
        <v>191</v>
      </c>
      <c r="F88" s="31" t="s">
        <v>192</v>
      </c>
      <c r="G88" s="18" t="b">
        <v>1</v>
      </c>
      <c r="H88" s="18" t="b">
        <v>0</v>
      </c>
    </row>
    <row r="89" outlineLevel="1">
      <c r="A89" s="13">
        <v>45969.0</v>
      </c>
      <c r="B89" s="14" t="s">
        <v>18</v>
      </c>
      <c r="C89" s="15" t="s">
        <v>125</v>
      </c>
      <c r="D89" s="16" t="s">
        <v>193</v>
      </c>
      <c r="E89" s="31" t="s">
        <v>65</v>
      </c>
      <c r="F89" s="31" t="s">
        <v>194</v>
      </c>
      <c r="G89" s="18" t="b">
        <v>1</v>
      </c>
      <c r="H89" s="18" t="b">
        <v>0</v>
      </c>
    </row>
    <row r="90" outlineLevel="1">
      <c r="A90" s="13">
        <v>45971.0</v>
      </c>
      <c r="B90" s="14" t="s">
        <v>18</v>
      </c>
      <c r="C90" s="15" t="s">
        <v>49</v>
      </c>
      <c r="D90" s="16" t="s">
        <v>195</v>
      </c>
      <c r="E90" s="31"/>
      <c r="F90" s="27" t="s">
        <v>196</v>
      </c>
      <c r="G90" s="18" t="b">
        <v>1</v>
      </c>
      <c r="H90" s="18" t="b">
        <v>0</v>
      </c>
    </row>
    <row r="91" outlineLevel="1">
      <c r="A91" s="13">
        <v>45971.0</v>
      </c>
      <c r="B91" s="14" t="s">
        <v>18</v>
      </c>
      <c r="C91" s="15" t="s">
        <v>197</v>
      </c>
      <c r="D91" s="16" t="s">
        <v>115</v>
      </c>
      <c r="E91" s="17" t="s">
        <v>16</v>
      </c>
      <c r="F91" s="31" t="s">
        <v>198</v>
      </c>
      <c r="G91" s="18" t="b">
        <v>0</v>
      </c>
      <c r="H91" s="18" t="b">
        <v>0</v>
      </c>
    </row>
    <row r="92" outlineLevel="1">
      <c r="A92" s="13">
        <v>45971.0</v>
      </c>
      <c r="B92" s="14" t="s">
        <v>10</v>
      </c>
      <c r="C92" s="15" t="s">
        <v>199</v>
      </c>
      <c r="D92" s="16" t="s">
        <v>200</v>
      </c>
      <c r="E92" s="17"/>
      <c r="F92" s="31" t="s">
        <v>42</v>
      </c>
      <c r="G92" s="18" t="b">
        <v>0</v>
      </c>
      <c r="H92" s="18" t="b">
        <v>0</v>
      </c>
    </row>
    <row r="93" outlineLevel="1">
      <c r="A93" s="13">
        <v>45971.0</v>
      </c>
      <c r="B93" s="14" t="s">
        <v>18</v>
      </c>
      <c r="C93" s="15" t="s">
        <v>80</v>
      </c>
      <c r="D93" s="16" t="s">
        <v>201</v>
      </c>
      <c r="E93" s="17"/>
      <c r="F93" s="31" t="s">
        <v>127</v>
      </c>
      <c r="G93" s="18" t="b">
        <v>1</v>
      </c>
      <c r="H93" s="18" t="b">
        <v>0</v>
      </c>
    </row>
    <row r="94" outlineLevel="1">
      <c r="A94" s="13">
        <v>45972.0</v>
      </c>
      <c r="B94" s="14" t="s">
        <v>18</v>
      </c>
      <c r="C94" s="15" t="s">
        <v>202</v>
      </c>
      <c r="D94" s="16" t="s">
        <v>129</v>
      </c>
      <c r="E94" s="17" t="s">
        <v>16</v>
      </c>
      <c r="F94" s="31" t="s">
        <v>203</v>
      </c>
      <c r="G94" s="18" t="b">
        <v>1</v>
      </c>
      <c r="H94" s="18" t="b">
        <v>0</v>
      </c>
    </row>
    <row r="95" outlineLevel="1">
      <c r="A95" s="13">
        <v>45973.0</v>
      </c>
      <c r="B95" s="14" t="s">
        <v>18</v>
      </c>
      <c r="C95" s="15" t="s">
        <v>204</v>
      </c>
      <c r="D95" s="16" t="s">
        <v>205</v>
      </c>
      <c r="E95" s="17" t="s">
        <v>80</v>
      </c>
      <c r="F95" s="31"/>
      <c r="G95" s="18" t="b">
        <v>0</v>
      </c>
      <c r="H95" s="18" t="b">
        <v>0</v>
      </c>
    </row>
    <row r="96" outlineLevel="1">
      <c r="A96" s="13">
        <v>45973.0</v>
      </c>
      <c r="B96" s="14" t="s">
        <v>18</v>
      </c>
      <c r="C96" s="15" t="s">
        <v>204</v>
      </c>
      <c r="D96" s="16" t="s">
        <v>45</v>
      </c>
      <c r="E96" s="17" t="s">
        <v>30</v>
      </c>
      <c r="F96" s="31" t="s">
        <v>206</v>
      </c>
      <c r="G96" s="18" t="b">
        <v>1</v>
      </c>
      <c r="H96" s="18" t="b">
        <v>0</v>
      </c>
    </row>
    <row r="97" outlineLevel="1">
      <c r="A97" s="13">
        <v>45973.0</v>
      </c>
      <c r="B97" s="14" t="s">
        <v>18</v>
      </c>
      <c r="C97" s="15" t="s">
        <v>131</v>
      </c>
      <c r="D97" s="16" t="s">
        <v>98</v>
      </c>
      <c r="E97" s="20"/>
      <c r="F97" s="31" t="s">
        <v>207</v>
      </c>
      <c r="G97" s="18" t="b">
        <v>0</v>
      </c>
      <c r="H97" s="18" t="b">
        <v>0</v>
      </c>
    </row>
    <row r="98" outlineLevel="1">
      <c r="A98" s="33">
        <v>45974.0</v>
      </c>
      <c r="B98" s="14" t="s">
        <v>26</v>
      </c>
      <c r="C98" s="15" t="s">
        <v>131</v>
      </c>
      <c r="D98" s="16" t="s">
        <v>208</v>
      </c>
      <c r="E98" s="20"/>
      <c r="F98" s="31" t="s">
        <v>209</v>
      </c>
      <c r="G98" s="18" t="b">
        <v>0</v>
      </c>
      <c r="H98" s="18" t="b">
        <v>0</v>
      </c>
    </row>
    <row r="99" outlineLevel="1">
      <c r="A99" s="33">
        <v>45974.0</v>
      </c>
      <c r="B99" s="8" t="s">
        <v>18</v>
      </c>
      <c r="C99" s="15" t="s">
        <v>210</v>
      </c>
      <c r="D99" s="16" t="s">
        <v>211</v>
      </c>
      <c r="E99" s="20"/>
      <c r="F99" s="31" t="s">
        <v>212</v>
      </c>
      <c r="G99" s="18" t="b">
        <v>1</v>
      </c>
      <c r="H99" s="18" t="b">
        <v>0</v>
      </c>
    </row>
    <row r="100" outlineLevel="1">
      <c r="A100" s="13">
        <v>45975.0</v>
      </c>
      <c r="B100" s="8" t="s">
        <v>18</v>
      </c>
      <c r="C100" s="21" t="s">
        <v>49</v>
      </c>
      <c r="D100" s="16" t="s">
        <v>213</v>
      </c>
      <c r="E100" s="20" t="s">
        <v>16</v>
      </c>
      <c r="F100" s="34" t="s">
        <v>214</v>
      </c>
      <c r="G100" s="35" t="b">
        <v>1</v>
      </c>
      <c r="H100" s="36" t="b">
        <v>0</v>
      </c>
    </row>
    <row r="101" outlineLevel="1">
      <c r="A101" s="13">
        <v>45975.0</v>
      </c>
      <c r="B101" s="8" t="s">
        <v>18</v>
      </c>
      <c r="C101" s="21" t="s">
        <v>49</v>
      </c>
      <c r="D101" s="16" t="s">
        <v>215</v>
      </c>
      <c r="E101" s="20" t="s">
        <v>189</v>
      </c>
      <c r="F101" s="34" t="s">
        <v>216</v>
      </c>
      <c r="G101" s="36" t="b">
        <v>0</v>
      </c>
      <c r="H101" s="36" t="b">
        <v>0</v>
      </c>
    </row>
    <row r="102" outlineLevel="1">
      <c r="A102" s="13">
        <v>45975.0</v>
      </c>
      <c r="B102" s="14" t="s">
        <v>18</v>
      </c>
      <c r="C102" s="15" t="s">
        <v>53</v>
      </c>
      <c r="D102" s="16" t="s">
        <v>217</v>
      </c>
      <c r="E102" s="20"/>
      <c r="F102" s="34" t="s">
        <v>218</v>
      </c>
      <c r="G102" s="35" t="b">
        <v>1</v>
      </c>
      <c r="H102" s="36" t="b">
        <v>0</v>
      </c>
    </row>
    <row r="103" outlineLevel="1">
      <c r="A103" s="13">
        <v>45975.0</v>
      </c>
      <c r="B103" s="14" t="s">
        <v>18</v>
      </c>
      <c r="C103" s="15" t="s">
        <v>56</v>
      </c>
      <c r="D103" s="16" t="s">
        <v>217</v>
      </c>
      <c r="E103" s="20" t="s">
        <v>16</v>
      </c>
      <c r="F103" s="34" t="s">
        <v>219</v>
      </c>
      <c r="G103" s="35" t="b">
        <v>1</v>
      </c>
      <c r="H103" s="36" t="b">
        <v>0</v>
      </c>
    </row>
    <row r="104" outlineLevel="1">
      <c r="A104" s="13">
        <v>45976.0</v>
      </c>
      <c r="B104" s="14" t="s">
        <v>18</v>
      </c>
      <c r="C104" s="15" t="s">
        <v>56</v>
      </c>
      <c r="D104" s="16" t="s">
        <v>220</v>
      </c>
      <c r="E104" s="20" t="s">
        <v>221</v>
      </c>
      <c r="F104" s="34" t="s">
        <v>222</v>
      </c>
      <c r="G104" s="36" t="b">
        <v>0</v>
      </c>
      <c r="H104" s="36" t="b">
        <v>0</v>
      </c>
    </row>
    <row r="105" outlineLevel="1">
      <c r="A105" s="13">
        <v>45976.0</v>
      </c>
      <c r="B105" s="14" t="s">
        <v>18</v>
      </c>
      <c r="C105" s="15" t="s">
        <v>53</v>
      </c>
      <c r="D105" s="16" t="s">
        <v>220</v>
      </c>
      <c r="E105" s="20"/>
      <c r="F105" s="34" t="s">
        <v>223</v>
      </c>
      <c r="G105" s="35" t="b">
        <v>1</v>
      </c>
      <c r="H105" s="36" t="b">
        <v>0</v>
      </c>
    </row>
    <row r="106" outlineLevel="1">
      <c r="A106" s="13">
        <v>45978.0</v>
      </c>
      <c r="B106" s="14" t="s">
        <v>18</v>
      </c>
      <c r="C106" s="15" t="s">
        <v>142</v>
      </c>
      <c r="D106" s="16" t="s">
        <v>224</v>
      </c>
      <c r="E106" s="20"/>
      <c r="F106" s="31" t="s">
        <v>225</v>
      </c>
      <c r="G106" s="18" t="b">
        <v>0</v>
      </c>
      <c r="H106" s="18" t="b">
        <v>0</v>
      </c>
    </row>
    <row r="107" outlineLevel="1">
      <c r="A107" s="13">
        <v>45978.0</v>
      </c>
      <c r="B107" s="14" t="s">
        <v>18</v>
      </c>
      <c r="C107" s="15" t="s">
        <v>226</v>
      </c>
      <c r="D107" s="16" t="s">
        <v>227</v>
      </c>
      <c r="E107" s="20"/>
      <c r="F107" s="31" t="s">
        <v>198</v>
      </c>
      <c r="G107" s="18" t="b">
        <v>0</v>
      </c>
      <c r="H107" s="18" t="b">
        <v>0</v>
      </c>
    </row>
    <row r="108" outlineLevel="1">
      <c r="A108" s="13">
        <v>45978.0</v>
      </c>
      <c r="B108" s="14" t="s">
        <v>18</v>
      </c>
      <c r="C108" s="15" t="s">
        <v>19</v>
      </c>
      <c r="D108" s="16" t="s">
        <v>228</v>
      </c>
      <c r="E108" s="20" t="s">
        <v>16</v>
      </c>
      <c r="F108" s="31" t="s">
        <v>229</v>
      </c>
      <c r="G108" s="18" t="b">
        <v>1</v>
      </c>
      <c r="H108" s="18" t="b">
        <v>0</v>
      </c>
    </row>
    <row r="109" outlineLevel="1">
      <c r="A109" s="13">
        <v>45978.0</v>
      </c>
      <c r="B109" s="14" t="s">
        <v>18</v>
      </c>
      <c r="C109" s="15" t="s">
        <v>19</v>
      </c>
      <c r="D109" s="16" t="s">
        <v>230</v>
      </c>
      <c r="E109" s="20" t="s">
        <v>70</v>
      </c>
      <c r="F109" s="31"/>
      <c r="G109" s="18" t="b">
        <v>0</v>
      </c>
      <c r="H109" s="18" t="b">
        <v>0</v>
      </c>
    </row>
    <row r="110" outlineLevel="1">
      <c r="A110" s="13">
        <v>45978.0</v>
      </c>
      <c r="B110" s="14" t="s">
        <v>18</v>
      </c>
      <c r="C110" s="15" t="s">
        <v>19</v>
      </c>
      <c r="D110" s="16" t="s">
        <v>231</v>
      </c>
      <c r="E110" s="20" t="s">
        <v>16</v>
      </c>
      <c r="F110" s="31" t="s">
        <v>198</v>
      </c>
      <c r="G110" s="18" t="b">
        <v>0</v>
      </c>
      <c r="H110" s="18" t="b">
        <v>0</v>
      </c>
    </row>
    <row r="111" outlineLevel="1">
      <c r="A111" s="13">
        <v>45979.0</v>
      </c>
      <c r="B111" s="14" t="s">
        <v>18</v>
      </c>
      <c r="C111" s="15" t="s">
        <v>142</v>
      </c>
      <c r="D111" s="16" t="s">
        <v>232</v>
      </c>
      <c r="E111" s="20"/>
      <c r="F111" s="31" t="s">
        <v>233</v>
      </c>
      <c r="G111" s="18" t="b">
        <v>0</v>
      </c>
      <c r="H111" s="18" t="b">
        <v>0</v>
      </c>
    </row>
    <row r="112" outlineLevel="1">
      <c r="A112" s="13">
        <v>45979.0</v>
      </c>
      <c r="B112" s="14" t="s">
        <v>26</v>
      </c>
      <c r="C112" s="15" t="s">
        <v>47</v>
      </c>
      <c r="D112" s="16" t="s">
        <v>234</v>
      </c>
      <c r="E112" s="20" t="s">
        <v>16</v>
      </c>
      <c r="F112" s="31" t="s">
        <v>235</v>
      </c>
      <c r="G112" s="18" t="b">
        <v>1</v>
      </c>
      <c r="H112" s="18" t="b">
        <v>0</v>
      </c>
    </row>
    <row r="113" outlineLevel="1">
      <c r="A113" s="13">
        <v>45980.0</v>
      </c>
      <c r="B113" s="14" t="s">
        <v>18</v>
      </c>
      <c r="C113" s="15" t="s">
        <v>131</v>
      </c>
      <c r="D113" s="16" t="s">
        <v>98</v>
      </c>
      <c r="E113" s="20"/>
      <c r="F113" s="31" t="s">
        <v>236</v>
      </c>
      <c r="G113" s="18" t="b">
        <v>0</v>
      </c>
      <c r="H113" s="18" t="b">
        <v>0</v>
      </c>
    </row>
    <row r="114" outlineLevel="1">
      <c r="A114" s="13">
        <v>45981.0</v>
      </c>
      <c r="B114" s="14" t="s">
        <v>18</v>
      </c>
      <c r="C114" s="15" t="s">
        <v>131</v>
      </c>
      <c r="D114" s="16" t="s">
        <v>237</v>
      </c>
      <c r="E114" s="20" t="s">
        <v>56</v>
      </c>
      <c r="F114" s="31"/>
      <c r="G114" s="18" t="b">
        <v>0</v>
      </c>
      <c r="H114" s="18" t="b">
        <v>0</v>
      </c>
    </row>
    <row r="115" outlineLevel="1">
      <c r="A115" s="13">
        <v>45981.0</v>
      </c>
      <c r="B115" s="14" t="s">
        <v>59</v>
      </c>
      <c r="C115" s="15" t="s">
        <v>60</v>
      </c>
      <c r="D115" s="16" t="s">
        <v>238</v>
      </c>
      <c r="E115" s="20"/>
      <c r="F115" s="31" t="s">
        <v>239</v>
      </c>
      <c r="G115" s="18" t="b">
        <v>1</v>
      </c>
      <c r="H115" s="18" t="b">
        <v>0</v>
      </c>
    </row>
    <row r="116" outlineLevel="1">
      <c r="A116" s="13">
        <v>45981.0</v>
      </c>
      <c r="B116" s="14" t="s">
        <v>18</v>
      </c>
      <c r="C116" s="15" t="s">
        <v>54</v>
      </c>
      <c r="D116" s="16" t="s">
        <v>240</v>
      </c>
      <c r="E116" s="20" t="s">
        <v>16</v>
      </c>
      <c r="F116" s="31" t="s">
        <v>241</v>
      </c>
      <c r="G116" s="18" t="b">
        <v>1</v>
      </c>
      <c r="H116" s="18" t="b">
        <v>0</v>
      </c>
    </row>
    <row r="117" outlineLevel="1">
      <c r="A117" s="13">
        <v>45981.0</v>
      </c>
      <c r="B117" s="14" t="s">
        <v>18</v>
      </c>
      <c r="C117" s="15" t="s">
        <v>60</v>
      </c>
      <c r="D117" s="16" t="s">
        <v>242</v>
      </c>
      <c r="E117" s="20" t="s">
        <v>16</v>
      </c>
      <c r="F117" s="31" t="s">
        <v>243</v>
      </c>
      <c r="G117" s="18" t="b">
        <v>1</v>
      </c>
      <c r="H117" s="18" t="b">
        <v>0</v>
      </c>
    </row>
    <row r="118" outlineLevel="1">
      <c r="A118" s="13">
        <v>45982.0</v>
      </c>
      <c r="B118" s="14" t="s">
        <v>59</v>
      </c>
      <c r="C118" s="15" t="s">
        <v>60</v>
      </c>
      <c r="D118" s="16" t="s">
        <v>244</v>
      </c>
      <c r="E118" s="20"/>
      <c r="F118" s="31" t="s">
        <v>245</v>
      </c>
      <c r="G118" s="18" t="b">
        <v>1</v>
      </c>
      <c r="H118" s="18" t="b">
        <v>0</v>
      </c>
    </row>
    <row r="119" outlineLevel="1">
      <c r="A119" s="13">
        <v>45983.0</v>
      </c>
      <c r="B119" s="14" t="s">
        <v>246</v>
      </c>
      <c r="C119" s="15" t="s">
        <v>151</v>
      </c>
      <c r="D119" s="16" t="s">
        <v>247</v>
      </c>
      <c r="E119" s="20"/>
      <c r="F119" s="31" t="s">
        <v>69</v>
      </c>
      <c r="G119" s="18" t="b">
        <v>1</v>
      </c>
      <c r="H119" s="18" t="b">
        <v>0</v>
      </c>
    </row>
    <row r="120" outlineLevel="1">
      <c r="A120" s="13">
        <v>45985.0</v>
      </c>
      <c r="B120" s="14" t="s">
        <v>18</v>
      </c>
      <c r="C120" s="15" t="s">
        <v>131</v>
      </c>
      <c r="D120" s="16" t="s">
        <v>119</v>
      </c>
      <c r="E120" s="20"/>
      <c r="F120" s="31"/>
      <c r="G120" s="18" t="b">
        <v>0</v>
      </c>
      <c r="H120" s="18" t="b">
        <v>0</v>
      </c>
    </row>
    <row r="121" outlineLevel="1">
      <c r="A121" s="13">
        <v>45985.0</v>
      </c>
      <c r="B121" s="14" t="s">
        <v>18</v>
      </c>
      <c r="C121" s="15" t="s">
        <v>70</v>
      </c>
      <c r="D121" s="16" t="s">
        <v>118</v>
      </c>
      <c r="E121" s="20" t="s">
        <v>104</v>
      </c>
      <c r="F121" s="27"/>
      <c r="G121" s="18" t="b">
        <v>0</v>
      </c>
      <c r="H121" s="18" t="b">
        <v>0</v>
      </c>
    </row>
    <row r="122" outlineLevel="1">
      <c r="A122" s="13">
        <v>45985.0</v>
      </c>
      <c r="B122" s="14" t="s">
        <v>248</v>
      </c>
      <c r="C122" s="15" t="s">
        <v>47</v>
      </c>
      <c r="D122" s="16" t="s">
        <v>249</v>
      </c>
      <c r="E122" s="20"/>
      <c r="F122" s="27" t="s">
        <v>62</v>
      </c>
      <c r="G122" s="18" t="b">
        <v>0</v>
      </c>
      <c r="H122" s="18" t="b">
        <v>0</v>
      </c>
    </row>
    <row r="123" outlineLevel="1">
      <c r="A123" s="13">
        <v>45985.0</v>
      </c>
      <c r="B123" s="14" t="s">
        <v>18</v>
      </c>
      <c r="C123" s="15" t="s">
        <v>85</v>
      </c>
      <c r="D123" s="16" t="s">
        <v>119</v>
      </c>
      <c r="E123" s="20"/>
      <c r="F123" s="27" t="s">
        <v>250</v>
      </c>
      <c r="G123" s="18" t="b">
        <v>0</v>
      </c>
      <c r="H123" s="18" t="b">
        <v>0</v>
      </c>
    </row>
    <row r="124" outlineLevel="1">
      <c r="A124" s="13">
        <v>45985.0</v>
      </c>
      <c r="B124" s="14" t="s">
        <v>18</v>
      </c>
      <c r="C124" s="15" t="s">
        <v>85</v>
      </c>
      <c r="D124" s="16" t="s">
        <v>122</v>
      </c>
      <c r="E124" s="20" t="s">
        <v>210</v>
      </c>
      <c r="F124" s="27" t="s">
        <v>251</v>
      </c>
      <c r="G124" s="18" t="b">
        <v>0</v>
      </c>
      <c r="H124" s="18" t="b">
        <v>0</v>
      </c>
    </row>
    <row r="125" outlineLevel="1">
      <c r="A125" s="37">
        <v>45985.0</v>
      </c>
      <c r="B125" s="38" t="s">
        <v>18</v>
      </c>
      <c r="C125" s="39" t="s">
        <v>144</v>
      </c>
      <c r="D125" s="40" t="s">
        <v>115</v>
      </c>
      <c r="E125" s="41"/>
      <c r="F125" s="42" t="s">
        <v>252</v>
      </c>
      <c r="G125" s="29" t="b">
        <v>1</v>
      </c>
      <c r="H125" s="18" t="b">
        <v>0</v>
      </c>
    </row>
    <row r="126" outlineLevel="1">
      <c r="A126" s="13">
        <v>45986.0</v>
      </c>
      <c r="B126" s="14" t="s">
        <v>18</v>
      </c>
      <c r="C126" s="15" t="s">
        <v>253</v>
      </c>
      <c r="D126" s="16" t="s">
        <v>129</v>
      </c>
      <c r="E126" s="20" t="s">
        <v>95</v>
      </c>
      <c r="F126" s="27"/>
      <c r="G126" s="18" t="b">
        <v>0</v>
      </c>
      <c r="H126" s="18" t="b">
        <v>0</v>
      </c>
    </row>
    <row r="127" outlineLevel="1">
      <c r="A127" s="13">
        <v>45986.0</v>
      </c>
      <c r="B127" s="14" t="s">
        <v>18</v>
      </c>
      <c r="C127" s="15" t="s">
        <v>11</v>
      </c>
      <c r="D127" s="16" t="s">
        <v>254</v>
      </c>
      <c r="E127" s="20"/>
      <c r="F127" s="27" t="s">
        <v>255</v>
      </c>
      <c r="G127" s="18" t="b">
        <v>1</v>
      </c>
      <c r="H127" s="18" t="b">
        <v>0</v>
      </c>
    </row>
    <row r="128" outlineLevel="1">
      <c r="A128" s="37">
        <v>45988.0</v>
      </c>
      <c r="B128" s="38" t="s">
        <v>18</v>
      </c>
      <c r="C128" s="39" t="s">
        <v>125</v>
      </c>
      <c r="D128" s="40" t="s">
        <v>256</v>
      </c>
      <c r="E128" s="41" t="s">
        <v>16</v>
      </c>
      <c r="F128" s="42" t="s">
        <v>257</v>
      </c>
      <c r="G128" s="29" t="b">
        <v>1</v>
      </c>
      <c r="H128" s="18" t="b">
        <v>0</v>
      </c>
    </row>
    <row r="129" outlineLevel="1">
      <c r="A129" s="13">
        <v>45988.0</v>
      </c>
      <c r="B129" s="14" t="s">
        <v>18</v>
      </c>
      <c r="C129" s="15" t="s">
        <v>131</v>
      </c>
      <c r="D129" s="16" t="s">
        <v>137</v>
      </c>
      <c r="E129" s="20" t="s">
        <v>16</v>
      </c>
      <c r="F129" s="27"/>
      <c r="G129" s="18" t="b">
        <v>0</v>
      </c>
      <c r="H129" s="18" t="b">
        <v>0</v>
      </c>
    </row>
    <row r="130" outlineLevel="1">
      <c r="A130" s="13">
        <v>45989.0</v>
      </c>
      <c r="B130" s="14" t="s">
        <v>18</v>
      </c>
      <c r="C130" s="15" t="s">
        <v>54</v>
      </c>
      <c r="D130" s="16" t="s">
        <v>258</v>
      </c>
      <c r="E130" s="20" t="s">
        <v>49</v>
      </c>
      <c r="F130" s="27"/>
      <c r="G130" s="18" t="b">
        <v>0</v>
      </c>
      <c r="H130" s="18" t="b">
        <v>0</v>
      </c>
    </row>
    <row r="131" outlineLevel="1">
      <c r="A131" s="13">
        <v>45989.0</v>
      </c>
      <c r="B131" s="14" t="s">
        <v>18</v>
      </c>
      <c r="C131" s="15" t="s">
        <v>259</v>
      </c>
      <c r="D131" s="16" t="s">
        <v>20</v>
      </c>
      <c r="E131" s="20"/>
      <c r="F131" s="27" t="s">
        <v>260</v>
      </c>
      <c r="G131" s="18" t="b">
        <v>1</v>
      </c>
      <c r="H131" s="18" t="b">
        <v>0</v>
      </c>
    </row>
    <row r="132" outlineLevel="1">
      <c r="A132" s="13">
        <v>45989.0</v>
      </c>
      <c r="B132" s="14" t="s">
        <v>246</v>
      </c>
      <c r="C132" s="15" t="s">
        <v>259</v>
      </c>
      <c r="D132" s="16" t="s">
        <v>261</v>
      </c>
      <c r="E132" s="20"/>
      <c r="F132" s="27" t="s">
        <v>262</v>
      </c>
      <c r="G132" s="18" t="b">
        <v>1</v>
      </c>
      <c r="H132" s="18" t="b">
        <v>0</v>
      </c>
    </row>
    <row r="133" outlineLevel="1">
      <c r="A133" s="13">
        <v>45989.0</v>
      </c>
      <c r="B133" s="14" t="s">
        <v>18</v>
      </c>
      <c r="C133" s="15" t="s">
        <v>23</v>
      </c>
      <c r="D133" s="16" t="s">
        <v>263</v>
      </c>
      <c r="E133" s="20"/>
      <c r="F133" s="27" t="s">
        <v>127</v>
      </c>
      <c r="G133" s="18" t="b">
        <v>1</v>
      </c>
      <c r="H133" s="18" t="b">
        <v>0</v>
      </c>
    </row>
    <row r="134" outlineLevel="1">
      <c r="A134" s="13">
        <v>45989.0</v>
      </c>
      <c r="B134" s="14" t="s">
        <v>26</v>
      </c>
      <c r="C134" s="15" t="s">
        <v>84</v>
      </c>
      <c r="D134" s="16" t="s">
        <v>264</v>
      </c>
      <c r="E134" s="20"/>
      <c r="F134" s="27" t="s">
        <v>127</v>
      </c>
      <c r="G134" s="18" t="b">
        <v>1</v>
      </c>
      <c r="H134" s="18" t="b">
        <v>0</v>
      </c>
    </row>
    <row r="135" outlineLevel="1">
      <c r="A135" s="13">
        <v>45992.0</v>
      </c>
      <c r="B135" s="14" t="s">
        <v>18</v>
      </c>
      <c r="C135" s="15" t="s">
        <v>114</v>
      </c>
      <c r="D135" s="16" t="s">
        <v>228</v>
      </c>
      <c r="E135" s="20"/>
      <c r="F135" s="27" t="s">
        <v>265</v>
      </c>
      <c r="G135" s="18" t="b">
        <v>1</v>
      </c>
      <c r="H135" s="18" t="b">
        <v>0</v>
      </c>
    </row>
    <row r="136" outlineLevel="1">
      <c r="A136" s="13">
        <v>45992.0</v>
      </c>
      <c r="B136" s="14" t="s">
        <v>18</v>
      </c>
      <c r="C136" s="15" t="s">
        <v>67</v>
      </c>
      <c r="D136" s="16" t="s">
        <v>266</v>
      </c>
      <c r="E136" s="20"/>
      <c r="F136" s="27" t="s">
        <v>267</v>
      </c>
      <c r="G136" s="18" t="b">
        <v>1</v>
      </c>
      <c r="H136" s="18" t="b">
        <v>0</v>
      </c>
    </row>
    <row r="137" outlineLevel="1">
      <c r="A137" s="13">
        <v>45995.0</v>
      </c>
      <c r="B137" s="14" t="s">
        <v>18</v>
      </c>
      <c r="C137" s="15" t="s">
        <v>156</v>
      </c>
      <c r="D137" s="16" t="s">
        <v>268</v>
      </c>
      <c r="E137" s="20" t="s">
        <v>16</v>
      </c>
      <c r="F137" s="27" t="s">
        <v>267</v>
      </c>
      <c r="G137" s="18" t="b">
        <v>1</v>
      </c>
      <c r="H137" s="18" t="b">
        <v>0</v>
      </c>
    </row>
    <row r="138" outlineLevel="1">
      <c r="A138" s="13">
        <v>45995.0</v>
      </c>
      <c r="B138" s="14" t="s">
        <v>18</v>
      </c>
      <c r="C138" s="15" t="s">
        <v>38</v>
      </c>
      <c r="D138" s="16" t="s">
        <v>269</v>
      </c>
      <c r="E138" s="20"/>
      <c r="F138" s="27" t="s">
        <v>270</v>
      </c>
      <c r="G138" s="18" t="b">
        <v>1</v>
      </c>
      <c r="H138" s="18" t="b">
        <v>0</v>
      </c>
    </row>
    <row r="139" outlineLevel="1">
      <c r="A139" s="13">
        <v>45995.0</v>
      </c>
      <c r="B139" s="14" t="s">
        <v>18</v>
      </c>
      <c r="C139" s="15" t="s">
        <v>60</v>
      </c>
      <c r="D139" s="16" t="s">
        <v>271</v>
      </c>
      <c r="E139" s="20"/>
      <c r="F139" s="27" t="s">
        <v>272</v>
      </c>
      <c r="G139" s="18" t="b">
        <v>1</v>
      </c>
      <c r="H139" s="18" t="b">
        <v>0</v>
      </c>
    </row>
    <row r="140" outlineLevel="1">
      <c r="A140" s="13">
        <v>45996.0</v>
      </c>
      <c r="B140" s="14" t="s">
        <v>18</v>
      </c>
      <c r="C140" s="15" t="s">
        <v>53</v>
      </c>
      <c r="D140" s="16" t="s">
        <v>273</v>
      </c>
      <c r="E140" s="20"/>
      <c r="F140" s="27" t="s">
        <v>274</v>
      </c>
      <c r="G140" s="18" t="b">
        <v>1</v>
      </c>
      <c r="H140" s="18" t="b">
        <v>0</v>
      </c>
    </row>
    <row r="141" outlineLevel="1">
      <c r="A141" s="13">
        <v>45997.0</v>
      </c>
      <c r="B141" s="14" t="s">
        <v>18</v>
      </c>
      <c r="C141" s="15" t="s">
        <v>53</v>
      </c>
      <c r="D141" s="16" t="s">
        <v>190</v>
      </c>
      <c r="E141" s="20"/>
      <c r="F141" s="27" t="s">
        <v>274</v>
      </c>
      <c r="G141" s="18" t="b">
        <v>1</v>
      </c>
      <c r="H141" s="18" t="b">
        <v>0</v>
      </c>
    </row>
    <row r="142" outlineLevel="1">
      <c r="A142" s="13">
        <v>45997.0</v>
      </c>
      <c r="B142" s="14" t="s">
        <v>18</v>
      </c>
      <c r="C142" s="15" t="s">
        <v>275</v>
      </c>
      <c r="D142" s="16" t="s">
        <v>157</v>
      </c>
      <c r="E142" s="20"/>
      <c r="F142" s="27" t="s">
        <v>97</v>
      </c>
      <c r="G142" s="18" t="b">
        <v>0</v>
      </c>
      <c r="H142" s="18" t="b">
        <v>0</v>
      </c>
    </row>
    <row r="143" outlineLevel="1">
      <c r="A143" s="13">
        <v>46000.0</v>
      </c>
      <c r="B143" s="14" t="s">
        <v>18</v>
      </c>
      <c r="C143" s="15" t="s">
        <v>128</v>
      </c>
      <c r="D143" s="16" t="s">
        <v>276</v>
      </c>
      <c r="E143" s="20"/>
      <c r="F143" s="27" t="s">
        <v>277</v>
      </c>
      <c r="G143" s="18" t="b">
        <v>1</v>
      </c>
      <c r="H143" s="18" t="b">
        <v>0</v>
      </c>
    </row>
    <row r="144" outlineLevel="1">
      <c r="A144" s="13">
        <v>46001.0</v>
      </c>
      <c r="B144" s="14" t="s">
        <v>18</v>
      </c>
      <c r="C144" s="15" t="s">
        <v>60</v>
      </c>
      <c r="D144" s="16" t="s">
        <v>278</v>
      </c>
      <c r="E144" s="20"/>
      <c r="F144" s="27" t="s">
        <v>279</v>
      </c>
      <c r="G144" s="18" t="b">
        <v>1</v>
      </c>
      <c r="H144" s="18" t="b">
        <v>0</v>
      </c>
    </row>
    <row r="145" outlineLevel="1">
      <c r="A145" s="13">
        <v>46001.0</v>
      </c>
      <c r="B145" s="14" t="s">
        <v>18</v>
      </c>
      <c r="C145" s="15" t="s">
        <v>60</v>
      </c>
      <c r="D145" s="16" t="s">
        <v>280</v>
      </c>
      <c r="E145" s="20" t="s">
        <v>30</v>
      </c>
      <c r="F145" s="27"/>
      <c r="G145" s="18" t="b">
        <v>0</v>
      </c>
      <c r="H145" s="18" t="b">
        <v>0</v>
      </c>
    </row>
    <row r="146" outlineLevel="1">
      <c r="A146" s="13">
        <v>46001.0</v>
      </c>
      <c r="B146" s="14" t="s">
        <v>18</v>
      </c>
      <c r="C146" s="15" t="s">
        <v>60</v>
      </c>
      <c r="D146" s="16" t="s">
        <v>183</v>
      </c>
      <c r="E146" s="20"/>
      <c r="F146" s="27" t="s">
        <v>281</v>
      </c>
      <c r="G146" s="18" t="b">
        <v>1</v>
      </c>
      <c r="H146" s="18" t="b">
        <v>0</v>
      </c>
    </row>
    <row r="147" outlineLevel="1">
      <c r="A147" s="13">
        <v>46001.0</v>
      </c>
      <c r="B147" s="14" t="s">
        <v>18</v>
      </c>
      <c r="C147" s="15" t="s">
        <v>144</v>
      </c>
      <c r="D147" s="16" t="s">
        <v>282</v>
      </c>
      <c r="E147" s="20"/>
      <c r="F147" s="27" t="s">
        <v>283</v>
      </c>
      <c r="G147" s="18" t="b">
        <v>1</v>
      </c>
      <c r="H147" s="18" t="b">
        <v>0</v>
      </c>
    </row>
    <row r="148" outlineLevel="1">
      <c r="A148" s="13">
        <v>46001.0</v>
      </c>
      <c r="B148" s="14" t="s">
        <v>10</v>
      </c>
      <c r="C148" s="15" t="s">
        <v>284</v>
      </c>
      <c r="D148" s="16" t="s">
        <v>285</v>
      </c>
      <c r="E148" s="20"/>
      <c r="F148" s="27" t="s">
        <v>286</v>
      </c>
      <c r="G148" s="18" t="b">
        <v>0</v>
      </c>
      <c r="H148" s="18" t="b">
        <v>0</v>
      </c>
    </row>
    <row r="149" outlineLevel="1">
      <c r="A149" s="13">
        <v>46002.0</v>
      </c>
      <c r="B149" s="14" t="s">
        <v>18</v>
      </c>
      <c r="C149" s="15" t="s">
        <v>210</v>
      </c>
      <c r="D149" s="16" t="s">
        <v>287</v>
      </c>
      <c r="E149" s="20" t="s">
        <v>85</v>
      </c>
      <c r="F149" s="27"/>
      <c r="G149" s="18" t="b">
        <v>0</v>
      </c>
      <c r="H149" s="18" t="b">
        <v>0</v>
      </c>
    </row>
    <row r="150" outlineLevel="1">
      <c r="A150" s="13">
        <v>46003.0</v>
      </c>
      <c r="B150" s="14" t="s">
        <v>18</v>
      </c>
      <c r="C150" s="15" t="s">
        <v>104</v>
      </c>
      <c r="D150" s="16" t="s">
        <v>177</v>
      </c>
      <c r="E150" s="20"/>
      <c r="F150" s="27" t="s">
        <v>198</v>
      </c>
      <c r="G150" s="18" t="b">
        <v>0</v>
      </c>
      <c r="H150" s="18" t="b">
        <v>0</v>
      </c>
    </row>
    <row r="151" outlineLevel="1">
      <c r="A151" s="13">
        <v>46003.0</v>
      </c>
      <c r="B151" s="14" t="s">
        <v>18</v>
      </c>
      <c r="C151" s="15" t="s">
        <v>53</v>
      </c>
      <c r="D151" s="16" t="s">
        <v>273</v>
      </c>
      <c r="E151" s="20" t="s">
        <v>288</v>
      </c>
      <c r="F151" s="27" t="s">
        <v>289</v>
      </c>
      <c r="G151" s="18" t="b">
        <v>0</v>
      </c>
      <c r="H151" s="18" t="b">
        <v>0</v>
      </c>
    </row>
    <row r="152" outlineLevel="1">
      <c r="A152" s="13">
        <v>46003.0</v>
      </c>
      <c r="B152" s="14" t="s">
        <v>246</v>
      </c>
      <c r="C152" s="15" t="s">
        <v>23</v>
      </c>
      <c r="D152" s="16" t="s">
        <v>290</v>
      </c>
      <c r="E152" s="20"/>
      <c r="F152" s="27" t="s">
        <v>291</v>
      </c>
      <c r="G152" s="18" t="b">
        <v>1</v>
      </c>
      <c r="H152" s="18" t="b">
        <v>0</v>
      </c>
    </row>
    <row r="153" outlineLevel="1">
      <c r="A153" s="13">
        <v>46003.0</v>
      </c>
      <c r="B153" s="14" t="s">
        <v>246</v>
      </c>
      <c r="C153" s="15" t="s">
        <v>19</v>
      </c>
      <c r="D153" s="16" t="s">
        <v>292</v>
      </c>
      <c r="E153" s="20"/>
      <c r="F153" s="27" t="s">
        <v>291</v>
      </c>
      <c r="G153" s="18" t="b">
        <v>1</v>
      </c>
      <c r="H153" s="18" t="b">
        <v>0</v>
      </c>
    </row>
    <row r="154" outlineLevel="1">
      <c r="A154" s="13">
        <v>46004.0</v>
      </c>
      <c r="B154" s="14" t="s">
        <v>18</v>
      </c>
      <c r="C154" s="15" t="s">
        <v>53</v>
      </c>
      <c r="D154" s="16" t="s">
        <v>190</v>
      </c>
      <c r="E154" s="20" t="s">
        <v>293</v>
      </c>
      <c r="F154" s="27" t="s">
        <v>289</v>
      </c>
      <c r="G154" s="18" t="b">
        <v>0</v>
      </c>
      <c r="H154" s="18" t="b">
        <v>0</v>
      </c>
    </row>
    <row r="155" outlineLevel="1">
      <c r="A155" s="13">
        <v>46006.0</v>
      </c>
      <c r="B155" s="14" t="s">
        <v>26</v>
      </c>
      <c r="C155" s="15" t="s">
        <v>47</v>
      </c>
      <c r="D155" s="16" t="s">
        <v>294</v>
      </c>
      <c r="E155" s="20"/>
      <c r="F155" s="27" t="s">
        <v>295</v>
      </c>
      <c r="G155" s="18" t="b">
        <v>1</v>
      </c>
      <c r="H155" s="18" t="b">
        <v>0</v>
      </c>
    </row>
    <row r="156" outlineLevel="1">
      <c r="A156" s="13">
        <v>46006.0</v>
      </c>
      <c r="B156" s="14" t="s">
        <v>26</v>
      </c>
      <c r="C156" s="15" t="s">
        <v>47</v>
      </c>
      <c r="D156" s="16" t="s">
        <v>296</v>
      </c>
      <c r="E156" s="20" t="s">
        <v>30</v>
      </c>
      <c r="F156" s="27"/>
      <c r="G156" s="18" t="b">
        <v>0</v>
      </c>
      <c r="H156" s="18" t="b">
        <v>0</v>
      </c>
    </row>
    <row r="157" outlineLevel="1">
      <c r="A157" s="13">
        <v>46006.0</v>
      </c>
      <c r="B157" s="14" t="s">
        <v>26</v>
      </c>
      <c r="C157" s="15" t="s">
        <v>47</v>
      </c>
      <c r="D157" s="16" t="s">
        <v>297</v>
      </c>
      <c r="E157" s="20"/>
      <c r="F157" s="27" t="s">
        <v>298</v>
      </c>
      <c r="G157" s="18" t="b">
        <v>1</v>
      </c>
      <c r="H157" s="18" t="b">
        <v>0</v>
      </c>
    </row>
    <row r="158" outlineLevel="1">
      <c r="A158" s="13">
        <v>46006.0</v>
      </c>
      <c r="B158" s="14" t="s">
        <v>10</v>
      </c>
      <c r="C158" s="15" t="s">
        <v>199</v>
      </c>
      <c r="D158" s="16" t="s">
        <v>299</v>
      </c>
      <c r="E158" s="20"/>
      <c r="F158" s="27"/>
      <c r="G158" s="18" t="b">
        <v>0</v>
      </c>
      <c r="H158" s="18" t="b">
        <v>0</v>
      </c>
    </row>
    <row r="159" outlineLevel="1">
      <c r="A159" s="13">
        <v>46007.0</v>
      </c>
      <c r="B159" s="14" t="s">
        <v>18</v>
      </c>
      <c r="C159" s="15" t="s">
        <v>47</v>
      </c>
      <c r="D159" s="16" t="s">
        <v>300</v>
      </c>
      <c r="E159" s="20" t="s">
        <v>30</v>
      </c>
      <c r="F159" s="27"/>
      <c r="G159" s="18" t="b">
        <v>0</v>
      </c>
      <c r="H159" s="18" t="b">
        <v>0</v>
      </c>
    </row>
    <row r="160" outlineLevel="1">
      <c r="A160" s="13">
        <v>46008.0</v>
      </c>
      <c r="B160" s="14" t="s">
        <v>18</v>
      </c>
      <c r="C160" s="15" t="s">
        <v>14</v>
      </c>
      <c r="D160" s="16" t="s">
        <v>301</v>
      </c>
      <c r="E160" s="20"/>
      <c r="F160" s="27" t="s">
        <v>302</v>
      </c>
      <c r="G160" s="18" t="b">
        <v>1</v>
      </c>
      <c r="H160" s="18" t="b">
        <v>0</v>
      </c>
    </row>
    <row r="161" outlineLevel="1">
      <c r="A161" s="13">
        <v>46009.0</v>
      </c>
      <c r="B161" s="14" t="s">
        <v>18</v>
      </c>
      <c r="C161" s="15" t="s">
        <v>303</v>
      </c>
      <c r="D161" s="16" t="s">
        <v>304</v>
      </c>
      <c r="E161" s="20"/>
      <c r="F161" s="27" t="s">
        <v>97</v>
      </c>
      <c r="G161" s="18" t="b">
        <v>0</v>
      </c>
      <c r="H161" s="18" t="b">
        <v>0</v>
      </c>
    </row>
    <row r="162" outlineLevel="1">
      <c r="A162" s="13">
        <v>46009.0</v>
      </c>
      <c r="B162" s="14" t="s">
        <v>18</v>
      </c>
      <c r="C162" s="15" t="s">
        <v>303</v>
      </c>
      <c r="D162" s="16" t="s">
        <v>305</v>
      </c>
      <c r="E162" s="20"/>
      <c r="F162" s="27" t="s">
        <v>306</v>
      </c>
      <c r="G162" s="18" t="b">
        <v>1</v>
      </c>
      <c r="H162" s="18" t="b">
        <v>0</v>
      </c>
    </row>
    <row r="163" outlineLevel="1">
      <c r="A163" s="13">
        <v>46009.0</v>
      </c>
      <c r="B163" s="14" t="s">
        <v>18</v>
      </c>
      <c r="C163" s="15" t="s">
        <v>303</v>
      </c>
      <c r="D163" s="16" t="s">
        <v>307</v>
      </c>
      <c r="E163" s="20"/>
      <c r="F163" s="27" t="s">
        <v>308</v>
      </c>
      <c r="G163" s="18" t="b">
        <v>1</v>
      </c>
      <c r="H163" s="18" t="b">
        <v>0</v>
      </c>
    </row>
    <row r="164" outlineLevel="1">
      <c r="A164" s="13">
        <v>46010.0</v>
      </c>
      <c r="B164" s="14" t="s">
        <v>18</v>
      </c>
      <c r="C164" s="15" t="s">
        <v>49</v>
      </c>
      <c r="D164" s="16" t="s">
        <v>217</v>
      </c>
      <c r="E164" s="20"/>
      <c r="F164" s="27" t="s">
        <v>309</v>
      </c>
      <c r="G164" s="18" t="b">
        <v>1</v>
      </c>
      <c r="H164" s="18" t="b">
        <v>0</v>
      </c>
    </row>
    <row r="165" outlineLevel="1">
      <c r="A165" s="13">
        <v>46010.0</v>
      </c>
      <c r="B165" s="14" t="s">
        <v>18</v>
      </c>
      <c r="C165" s="15" t="s">
        <v>53</v>
      </c>
      <c r="D165" s="16" t="s">
        <v>273</v>
      </c>
      <c r="E165" s="20"/>
      <c r="F165" s="27" t="s">
        <v>310</v>
      </c>
      <c r="G165" s="18" t="b">
        <v>1</v>
      </c>
      <c r="H165" s="18" t="b">
        <v>0</v>
      </c>
    </row>
    <row r="166" outlineLevel="1">
      <c r="A166" s="13">
        <v>46011.0</v>
      </c>
      <c r="B166" s="14" t="s">
        <v>18</v>
      </c>
      <c r="C166" s="15" t="s">
        <v>53</v>
      </c>
      <c r="D166" s="16" t="s">
        <v>190</v>
      </c>
      <c r="E166" s="20"/>
      <c r="F166" s="27" t="s">
        <v>310</v>
      </c>
      <c r="G166" s="18" t="b">
        <v>1</v>
      </c>
      <c r="H166" s="18" t="b">
        <v>0</v>
      </c>
    </row>
    <row r="167" outlineLevel="1">
      <c r="A167" s="13">
        <v>46011.0</v>
      </c>
      <c r="B167" s="14" t="s">
        <v>26</v>
      </c>
      <c r="C167" s="15" t="s">
        <v>311</v>
      </c>
      <c r="D167" s="16" t="s">
        <v>312</v>
      </c>
      <c r="E167" s="20"/>
      <c r="F167" s="27" t="s">
        <v>310</v>
      </c>
      <c r="G167" s="18" t="b">
        <v>0</v>
      </c>
      <c r="H167" s="18" t="b">
        <v>0</v>
      </c>
    </row>
    <row r="168" outlineLevel="1">
      <c r="A168" s="13">
        <v>46011.0</v>
      </c>
      <c r="B168" s="14" t="s">
        <v>26</v>
      </c>
      <c r="C168" s="15" t="s">
        <v>151</v>
      </c>
      <c r="D168" s="16" t="s">
        <v>313</v>
      </c>
      <c r="E168" s="20"/>
      <c r="F168" s="27" t="s">
        <v>314</v>
      </c>
      <c r="G168" s="18" t="b">
        <v>0</v>
      </c>
      <c r="H168" s="18" t="b">
        <v>0</v>
      </c>
    </row>
    <row r="169" outlineLevel="1">
      <c r="A169" s="13">
        <v>46013.0</v>
      </c>
      <c r="B169" s="14" t="s">
        <v>18</v>
      </c>
      <c r="C169" s="15" t="s">
        <v>80</v>
      </c>
      <c r="D169" s="16" t="s">
        <v>315</v>
      </c>
      <c r="E169" s="20" t="s">
        <v>204</v>
      </c>
      <c r="F169" s="27" t="s">
        <v>316</v>
      </c>
      <c r="G169" s="18" t="b">
        <v>0</v>
      </c>
      <c r="H169" s="18" t="b">
        <v>0</v>
      </c>
    </row>
    <row r="170" outlineLevel="1">
      <c r="A170" s="13">
        <v>46013.0</v>
      </c>
      <c r="B170" s="14" t="s">
        <v>18</v>
      </c>
      <c r="C170" s="15" t="s">
        <v>60</v>
      </c>
      <c r="D170" s="16" t="s">
        <v>317</v>
      </c>
      <c r="E170" s="20"/>
      <c r="F170" s="27" t="s">
        <v>318</v>
      </c>
      <c r="G170" s="18" t="b">
        <v>0</v>
      </c>
      <c r="H170" s="18" t="b">
        <v>0</v>
      </c>
    </row>
    <row r="171" outlineLevel="1">
      <c r="A171" s="13">
        <v>46013.0</v>
      </c>
      <c r="B171" s="14" t="s">
        <v>18</v>
      </c>
      <c r="C171" s="15" t="s">
        <v>47</v>
      </c>
      <c r="D171" s="16" t="s">
        <v>319</v>
      </c>
      <c r="E171" s="20" t="s">
        <v>30</v>
      </c>
      <c r="F171" s="27"/>
      <c r="G171" s="18" t="b">
        <v>0</v>
      </c>
      <c r="H171" s="18" t="b">
        <v>0</v>
      </c>
    </row>
    <row r="172" ht="30.0" customHeight="1" outlineLevel="1">
      <c r="A172" s="13">
        <v>46013.0</v>
      </c>
      <c r="B172" s="14" t="s">
        <v>10</v>
      </c>
      <c r="C172" s="15" t="s">
        <v>142</v>
      </c>
      <c r="D172" s="16" t="s">
        <v>320</v>
      </c>
      <c r="E172" s="20"/>
      <c r="F172" s="27" t="s">
        <v>321</v>
      </c>
      <c r="G172" s="18" t="b">
        <v>1</v>
      </c>
      <c r="H172" s="18" t="b">
        <v>0</v>
      </c>
    </row>
    <row r="173" outlineLevel="1">
      <c r="A173" s="13">
        <v>46013.0</v>
      </c>
      <c r="B173" s="14" t="s">
        <v>18</v>
      </c>
      <c r="C173" s="15" t="s">
        <v>70</v>
      </c>
      <c r="D173" s="16" t="s">
        <v>115</v>
      </c>
      <c r="E173" s="20" t="s">
        <v>104</v>
      </c>
      <c r="F173" s="27"/>
      <c r="G173" s="18" t="b">
        <v>0</v>
      </c>
      <c r="H173" s="18" t="b">
        <v>0</v>
      </c>
    </row>
    <row r="174" outlineLevel="1">
      <c r="A174" s="13">
        <v>46013.0</v>
      </c>
      <c r="B174" s="14" t="s">
        <v>18</v>
      </c>
      <c r="C174" s="15" t="s">
        <v>144</v>
      </c>
      <c r="D174" s="16" t="s">
        <v>322</v>
      </c>
      <c r="E174" s="20" t="s">
        <v>30</v>
      </c>
      <c r="F174" s="27"/>
      <c r="G174" s="18" t="b">
        <v>0</v>
      </c>
      <c r="H174" s="18" t="b">
        <v>0</v>
      </c>
    </row>
    <row r="175" outlineLevel="1">
      <c r="A175" s="13">
        <v>46013.0</v>
      </c>
      <c r="B175" s="14" t="s">
        <v>18</v>
      </c>
      <c r="C175" s="15" t="s">
        <v>84</v>
      </c>
      <c r="D175" s="16" t="s">
        <v>323</v>
      </c>
      <c r="E175" s="20" t="s">
        <v>30</v>
      </c>
      <c r="F175" s="27"/>
      <c r="G175" s="18" t="b">
        <v>0</v>
      </c>
      <c r="H175" s="18" t="b">
        <v>0</v>
      </c>
    </row>
    <row r="176" outlineLevel="1">
      <c r="A176" s="13">
        <v>46013.0</v>
      </c>
      <c r="B176" s="14" t="s">
        <v>18</v>
      </c>
      <c r="C176" s="15" t="s">
        <v>49</v>
      </c>
      <c r="D176" s="16" t="s">
        <v>324</v>
      </c>
      <c r="E176" s="20"/>
      <c r="F176" s="27" t="s">
        <v>325</v>
      </c>
      <c r="G176" s="18" t="b">
        <v>1</v>
      </c>
      <c r="H176" s="18" t="b">
        <v>0</v>
      </c>
    </row>
    <row r="177" outlineLevel="1">
      <c r="A177" s="13">
        <v>46013.0</v>
      </c>
      <c r="B177" s="14" t="s">
        <v>18</v>
      </c>
      <c r="C177" s="15"/>
      <c r="D177" s="16"/>
      <c r="E177" s="20"/>
      <c r="F177" s="27" t="s">
        <v>326</v>
      </c>
      <c r="G177" s="18" t="b">
        <v>0</v>
      </c>
      <c r="H177" s="18" t="b">
        <v>0</v>
      </c>
    </row>
    <row r="178" outlineLevel="1">
      <c r="A178" s="13">
        <v>46014.0</v>
      </c>
      <c r="B178" s="14" t="s">
        <v>18</v>
      </c>
      <c r="C178" s="15"/>
      <c r="D178" s="16"/>
      <c r="E178" s="20"/>
      <c r="F178" s="27" t="s">
        <v>326</v>
      </c>
      <c r="G178" s="18" t="b">
        <v>0</v>
      </c>
      <c r="H178" s="18" t="b">
        <v>0</v>
      </c>
    </row>
    <row r="179" outlineLevel="1">
      <c r="A179" s="13">
        <v>46014.0</v>
      </c>
      <c r="B179" s="14" t="s">
        <v>18</v>
      </c>
      <c r="C179" s="15" t="s">
        <v>47</v>
      </c>
      <c r="D179" s="16" t="s">
        <v>327</v>
      </c>
      <c r="E179" s="20" t="s">
        <v>30</v>
      </c>
      <c r="F179" s="27"/>
      <c r="G179" s="18" t="b">
        <v>0</v>
      </c>
      <c r="H179" s="18" t="b">
        <v>0</v>
      </c>
    </row>
    <row r="180" outlineLevel="1">
      <c r="A180" s="13">
        <v>46014.0</v>
      </c>
      <c r="B180" s="14" t="s">
        <v>18</v>
      </c>
      <c r="C180" s="15" t="s">
        <v>202</v>
      </c>
      <c r="D180" s="16" t="s">
        <v>328</v>
      </c>
      <c r="E180" s="43"/>
      <c r="F180" s="44" t="s">
        <v>329</v>
      </c>
      <c r="G180" s="18" t="b">
        <v>1</v>
      </c>
      <c r="H180" s="18" t="b">
        <v>0</v>
      </c>
    </row>
    <row r="181" outlineLevel="1">
      <c r="A181" s="13">
        <v>46014.0</v>
      </c>
      <c r="B181" s="14" t="s">
        <v>246</v>
      </c>
      <c r="C181" s="15" t="s">
        <v>79</v>
      </c>
      <c r="D181" s="16" t="s">
        <v>330</v>
      </c>
      <c r="E181" s="20"/>
      <c r="F181" s="27" t="s">
        <v>331</v>
      </c>
      <c r="G181" s="18" t="b">
        <v>0</v>
      </c>
      <c r="H181" s="18" t="b">
        <v>0</v>
      </c>
    </row>
    <row r="182" outlineLevel="1">
      <c r="A182" s="13">
        <v>46014.0</v>
      </c>
      <c r="B182" s="14" t="s">
        <v>18</v>
      </c>
      <c r="C182" s="15" t="s">
        <v>84</v>
      </c>
      <c r="D182" s="16" t="s">
        <v>332</v>
      </c>
      <c r="E182" s="20"/>
      <c r="F182" s="27" t="s">
        <v>333</v>
      </c>
      <c r="G182" s="18" t="b">
        <v>1</v>
      </c>
      <c r="H182" s="18" t="b">
        <v>0</v>
      </c>
    </row>
    <row r="183" outlineLevel="1">
      <c r="A183" s="13">
        <v>46014.0</v>
      </c>
      <c r="B183" s="14" t="s">
        <v>18</v>
      </c>
      <c r="C183" s="15" t="s">
        <v>60</v>
      </c>
      <c r="D183" s="16" t="s">
        <v>334</v>
      </c>
      <c r="E183" s="20"/>
      <c r="F183" s="27" t="s">
        <v>335</v>
      </c>
      <c r="G183" s="18" t="b">
        <v>1</v>
      </c>
      <c r="H183" s="18" t="b">
        <v>0</v>
      </c>
    </row>
    <row r="184" outlineLevel="1">
      <c r="A184" s="13">
        <v>46014.0</v>
      </c>
      <c r="B184" s="14" t="s">
        <v>18</v>
      </c>
      <c r="C184" s="15" t="s">
        <v>95</v>
      </c>
      <c r="D184" s="16" t="s">
        <v>96</v>
      </c>
      <c r="E184" s="20"/>
      <c r="F184" s="27" t="s">
        <v>97</v>
      </c>
      <c r="G184" s="18" t="b">
        <v>0</v>
      </c>
      <c r="H184" s="18" t="b">
        <v>0</v>
      </c>
    </row>
    <row r="185" outlineLevel="1">
      <c r="A185" s="13">
        <v>46014.0</v>
      </c>
      <c r="B185" s="14" t="s">
        <v>18</v>
      </c>
      <c r="C185" s="15" t="s">
        <v>19</v>
      </c>
      <c r="D185" s="16" t="s">
        <v>129</v>
      </c>
      <c r="E185" s="20"/>
      <c r="F185" s="27" t="s">
        <v>333</v>
      </c>
      <c r="G185" s="18" t="b">
        <v>1</v>
      </c>
      <c r="H185" s="18" t="b">
        <v>0</v>
      </c>
    </row>
    <row r="186" outlineLevel="1">
      <c r="A186" s="37">
        <v>46014.0</v>
      </c>
      <c r="B186" s="38" t="s">
        <v>18</v>
      </c>
      <c r="C186" s="39" t="s">
        <v>11</v>
      </c>
      <c r="D186" s="40" t="s">
        <v>336</v>
      </c>
      <c r="E186" s="41" t="s">
        <v>16</v>
      </c>
      <c r="F186" s="42" t="s">
        <v>337</v>
      </c>
      <c r="G186" s="29" t="b">
        <v>1</v>
      </c>
      <c r="H186" s="29" t="b">
        <v>0</v>
      </c>
    </row>
    <row r="187" outlineLevel="1">
      <c r="A187" s="13">
        <v>46014.0</v>
      </c>
      <c r="B187" s="14" t="s">
        <v>18</v>
      </c>
      <c r="C187" s="15" t="s">
        <v>338</v>
      </c>
      <c r="D187" s="16" t="s">
        <v>339</v>
      </c>
      <c r="E187" s="20" t="s">
        <v>340</v>
      </c>
      <c r="F187" s="27" t="s">
        <v>198</v>
      </c>
      <c r="G187" s="29" t="b">
        <v>0</v>
      </c>
      <c r="H187" s="29" t="b">
        <v>0</v>
      </c>
    </row>
    <row r="188" outlineLevel="1">
      <c r="A188" s="13">
        <v>46014.0</v>
      </c>
      <c r="B188" s="14" t="s">
        <v>18</v>
      </c>
      <c r="C188" s="15" t="s">
        <v>338</v>
      </c>
      <c r="D188" s="16" t="s">
        <v>341</v>
      </c>
      <c r="E188" s="20" t="s">
        <v>340</v>
      </c>
      <c r="F188" s="27" t="s">
        <v>342</v>
      </c>
      <c r="G188" s="29" t="b">
        <v>0</v>
      </c>
      <c r="H188" s="29" t="b">
        <v>0</v>
      </c>
    </row>
    <row r="189" outlineLevel="1">
      <c r="A189" s="45">
        <v>46014.0</v>
      </c>
      <c r="B189" s="46" t="s">
        <v>10</v>
      </c>
      <c r="C189" s="47" t="s">
        <v>66</v>
      </c>
      <c r="D189" s="48" t="s">
        <v>330</v>
      </c>
      <c r="E189" s="49" t="s">
        <v>340</v>
      </c>
      <c r="F189" s="50"/>
      <c r="G189" s="29" t="b">
        <v>0</v>
      </c>
      <c r="H189" s="29" t="b">
        <v>0</v>
      </c>
    </row>
    <row r="190" outlineLevel="1">
      <c r="A190" s="45">
        <v>46014.0</v>
      </c>
      <c r="B190" s="46" t="s">
        <v>10</v>
      </c>
      <c r="C190" s="47" t="s">
        <v>38</v>
      </c>
      <c r="D190" s="48" t="s">
        <v>343</v>
      </c>
      <c r="E190" s="49" t="s">
        <v>340</v>
      </c>
      <c r="F190" s="50"/>
      <c r="G190" s="29" t="b">
        <v>0</v>
      </c>
      <c r="H190" s="29" t="b">
        <v>0</v>
      </c>
    </row>
    <row r="191" outlineLevel="1">
      <c r="A191" s="45">
        <v>46014.0</v>
      </c>
      <c r="B191" s="46" t="s">
        <v>10</v>
      </c>
      <c r="C191" s="47" t="s">
        <v>344</v>
      </c>
      <c r="D191" s="48" t="s">
        <v>343</v>
      </c>
      <c r="E191" s="49" t="s">
        <v>340</v>
      </c>
      <c r="F191" s="50"/>
      <c r="G191" s="29" t="b">
        <v>0</v>
      </c>
      <c r="H191" s="29" t="b">
        <v>0</v>
      </c>
    </row>
    <row r="192" outlineLevel="1">
      <c r="A192" s="13">
        <v>46029.0</v>
      </c>
      <c r="B192" s="14" t="s">
        <v>18</v>
      </c>
      <c r="C192" s="15" t="s">
        <v>345</v>
      </c>
      <c r="D192" s="16" t="s">
        <v>132</v>
      </c>
      <c r="E192" s="20" t="s">
        <v>346</v>
      </c>
      <c r="F192" s="27" t="s">
        <v>69</v>
      </c>
      <c r="G192" s="29" t="b">
        <v>1</v>
      </c>
      <c r="H192" s="29" t="b">
        <v>0</v>
      </c>
    </row>
    <row r="193" outlineLevel="1">
      <c r="A193" s="13">
        <v>46029.0</v>
      </c>
      <c r="B193" s="14" t="s">
        <v>18</v>
      </c>
      <c r="C193" s="15" t="s">
        <v>23</v>
      </c>
      <c r="D193" s="16" t="s">
        <v>347</v>
      </c>
      <c r="E193" s="20" t="s">
        <v>346</v>
      </c>
      <c r="F193" s="27" t="s">
        <v>69</v>
      </c>
      <c r="G193" s="29" t="b">
        <v>1</v>
      </c>
      <c r="H193" s="29" t="b">
        <v>0</v>
      </c>
    </row>
    <row r="194" outlineLevel="1">
      <c r="A194" s="13">
        <v>46029.0</v>
      </c>
      <c r="B194" s="14" t="s">
        <v>18</v>
      </c>
      <c r="C194" s="15" t="s">
        <v>344</v>
      </c>
      <c r="D194" s="16" t="s">
        <v>348</v>
      </c>
      <c r="E194" s="20" t="s">
        <v>346</v>
      </c>
      <c r="F194" s="27" t="s">
        <v>349</v>
      </c>
      <c r="G194" s="29" t="b">
        <v>1</v>
      </c>
      <c r="H194" s="29" t="b">
        <v>0</v>
      </c>
    </row>
    <row r="195" outlineLevel="1">
      <c r="A195" s="13">
        <v>46029.0</v>
      </c>
      <c r="B195" s="14" t="s">
        <v>18</v>
      </c>
      <c r="C195" s="15" t="s">
        <v>350</v>
      </c>
      <c r="D195" s="16" t="s">
        <v>351</v>
      </c>
      <c r="E195" s="20" t="s">
        <v>346</v>
      </c>
      <c r="F195" s="27" t="s">
        <v>69</v>
      </c>
      <c r="G195" s="29" t="b">
        <v>1</v>
      </c>
      <c r="H195" s="29" t="b">
        <v>0</v>
      </c>
    </row>
    <row r="196" outlineLevel="1">
      <c r="A196" s="13">
        <v>46029.0</v>
      </c>
      <c r="B196" s="14" t="s">
        <v>18</v>
      </c>
      <c r="C196" s="15" t="s">
        <v>352</v>
      </c>
      <c r="D196" s="16" t="s">
        <v>353</v>
      </c>
      <c r="E196" s="20"/>
      <c r="F196" s="27" t="s">
        <v>97</v>
      </c>
      <c r="G196" s="29" t="b">
        <v>0</v>
      </c>
      <c r="H196" s="29" t="b">
        <v>0</v>
      </c>
    </row>
    <row r="197" outlineLevel="1">
      <c r="A197" s="13">
        <v>46029.0</v>
      </c>
      <c r="B197" s="14" t="s">
        <v>26</v>
      </c>
      <c r="C197" s="15" t="s">
        <v>56</v>
      </c>
      <c r="D197" s="16" t="s">
        <v>353</v>
      </c>
      <c r="E197" s="20" t="s">
        <v>346</v>
      </c>
      <c r="F197" s="27" t="s">
        <v>69</v>
      </c>
      <c r="G197" s="29" t="b">
        <v>1</v>
      </c>
      <c r="H197" s="29" t="b">
        <v>0</v>
      </c>
    </row>
    <row r="198" outlineLevel="1">
      <c r="A198" s="13">
        <v>46030.0</v>
      </c>
      <c r="B198" s="14" t="s">
        <v>18</v>
      </c>
      <c r="C198" s="15" t="s">
        <v>47</v>
      </c>
      <c r="D198" s="16" t="s">
        <v>354</v>
      </c>
      <c r="E198" s="20" t="s">
        <v>30</v>
      </c>
      <c r="F198" s="27"/>
      <c r="G198" s="29" t="b">
        <v>0</v>
      </c>
      <c r="H198" s="29" t="b">
        <v>0</v>
      </c>
    </row>
    <row r="199" outlineLevel="1">
      <c r="A199" s="13">
        <v>46030.0</v>
      </c>
      <c r="B199" s="14" t="s">
        <v>355</v>
      </c>
      <c r="C199" s="15" t="s">
        <v>156</v>
      </c>
      <c r="D199" s="16" t="s">
        <v>356</v>
      </c>
      <c r="E199" s="20" t="s">
        <v>357</v>
      </c>
      <c r="F199" s="31" t="s">
        <v>358</v>
      </c>
      <c r="G199" s="29" t="b">
        <v>1</v>
      </c>
      <c r="H199" s="29" t="b">
        <v>0</v>
      </c>
    </row>
    <row r="200" outlineLevel="1">
      <c r="A200" s="13">
        <v>46030.0</v>
      </c>
      <c r="B200" s="14" t="s">
        <v>18</v>
      </c>
      <c r="C200" s="15" t="s">
        <v>47</v>
      </c>
      <c r="D200" s="16" t="s">
        <v>359</v>
      </c>
      <c r="E200" s="20"/>
      <c r="F200" s="31" t="s">
        <v>225</v>
      </c>
      <c r="G200" s="29" t="b">
        <v>0</v>
      </c>
      <c r="H200" s="29" t="b">
        <v>0</v>
      </c>
    </row>
    <row r="201" outlineLevel="1">
      <c r="A201" s="13">
        <v>46030.0</v>
      </c>
      <c r="B201" s="14" t="s">
        <v>18</v>
      </c>
      <c r="C201" s="15" t="s">
        <v>80</v>
      </c>
      <c r="D201" s="16" t="s">
        <v>360</v>
      </c>
      <c r="E201" s="20" t="s">
        <v>30</v>
      </c>
      <c r="F201" s="31"/>
      <c r="G201" s="29" t="b">
        <v>0</v>
      </c>
      <c r="H201" s="29" t="b">
        <v>0</v>
      </c>
    </row>
    <row r="202" outlineLevel="1">
      <c r="A202" s="13">
        <v>46030.0</v>
      </c>
      <c r="B202" s="14" t="s">
        <v>10</v>
      </c>
      <c r="C202" s="15" t="s">
        <v>85</v>
      </c>
      <c r="D202" s="16" t="s">
        <v>361</v>
      </c>
      <c r="E202" s="20"/>
      <c r="F202" s="31" t="s">
        <v>362</v>
      </c>
      <c r="G202" s="29" t="b">
        <v>0</v>
      </c>
      <c r="H202" s="29" t="b">
        <v>0</v>
      </c>
    </row>
    <row r="203" outlineLevel="1">
      <c r="A203" s="13">
        <v>46030.0</v>
      </c>
      <c r="B203" s="14" t="s">
        <v>18</v>
      </c>
      <c r="C203" s="15" t="s">
        <v>80</v>
      </c>
      <c r="D203" s="16" t="s">
        <v>363</v>
      </c>
      <c r="E203" s="20" t="s">
        <v>142</v>
      </c>
      <c r="F203" s="31"/>
      <c r="G203" s="29" t="b">
        <v>0</v>
      </c>
      <c r="H203" s="29" t="b">
        <v>0</v>
      </c>
    </row>
    <row r="204" outlineLevel="1">
      <c r="A204" s="13">
        <v>46031.0</v>
      </c>
      <c r="B204" s="14" t="s">
        <v>18</v>
      </c>
      <c r="C204" s="15" t="s">
        <v>53</v>
      </c>
      <c r="D204" s="16" t="s">
        <v>273</v>
      </c>
      <c r="E204" s="20" t="s">
        <v>293</v>
      </c>
      <c r="F204" s="27" t="s">
        <v>289</v>
      </c>
      <c r="G204" s="29" t="b">
        <v>0</v>
      </c>
      <c r="H204" s="29" t="b">
        <v>0</v>
      </c>
    </row>
    <row r="205" outlineLevel="1">
      <c r="A205" s="13">
        <v>46031.0</v>
      </c>
      <c r="B205" s="14" t="s">
        <v>18</v>
      </c>
      <c r="C205" s="15" t="s">
        <v>23</v>
      </c>
      <c r="D205" s="16" t="s">
        <v>364</v>
      </c>
      <c r="E205" s="20"/>
      <c r="F205" s="27" t="s">
        <v>365</v>
      </c>
      <c r="G205" s="29" t="b">
        <v>1</v>
      </c>
      <c r="H205" s="29" t="b">
        <v>0</v>
      </c>
    </row>
    <row r="206" outlineLevel="1">
      <c r="A206" s="13">
        <v>46032.0</v>
      </c>
      <c r="B206" s="14" t="s">
        <v>18</v>
      </c>
      <c r="C206" s="15" t="s">
        <v>110</v>
      </c>
      <c r="D206" s="16" t="s">
        <v>366</v>
      </c>
      <c r="E206" s="20" t="s">
        <v>30</v>
      </c>
      <c r="F206" s="27" t="s">
        <v>367</v>
      </c>
      <c r="G206" s="29" t="b">
        <v>0</v>
      </c>
      <c r="H206" s="29" t="b">
        <v>0</v>
      </c>
    </row>
    <row r="207" outlineLevel="1">
      <c r="A207" s="13">
        <v>46032.0</v>
      </c>
      <c r="B207" s="14" t="s">
        <v>18</v>
      </c>
      <c r="C207" s="15" t="s">
        <v>53</v>
      </c>
      <c r="D207" s="16" t="s">
        <v>190</v>
      </c>
      <c r="E207" s="20" t="s">
        <v>293</v>
      </c>
      <c r="F207" s="27" t="s">
        <v>289</v>
      </c>
      <c r="G207" s="29" t="b">
        <v>0</v>
      </c>
      <c r="H207" s="29" t="b">
        <v>0</v>
      </c>
    </row>
    <row r="208" outlineLevel="1">
      <c r="A208" s="13">
        <v>46034.0</v>
      </c>
      <c r="B208" s="14" t="s">
        <v>18</v>
      </c>
      <c r="C208" s="15" t="s">
        <v>80</v>
      </c>
      <c r="D208" s="16" t="s">
        <v>368</v>
      </c>
      <c r="E208" s="20" t="s">
        <v>204</v>
      </c>
      <c r="F208" s="27"/>
      <c r="G208" s="29" t="b">
        <v>0</v>
      </c>
      <c r="H208" s="29" t="b">
        <v>0</v>
      </c>
    </row>
    <row r="209" outlineLevel="1">
      <c r="A209" s="13">
        <v>46034.0</v>
      </c>
      <c r="B209" s="14" t="s">
        <v>18</v>
      </c>
      <c r="C209" s="15" t="s">
        <v>85</v>
      </c>
      <c r="D209" s="16" t="s">
        <v>369</v>
      </c>
      <c r="E209" s="20"/>
      <c r="F209" s="27" t="s">
        <v>370</v>
      </c>
      <c r="G209" s="29" t="b">
        <v>0</v>
      </c>
      <c r="H209" s="29" t="b">
        <v>0</v>
      </c>
    </row>
    <row r="210" outlineLevel="1">
      <c r="A210" s="13">
        <v>46037.0</v>
      </c>
      <c r="B210" s="14" t="s">
        <v>18</v>
      </c>
      <c r="C210" s="15" t="s">
        <v>77</v>
      </c>
      <c r="D210" s="16" t="s">
        <v>371</v>
      </c>
      <c r="E210" s="20" t="s">
        <v>79</v>
      </c>
      <c r="F210" s="27"/>
      <c r="G210" s="29" t="b">
        <v>0</v>
      </c>
      <c r="H210" s="29" t="b">
        <v>0</v>
      </c>
    </row>
    <row r="211" outlineLevel="1">
      <c r="A211" s="13">
        <v>46037.0</v>
      </c>
      <c r="B211" s="14" t="s">
        <v>18</v>
      </c>
      <c r="C211" s="15" t="s">
        <v>139</v>
      </c>
      <c r="D211" s="16" t="s">
        <v>372</v>
      </c>
      <c r="E211" s="20"/>
      <c r="F211" s="27" t="s">
        <v>373</v>
      </c>
      <c r="G211" s="29" t="b">
        <v>0</v>
      </c>
      <c r="H211" s="29" t="b">
        <v>0</v>
      </c>
    </row>
    <row r="212" outlineLevel="1">
      <c r="A212" s="13">
        <v>46038.0</v>
      </c>
      <c r="B212" s="14" t="s">
        <v>18</v>
      </c>
      <c r="C212" s="15" t="s">
        <v>110</v>
      </c>
      <c r="D212" s="16" t="s">
        <v>100</v>
      </c>
      <c r="E212" s="20" t="s">
        <v>142</v>
      </c>
      <c r="F212" s="27"/>
      <c r="G212" s="29" t="b">
        <v>0</v>
      </c>
      <c r="H212" s="29" t="b">
        <v>0</v>
      </c>
    </row>
    <row r="213" outlineLevel="1">
      <c r="A213" s="13">
        <v>46038.0</v>
      </c>
      <c r="B213" s="14" t="s">
        <v>18</v>
      </c>
      <c r="C213" s="15" t="s">
        <v>53</v>
      </c>
      <c r="D213" s="16" t="s">
        <v>273</v>
      </c>
      <c r="E213" s="20" t="s">
        <v>293</v>
      </c>
      <c r="F213" s="27" t="s">
        <v>289</v>
      </c>
      <c r="G213" s="29" t="b">
        <v>0</v>
      </c>
      <c r="H213" s="29" t="b">
        <v>0</v>
      </c>
    </row>
    <row r="214" outlineLevel="1">
      <c r="A214" s="13">
        <v>46038.0</v>
      </c>
      <c r="B214" s="14" t="s">
        <v>355</v>
      </c>
      <c r="C214" s="15" t="s">
        <v>60</v>
      </c>
      <c r="D214" s="16" t="s">
        <v>374</v>
      </c>
      <c r="E214" s="20" t="s">
        <v>375</v>
      </c>
      <c r="F214" s="27" t="s">
        <v>376</v>
      </c>
      <c r="G214" s="29" t="b">
        <v>1</v>
      </c>
      <c r="H214" s="29" t="b">
        <v>0</v>
      </c>
    </row>
    <row r="215" outlineLevel="1">
      <c r="A215" s="13">
        <v>46039.0</v>
      </c>
      <c r="B215" s="14" t="s">
        <v>246</v>
      </c>
      <c r="C215" s="15" t="s">
        <v>60</v>
      </c>
      <c r="D215" s="16" t="s">
        <v>377</v>
      </c>
      <c r="E215" s="20" t="s">
        <v>378</v>
      </c>
      <c r="F215" s="27" t="s">
        <v>69</v>
      </c>
      <c r="G215" s="29" t="b">
        <v>1</v>
      </c>
      <c r="H215" s="29" t="b">
        <v>0</v>
      </c>
    </row>
    <row r="216" outlineLevel="1">
      <c r="A216" s="13">
        <v>46039.0</v>
      </c>
      <c r="B216" s="14" t="s">
        <v>18</v>
      </c>
      <c r="C216" s="15" t="s">
        <v>110</v>
      </c>
      <c r="D216" s="16" t="s">
        <v>366</v>
      </c>
      <c r="E216" s="20" t="s">
        <v>30</v>
      </c>
      <c r="F216" s="27" t="s">
        <v>367</v>
      </c>
      <c r="G216" s="29" t="b">
        <v>0</v>
      </c>
      <c r="H216" s="29" t="b">
        <v>0</v>
      </c>
    </row>
    <row r="217" outlineLevel="1">
      <c r="A217" s="13">
        <v>46039.0</v>
      </c>
      <c r="B217" s="14" t="s">
        <v>18</v>
      </c>
      <c r="C217" s="15" t="s">
        <v>53</v>
      </c>
      <c r="D217" s="16" t="s">
        <v>190</v>
      </c>
      <c r="E217" s="20" t="s">
        <v>16</v>
      </c>
      <c r="F217" s="27" t="s">
        <v>69</v>
      </c>
      <c r="G217" s="29" t="b">
        <v>1</v>
      </c>
      <c r="H217" s="29" t="b">
        <v>0</v>
      </c>
    </row>
    <row r="218" outlineLevel="1">
      <c r="A218" s="13">
        <v>46041.0</v>
      </c>
      <c r="B218" s="14" t="s">
        <v>18</v>
      </c>
      <c r="C218" s="15" t="s">
        <v>142</v>
      </c>
      <c r="D218" s="16" t="s">
        <v>379</v>
      </c>
      <c r="E218" s="20" t="s">
        <v>144</v>
      </c>
      <c r="F218" s="27"/>
      <c r="G218" s="29" t="b">
        <v>0</v>
      </c>
      <c r="H218" s="29" t="b">
        <v>0</v>
      </c>
    </row>
    <row r="219" outlineLevel="1">
      <c r="A219" s="13">
        <v>46041.0</v>
      </c>
      <c r="B219" s="14" t="s">
        <v>18</v>
      </c>
      <c r="C219" s="15" t="s">
        <v>85</v>
      </c>
      <c r="D219" s="16" t="s">
        <v>380</v>
      </c>
      <c r="E219" s="20"/>
      <c r="F219" s="27" t="s">
        <v>381</v>
      </c>
      <c r="G219" s="29" t="b">
        <v>0</v>
      </c>
      <c r="H219" s="29" t="b">
        <v>0</v>
      </c>
    </row>
    <row r="220" outlineLevel="1">
      <c r="A220" s="13">
        <v>46041.0</v>
      </c>
      <c r="B220" s="14" t="s">
        <v>18</v>
      </c>
      <c r="C220" s="15" t="s">
        <v>85</v>
      </c>
      <c r="D220" s="16" t="s">
        <v>382</v>
      </c>
      <c r="E220" s="20" t="s">
        <v>80</v>
      </c>
      <c r="F220" s="27"/>
      <c r="G220" s="29" t="b">
        <v>0</v>
      </c>
      <c r="H220" s="29" t="b">
        <v>0</v>
      </c>
    </row>
    <row r="221" outlineLevel="1">
      <c r="A221" s="13">
        <v>46041.0</v>
      </c>
      <c r="B221" s="14" t="s">
        <v>18</v>
      </c>
      <c r="C221" s="15" t="s">
        <v>114</v>
      </c>
      <c r="D221" s="16" t="s">
        <v>228</v>
      </c>
      <c r="E221" s="20" t="s">
        <v>383</v>
      </c>
      <c r="F221" s="27" t="s">
        <v>384</v>
      </c>
      <c r="G221" s="29" t="b">
        <v>0</v>
      </c>
      <c r="H221" s="29" t="b">
        <v>0</v>
      </c>
    </row>
    <row r="222" outlineLevel="1">
      <c r="A222" s="13">
        <v>46041.0</v>
      </c>
      <c r="B222" s="14" t="s">
        <v>18</v>
      </c>
      <c r="C222" s="15" t="s">
        <v>70</v>
      </c>
      <c r="D222" s="16" t="s">
        <v>115</v>
      </c>
      <c r="E222" s="20" t="s">
        <v>104</v>
      </c>
      <c r="F222" s="27"/>
      <c r="G222" s="29" t="b">
        <v>0</v>
      </c>
      <c r="H222" s="29" t="b">
        <v>0</v>
      </c>
    </row>
    <row r="223" outlineLevel="1">
      <c r="A223" s="13">
        <v>46043.0</v>
      </c>
      <c r="B223" s="14" t="s">
        <v>246</v>
      </c>
      <c r="C223" s="15" t="s">
        <v>60</v>
      </c>
      <c r="D223" s="16" t="s">
        <v>385</v>
      </c>
      <c r="E223" s="20" t="s">
        <v>378</v>
      </c>
      <c r="F223" s="27" t="s">
        <v>69</v>
      </c>
      <c r="G223" s="29" t="b">
        <v>1</v>
      </c>
      <c r="H223" s="29" t="b">
        <v>0</v>
      </c>
    </row>
    <row r="224" outlineLevel="1">
      <c r="A224" s="13">
        <v>46043.0</v>
      </c>
      <c r="B224" s="14" t="s">
        <v>18</v>
      </c>
      <c r="C224" s="15" t="s">
        <v>386</v>
      </c>
      <c r="D224" s="16" t="s">
        <v>348</v>
      </c>
      <c r="E224" s="20" t="s">
        <v>16</v>
      </c>
      <c r="F224" s="27" t="s">
        <v>198</v>
      </c>
      <c r="G224" s="29" t="b">
        <v>0</v>
      </c>
      <c r="H224" s="29" t="b">
        <v>0</v>
      </c>
    </row>
    <row r="225" outlineLevel="1">
      <c r="A225" s="13">
        <v>46044.0</v>
      </c>
      <c r="B225" s="14" t="s">
        <v>18</v>
      </c>
      <c r="C225" s="15" t="s">
        <v>47</v>
      </c>
      <c r="D225" s="16" t="s">
        <v>387</v>
      </c>
      <c r="E225" s="20" t="s">
        <v>30</v>
      </c>
      <c r="F225" s="27"/>
      <c r="G225" s="29" t="b">
        <v>0</v>
      </c>
      <c r="H225" s="29" t="b">
        <v>0</v>
      </c>
    </row>
    <row r="226" outlineLevel="1">
      <c r="A226" s="13">
        <v>46044.0</v>
      </c>
      <c r="B226" s="14" t="s">
        <v>26</v>
      </c>
      <c r="C226" s="15" t="s">
        <v>60</v>
      </c>
      <c r="D226" s="16" t="s">
        <v>388</v>
      </c>
      <c r="E226" s="20" t="s">
        <v>16</v>
      </c>
      <c r="F226" s="31" t="s">
        <v>389</v>
      </c>
      <c r="G226" s="29" t="b">
        <v>1</v>
      </c>
      <c r="H226" s="29" t="b">
        <v>0</v>
      </c>
    </row>
    <row r="227" outlineLevel="1">
      <c r="A227" s="13">
        <v>46044.0</v>
      </c>
      <c r="B227" s="14" t="s">
        <v>18</v>
      </c>
      <c r="C227" s="15" t="s">
        <v>60</v>
      </c>
      <c r="D227" s="16" t="s">
        <v>390</v>
      </c>
      <c r="E227" s="20" t="s">
        <v>30</v>
      </c>
      <c r="F227" s="31" t="s">
        <v>391</v>
      </c>
      <c r="G227" s="29" t="b">
        <v>1</v>
      </c>
      <c r="H227" s="29" t="b">
        <v>0</v>
      </c>
    </row>
    <row r="228" outlineLevel="1">
      <c r="A228" s="13">
        <v>46044.0</v>
      </c>
      <c r="B228" s="14" t="s">
        <v>26</v>
      </c>
      <c r="C228" s="15" t="s">
        <v>60</v>
      </c>
      <c r="D228" s="16" t="s">
        <v>256</v>
      </c>
      <c r="E228" s="20" t="s">
        <v>16</v>
      </c>
      <c r="F228" s="31" t="s">
        <v>392</v>
      </c>
      <c r="G228" s="29" t="b">
        <v>1</v>
      </c>
      <c r="H228" s="29" t="b">
        <v>0</v>
      </c>
    </row>
    <row r="229" outlineLevel="1">
      <c r="A229" s="13">
        <v>46044.0</v>
      </c>
      <c r="B229" s="14" t="s">
        <v>26</v>
      </c>
      <c r="C229" s="15" t="s">
        <v>60</v>
      </c>
      <c r="D229" s="16" t="s">
        <v>393</v>
      </c>
      <c r="E229" s="20" t="s">
        <v>394</v>
      </c>
      <c r="F229" s="31" t="s">
        <v>391</v>
      </c>
      <c r="G229" s="29" t="b">
        <v>1</v>
      </c>
      <c r="H229" s="29" t="b">
        <v>0</v>
      </c>
    </row>
    <row r="230" outlineLevel="1">
      <c r="A230" s="13">
        <v>46044.0</v>
      </c>
      <c r="B230" s="14" t="s">
        <v>26</v>
      </c>
      <c r="C230" s="15" t="s">
        <v>60</v>
      </c>
      <c r="D230" s="16" t="s">
        <v>395</v>
      </c>
      <c r="E230" s="20" t="s">
        <v>65</v>
      </c>
      <c r="F230" s="31" t="s">
        <v>396</v>
      </c>
      <c r="G230" s="29" t="b">
        <v>1</v>
      </c>
      <c r="H230" s="29" t="b">
        <v>0</v>
      </c>
    </row>
    <row r="231" outlineLevel="1">
      <c r="A231" s="13">
        <v>46044.0</v>
      </c>
      <c r="B231" s="14" t="s">
        <v>26</v>
      </c>
      <c r="C231" s="15" t="s">
        <v>60</v>
      </c>
      <c r="D231" s="16" t="s">
        <v>397</v>
      </c>
      <c r="E231" s="20" t="s">
        <v>16</v>
      </c>
      <c r="F231" s="31" t="s">
        <v>398</v>
      </c>
      <c r="G231" s="29" t="b">
        <v>1</v>
      </c>
      <c r="H231" s="29" t="b">
        <v>0</v>
      </c>
    </row>
    <row r="232" outlineLevel="1">
      <c r="A232" s="13">
        <v>46044.0</v>
      </c>
      <c r="B232" s="14" t="s">
        <v>18</v>
      </c>
      <c r="C232" s="15" t="s">
        <v>47</v>
      </c>
      <c r="D232" s="16" t="s">
        <v>399</v>
      </c>
      <c r="E232" s="20"/>
      <c r="F232" s="31" t="s">
        <v>225</v>
      </c>
      <c r="G232" s="29" t="b">
        <v>0</v>
      </c>
      <c r="H232" s="29" t="b">
        <v>0</v>
      </c>
    </row>
    <row r="233" outlineLevel="1">
      <c r="A233" s="13">
        <v>46044.0</v>
      </c>
      <c r="B233" s="14" t="s">
        <v>18</v>
      </c>
      <c r="C233" s="15" t="s">
        <v>386</v>
      </c>
      <c r="D233" s="16" t="s">
        <v>400</v>
      </c>
      <c r="E233" s="20"/>
      <c r="F233" s="31" t="s">
        <v>198</v>
      </c>
      <c r="G233" s="29" t="b">
        <v>0</v>
      </c>
      <c r="H233" s="29" t="b">
        <v>0</v>
      </c>
    </row>
    <row r="234" outlineLevel="1">
      <c r="A234" s="13">
        <v>46044.0</v>
      </c>
      <c r="B234" s="14" t="s">
        <v>246</v>
      </c>
      <c r="C234" s="15" t="s">
        <v>386</v>
      </c>
      <c r="D234" s="16" t="s">
        <v>401</v>
      </c>
      <c r="E234" s="20" t="s">
        <v>66</v>
      </c>
      <c r="F234" s="31"/>
      <c r="G234" s="29" t="b">
        <v>0</v>
      </c>
      <c r="H234" s="29" t="b">
        <v>0</v>
      </c>
    </row>
    <row r="235" outlineLevel="1">
      <c r="A235" s="13">
        <v>46045.0</v>
      </c>
      <c r="B235" s="14" t="s">
        <v>18</v>
      </c>
      <c r="C235" s="15" t="s">
        <v>60</v>
      </c>
      <c r="D235" s="16" t="s">
        <v>402</v>
      </c>
      <c r="E235" s="20" t="s">
        <v>30</v>
      </c>
      <c r="F235" s="27"/>
      <c r="G235" s="29" t="b">
        <v>0</v>
      </c>
      <c r="H235" s="29" t="b">
        <v>0</v>
      </c>
    </row>
    <row r="236" outlineLevel="1">
      <c r="A236" s="13">
        <v>46045.0</v>
      </c>
      <c r="B236" s="14" t="s">
        <v>18</v>
      </c>
      <c r="C236" s="15" t="s">
        <v>60</v>
      </c>
      <c r="D236" s="16" t="s">
        <v>403</v>
      </c>
      <c r="E236" s="20" t="s">
        <v>151</v>
      </c>
      <c r="F236" s="27"/>
      <c r="G236" s="29" t="b">
        <v>0</v>
      </c>
      <c r="H236" s="29" t="b">
        <v>0</v>
      </c>
    </row>
    <row r="237" outlineLevel="1">
      <c r="A237" s="13">
        <v>46045.0</v>
      </c>
      <c r="B237" s="14" t="s">
        <v>18</v>
      </c>
      <c r="C237" s="15" t="s">
        <v>60</v>
      </c>
      <c r="D237" s="16" t="s">
        <v>404</v>
      </c>
      <c r="E237" s="20" t="s">
        <v>16</v>
      </c>
      <c r="F237" s="27" t="s">
        <v>405</v>
      </c>
      <c r="G237" s="29" t="b">
        <v>1</v>
      </c>
      <c r="H237" s="29" t="b">
        <v>0</v>
      </c>
    </row>
    <row r="238" outlineLevel="1">
      <c r="A238" s="13">
        <v>46045.0</v>
      </c>
      <c r="B238" s="14" t="s">
        <v>18</v>
      </c>
      <c r="C238" s="15" t="s">
        <v>60</v>
      </c>
      <c r="D238" s="16" t="s">
        <v>406</v>
      </c>
      <c r="E238" s="20" t="s">
        <v>65</v>
      </c>
      <c r="F238" s="27" t="s">
        <v>405</v>
      </c>
      <c r="G238" s="29" t="b">
        <v>1</v>
      </c>
      <c r="H238" s="29" t="b">
        <v>0</v>
      </c>
    </row>
    <row r="239" outlineLevel="1">
      <c r="A239" s="13">
        <v>46045.0</v>
      </c>
      <c r="B239" s="14" t="s">
        <v>18</v>
      </c>
      <c r="C239" s="15" t="s">
        <v>53</v>
      </c>
      <c r="D239" s="16" t="s">
        <v>273</v>
      </c>
      <c r="E239" s="20" t="s">
        <v>293</v>
      </c>
      <c r="F239" s="27" t="s">
        <v>289</v>
      </c>
      <c r="G239" s="29" t="b">
        <v>0</v>
      </c>
      <c r="H239" s="29" t="b">
        <v>0</v>
      </c>
    </row>
    <row r="240" outlineLevel="1">
      <c r="A240" s="13">
        <v>46046.0</v>
      </c>
      <c r="B240" s="14" t="s">
        <v>18</v>
      </c>
      <c r="C240" s="15" t="s">
        <v>60</v>
      </c>
      <c r="D240" s="16" t="s">
        <v>407</v>
      </c>
      <c r="E240" s="20"/>
      <c r="F240" s="27" t="s">
        <v>99</v>
      </c>
      <c r="G240" s="29" t="b">
        <v>1</v>
      </c>
      <c r="H240" s="29" t="b">
        <v>0</v>
      </c>
    </row>
    <row r="241" outlineLevel="1">
      <c r="A241" s="13">
        <v>46046.0</v>
      </c>
      <c r="B241" s="14" t="s">
        <v>18</v>
      </c>
      <c r="C241" s="15" t="s">
        <v>60</v>
      </c>
      <c r="D241" s="16" t="s">
        <v>408</v>
      </c>
      <c r="E241" s="20" t="s">
        <v>394</v>
      </c>
      <c r="F241" s="27"/>
      <c r="G241" s="29" t="b">
        <v>0</v>
      </c>
      <c r="H241" s="29" t="b">
        <v>0</v>
      </c>
    </row>
    <row r="242" outlineLevel="1">
      <c r="A242" s="13">
        <v>46046.0</v>
      </c>
      <c r="B242" s="14" t="s">
        <v>18</v>
      </c>
      <c r="C242" s="15" t="s">
        <v>53</v>
      </c>
      <c r="D242" s="16" t="s">
        <v>190</v>
      </c>
      <c r="E242" s="20" t="s">
        <v>293</v>
      </c>
      <c r="F242" s="27" t="s">
        <v>289</v>
      </c>
      <c r="G242" s="29" t="b">
        <v>0</v>
      </c>
      <c r="H242" s="29" t="b">
        <v>0</v>
      </c>
    </row>
    <row r="243" outlineLevel="1">
      <c r="A243" s="13">
        <v>46046.0</v>
      </c>
      <c r="B243" s="14" t="s">
        <v>18</v>
      </c>
      <c r="C243" s="15" t="s">
        <v>30</v>
      </c>
      <c r="D243" s="16" t="s">
        <v>190</v>
      </c>
      <c r="E243" s="20"/>
      <c r="F243" s="27" t="s">
        <v>409</v>
      </c>
      <c r="G243" s="29" t="b">
        <v>0</v>
      </c>
      <c r="H243" s="29" t="b">
        <v>0</v>
      </c>
    </row>
    <row r="244" outlineLevel="1">
      <c r="A244" s="13">
        <v>46046.0</v>
      </c>
      <c r="B244" s="14" t="s">
        <v>18</v>
      </c>
      <c r="C244" s="15" t="s">
        <v>189</v>
      </c>
      <c r="D244" s="16" t="s">
        <v>190</v>
      </c>
      <c r="E244" s="20"/>
      <c r="F244" s="27" t="s">
        <v>410</v>
      </c>
      <c r="G244" s="29" t="b">
        <v>0</v>
      </c>
      <c r="H244" s="29" t="b">
        <v>0</v>
      </c>
    </row>
    <row r="245" outlineLevel="1">
      <c r="A245" s="13">
        <v>46046.0</v>
      </c>
      <c r="B245" s="14" t="s">
        <v>18</v>
      </c>
      <c r="C245" s="15" t="s">
        <v>411</v>
      </c>
      <c r="D245" s="16" t="s">
        <v>190</v>
      </c>
      <c r="E245" s="20"/>
      <c r="F245" s="27" t="s">
        <v>412</v>
      </c>
      <c r="G245" s="29" t="b">
        <v>1</v>
      </c>
      <c r="H245" s="29" t="b">
        <v>0</v>
      </c>
    </row>
    <row r="246" outlineLevel="1">
      <c r="A246" s="51">
        <v>46048.0</v>
      </c>
      <c r="B246" s="52" t="s">
        <v>26</v>
      </c>
      <c r="C246" s="53" t="s">
        <v>60</v>
      </c>
      <c r="D246" s="54" t="s">
        <v>413</v>
      </c>
      <c r="E246" s="55"/>
      <c r="F246" s="56" t="s">
        <v>127</v>
      </c>
      <c r="G246" s="29" t="b">
        <v>1</v>
      </c>
      <c r="H246" s="29" t="b">
        <v>0</v>
      </c>
    </row>
    <row r="247" outlineLevel="1">
      <c r="A247" s="51">
        <v>46048.0</v>
      </c>
      <c r="B247" s="52" t="s">
        <v>246</v>
      </c>
      <c r="C247" s="53" t="s">
        <v>350</v>
      </c>
      <c r="D247" s="54" t="s">
        <v>414</v>
      </c>
      <c r="E247" s="55" t="s">
        <v>16</v>
      </c>
      <c r="F247" s="56" t="s">
        <v>415</v>
      </c>
      <c r="G247" s="29" t="b">
        <v>1</v>
      </c>
      <c r="H247" s="29" t="b">
        <v>0</v>
      </c>
    </row>
    <row r="248" outlineLevel="1">
      <c r="A248" s="13">
        <v>46049.0</v>
      </c>
      <c r="B248" s="14" t="s">
        <v>18</v>
      </c>
      <c r="C248" s="15" t="s">
        <v>189</v>
      </c>
      <c r="D248" s="16" t="s">
        <v>416</v>
      </c>
      <c r="E248" s="20"/>
      <c r="F248" s="27" t="s">
        <v>410</v>
      </c>
      <c r="G248" s="29" t="b">
        <v>0</v>
      </c>
      <c r="H248" s="29" t="b">
        <v>0</v>
      </c>
    </row>
    <row r="249" outlineLevel="1">
      <c r="A249" s="57">
        <v>46049.0</v>
      </c>
      <c r="B249" s="58" t="s">
        <v>18</v>
      </c>
      <c r="C249" s="59" t="s">
        <v>202</v>
      </c>
      <c r="D249" s="60" t="s">
        <v>417</v>
      </c>
      <c r="E249" s="61" t="s">
        <v>418</v>
      </c>
      <c r="F249" s="62" t="s">
        <v>419</v>
      </c>
      <c r="G249" s="30" t="b">
        <v>0</v>
      </c>
      <c r="H249" s="30" t="b">
        <v>0</v>
      </c>
    </row>
    <row r="250" outlineLevel="1">
      <c r="A250" s="51">
        <v>46051.0</v>
      </c>
      <c r="B250" s="52" t="s">
        <v>18</v>
      </c>
      <c r="C250" s="53" t="s">
        <v>125</v>
      </c>
      <c r="D250" s="54" t="s">
        <v>256</v>
      </c>
      <c r="E250" s="55" t="s">
        <v>16</v>
      </c>
      <c r="F250" s="56" t="s">
        <v>420</v>
      </c>
      <c r="G250" s="32" t="b">
        <v>1</v>
      </c>
      <c r="H250" s="32" t="b">
        <v>0</v>
      </c>
    </row>
    <row r="251" outlineLevel="1">
      <c r="A251" s="13">
        <v>46052.0</v>
      </c>
      <c r="B251" s="14" t="s">
        <v>18</v>
      </c>
      <c r="C251" s="15" t="s">
        <v>53</v>
      </c>
      <c r="D251" s="16" t="s">
        <v>273</v>
      </c>
      <c r="E251" s="20" t="s">
        <v>293</v>
      </c>
      <c r="F251" s="27" t="s">
        <v>289</v>
      </c>
      <c r="G251" s="29" t="b">
        <v>0</v>
      </c>
      <c r="H251" s="29" t="b">
        <v>0</v>
      </c>
    </row>
    <row r="252" outlineLevel="1">
      <c r="A252" s="13">
        <v>46052.0</v>
      </c>
      <c r="B252" s="14" t="s">
        <v>18</v>
      </c>
      <c r="C252" s="15" t="s">
        <v>27</v>
      </c>
      <c r="D252" s="16" t="s">
        <v>421</v>
      </c>
      <c r="E252" s="20" t="s">
        <v>11</v>
      </c>
      <c r="F252" s="27"/>
      <c r="G252" s="32" t="b">
        <v>0</v>
      </c>
      <c r="H252" s="32" t="b">
        <v>0</v>
      </c>
    </row>
    <row r="253" outlineLevel="1">
      <c r="A253" s="13">
        <v>46052.0</v>
      </c>
      <c r="B253" s="14" t="s">
        <v>18</v>
      </c>
      <c r="C253" s="15" t="s">
        <v>189</v>
      </c>
      <c r="D253" s="16" t="s">
        <v>190</v>
      </c>
      <c r="E253" s="20"/>
      <c r="F253" s="27" t="s">
        <v>410</v>
      </c>
      <c r="G253" s="32" t="b">
        <v>0</v>
      </c>
      <c r="H253" s="32" t="b">
        <v>0</v>
      </c>
    </row>
    <row r="254" outlineLevel="1">
      <c r="A254" s="13">
        <v>46053.0</v>
      </c>
      <c r="B254" s="14" t="s">
        <v>18</v>
      </c>
      <c r="C254" s="15" t="s">
        <v>53</v>
      </c>
      <c r="D254" s="16" t="s">
        <v>422</v>
      </c>
      <c r="E254" s="20" t="s">
        <v>49</v>
      </c>
      <c r="F254" s="27"/>
      <c r="G254" s="32" t="b">
        <v>0</v>
      </c>
      <c r="H254" s="32" t="b">
        <v>0</v>
      </c>
    </row>
    <row r="255" outlineLevel="1">
      <c r="A255" s="13">
        <v>46053.0</v>
      </c>
      <c r="B255" s="14" t="s">
        <v>18</v>
      </c>
      <c r="C255" s="15" t="s">
        <v>56</v>
      </c>
      <c r="D255" s="16" t="s">
        <v>423</v>
      </c>
      <c r="E255" s="20" t="s">
        <v>16</v>
      </c>
      <c r="F255" s="27" t="s">
        <v>424</v>
      </c>
      <c r="G255" s="32" t="b">
        <v>1</v>
      </c>
      <c r="H255" s="32" t="b">
        <v>0</v>
      </c>
    </row>
    <row r="256" outlineLevel="1">
      <c r="A256" s="13">
        <v>46053.0</v>
      </c>
      <c r="B256" s="14" t="s">
        <v>18</v>
      </c>
      <c r="C256" s="15" t="s">
        <v>56</v>
      </c>
      <c r="D256" s="16" t="s">
        <v>425</v>
      </c>
      <c r="E256" s="20" t="s">
        <v>49</v>
      </c>
      <c r="F256" s="27"/>
      <c r="G256" s="32" t="b">
        <v>0</v>
      </c>
      <c r="H256" s="32" t="b">
        <v>0</v>
      </c>
    </row>
    <row r="257" outlineLevel="1">
      <c r="A257" s="13">
        <v>46056.0</v>
      </c>
      <c r="B257" s="14" t="s">
        <v>18</v>
      </c>
      <c r="C257" s="15" t="s">
        <v>128</v>
      </c>
      <c r="D257" s="16" t="s">
        <v>254</v>
      </c>
      <c r="E257" s="63" t="s">
        <v>16</v>
      </c>
      <c r="F257" s="44" t="s">
        <v>426</v>
      </c>
      <c r="G257" s="64" t="b">
        <v>1</v>
      </c>
      <c r="H257" s="65" t="b">
        <v>0</v>
      </c>
    </row>
    <row r="258" outlineLevel="1">
      <c r="A258" s="13">
        <v>46057.0</v>
      </c>
      <c r="B258" s="14" t="s">
        <v>18</v>
      </c>
      <c r="C258" s="15" t="s">
        <v>14</v>
      </c>
      <c r="D258" s="16" t="s">
        <v>427</v>
      </c>
      <c r="E258" s="63" t="s">
        <v>142</v>
      </c>
      <c r="F258" s="44"/>
      <c r="G258" s="65" t="b">
        <v>0</v>
      </c>
      <c r="H258" s="65" t="b">
        <v>0</v>
      </c>
    </row>
    <row r="259" outlineLevel="1">
      <c r="A259" s="13">
        <v>46058.0</v>
      </c>
      <c r="B259" s="8" t="s">
        <v>18</v>
      </c>
      <c r="C259" s="21" t="s">
        <v>303</v>
      </c>
      <c r="D259" s="22" t="s">
        <v>304</v>
      </c>
      <c r="E259" s="43"/>
      <c r="F259" s="44" t="s">
        <v>97</v>
      </c>
      <c r="G259" s="65" t="b">
        <v>0</v>
      </c>
      <c r="H259" s="65" t="b">
        <v>0</v>
      </c>
    </row>
    <row r="260" outlineLevel="1">
      <c r="A260" s="13">
        <v>46058.0</v>
      </c>
      <c r="B260" s="8" t="s">
        <v>18</v>
      </c>
      <c r="C260" s="21" t="s">
        <v>303</v>
      </c>
      <c r="D260" s="22" t="s">
        <v>305</v>
      </c>
      <c r="E260" s="43"/>
      <c r="F260" s="44" t="s">
        <v>428</v>
      </c>
      <c r="G260" s="64" t="b">
        <v>1</v>
      </c>
      <c r="H260" s="65" t="b">
        <v>0</v>
      </c>
    </row>
    <row r="261" outlineLevel="1">
      <c r="A261" s="13">
        <v>46058.0</v>
      </c>
      <c r="B261" s="8" t="s">
        <v>18</v>
      </c>
      <c r="C261" s="21" t="s">
        <v>303</v>
      </c>
      <c r="D261" s="22" t="s">
        <v>307</v>
      </c>
      <c r="E261" s="43"/>
      <c r="F261" s="44" t="s">
        <v>429</v>
      </c>
      <c r="G261" s="64" t="b">
        <v>0</v>
      </c>
      <c r="H261" s="65" t="b">
        <v>0</v>
      </c>
    </row>
    <row r="262" outlineLevel="1">
      <c r="A262" s="13">
        <v>46058.0</v>
      </c>
      <c r="B262" s="8" t="s">
        <v>18</v>
      </c>
      <c r="C262" s="15" t="s">
        <v>77</v>
      </c>
      <c r="D262" s="16" t="s">
        <v>430</v>
      </c>
      <c r="E262" s="63" t="s">
        <v>259</v>
      </c>
      <c r="F262" s="44"/>
      <c r="G262" s="64" t="b">
        <v>0</v>
      </c>
      <c r="H262" s="65" t="b">
        <v>0</v>
      </c>
    </row>
    <row r="263" outlineLevel="1">
      <c r="A263" s="13">
        <v>46059.0</v>
      </c>
      <c r="B263" s="14" t="s">
        <v>18</v>
      </c>
      <c r="C263" s="15" t="s">
        <v>60</v>
      </c>
      <c r="D263" s="16" t="s">
        <v>431</v>
      </c>
      <c r="E263" s="63" t="s">
        <v>16</v>
      </c>
      <c r="F263" s="44" t="s">
        <v>432</v>
      </c>
      <c r="G263" s="64" t="b">
        <v>1</v>
      </c>
      <c r="H263" s="65" t="b">
        <v>0</v>
      </c>
    </row>
    <row r="264" outlineLevel="1">
      <c r="A264" s="13">
        <v>46059.0</v>
      </c>
      <c r="B264" s="14" t="s">
        <v>18</v>
      </c>
      <c r="C264" s="15" t="s">
        <v>60</v>
      </c>
      <c r="D264" s="16" t="s">
        <v>433</v>
      </c>
      <c r="E264" s="63" t="s">
        <v>65</v>
      </c>
      <c r="F264" s="44" t="s">
        <v>432</v>
      </c>
      <c r="G264" s="64" t="b">
        <v>1</v>
      </c>
      <c r="H264" s="65" t="b">
        <v>0</v>
      </c>
    </row>
    <row r="265" outlineLevel="1">
      <c r="A265" s="13">
        <v>46062.0</v>
      </c>
      <c r="B265" s="14" t="s">
        <v>18</v>
      </c>
      <c r="C265" s="15" t="s">
        <v>434</v>
      </c>
      <c r="D265" s="16" t="s">
        <v>435</v>
      </c>
      <c r="E265" s="63" t="s">
        <v>79</v>
      </c>
      <c r="F265" s="44"/>
      <c r="G265" s="64" t="b">
        <v>0</v>
      </c>
      <c r="H265" s="65" t="b">
        <v>0</v>
      </c>
    </row>
    <row r="266" outlineLevel="1">
      <c r="A266" s="13">
        <v>46062.0</v>
      </c>
      <c r="B266" s="14" t="s">
        <v>10</v>
      </c>
      <c r="C266" s="15" t="s">
        <v>49</v>
      </c>
      <c r="D266" s="16" t="s">
        <v>436</v>
      </c>
      <c r="E266" s="63"/>
      <c r="F266" s="44" t="s">
        <v>16</v>
      </c>
      <c r="G266" s="64" t="b">
        <v>0</v>
      </c>
      <c r="H266" s="65" t="b">
        <v>0</v>
      </c>
    </row>
    <row r="267" outlineLevel="1">
      <c r="A267" s="13">
        <v>46062.0</v>
      </c>
      <c r="B267" s="14" t="s">
        <v>10</v>
      </c>
      <c r="C267" s="15" t="s">
        <v>350</v>
      </c>
      <c r="D267" s="16" t="s">
        <v>437</v>
      </c>
      <c r="E267" s="63"/>
      <c r="F267" s="44" t="s">
        <v>378</v>
      </c>
      <c r="G267" s="64" t="b">
        <v>0</v>
      </c>
      <c r="H267" s="65" t="b">
        <v>0</v>
      </c>
    </row>
    <row r="268" outlineLevel="1">
      <c r="A268" s="13">
        <v>46063.0</v>
      </c>
      <c r="B268" s="14" t="s">
        <v>18</v>
      </c>
      <c r="C268" s="15" t="s">
        <v>11</v>
      </c>
      <c r="D268" s="16" t="s">
        <v>254</v>
      </c>
      <c r="E268" s="63" t="s">
        <v>16</v>
      </c>
      <c r="F268" s="44" t="s">
        <v>438</v>
      </c>
      <c r="G268" s="64" t="b">
        <v>1</v>
      </c>
      <c r="H268" s="65" t="b">
        <v>0</v>
      </c>
    </row>
    <row r="269" outlineLevel="1">
      <c r="A269" s="13">
        <v>46064.0</v>
      </c>
      <c r="B269" s="14" t="s">
        <v>26</v>
      </c>
      <c r="C269" s="15" t="s">
        <v>439</v>
      </c>
      <c r="D269" s="16" t="s">
        <v>440</v>
      </c>
      <c r="E269" s="20" t="s">
        <v>95</v>
      </c>
      <c r="F269" s="27"/>
      <c r="G269" s="29" t="b">
        <v>0</v>
      </c>
      <c r="H269" s="29" t="b">
        <v>0</v>
      </c>
    </row>
    <row r="270" outlineLevel="1">
      <c r="A270" s="13">
        <v>46065.0</v>
      </c>
      <c r="B270" s="14" t="s">
        <v>355</v>
      </c>
      <c r="C270" s="15" t="s">
        <v>125</v>
      </c>
      <c r="D270" s="16" t="s">
        <v>441</v>
      </c>
      <c r="E270" s="20" t="s">
        <v>16</v>
      </c>
      <c r="F270" s="27" t="s">
        <v>442</v>
      </c>
      <c r="G270" s="29" t="b">
        <v>1</v>
      </c>
      <c r="H270" s="29" t="b">
        <v>0</v>
      </c>
    </row>
    <row r="271" outlineLevel="1">
      <c r="A271" s="13">
        <v>46065.0</v>
      </c>
      <c r="B271" s="14" t="s">
        <v>18</v>
      </c>
      <c r="C271" s="15" t="s">
        <v>350</v>
      </c>
      <c r="D271" s="16" t="s">
        <v>443</v>
      </c>
      <c r="E271" s="20"/>
      <c r="F271" s="27" t="s">
        <v>97</v>
      </c>
      <c r="G271" s="29" t="b">
        <v>0</v>
      </c>
      <c r="H271" s="29" t="b">
        <v>0</v>
      </c>
    </row>
    <row r="272" outlineLevel="1">
      <c r="A272" s="13">
        <v>46065.0</v>
      </c>
      <c r="B272" s="14" t="s">
        <v>18</v>
      </c>
      <c r="C272" s="15" t="s">
        <v>350</v>
      </c>
      <c r="D272" s="16" t="s">
        <v>444</v>
      </c>
      <c r="E272" s="20"/>
      <c r="F272" s="27" t="s">
        <v>97</v>
      </c>
      <c r="G272" s="29" t="b">
        <v>0</v>
      </c>
      <c r="H272" s="29" t="b">
        <v>0</v>
      </c>
    </row>
    <row r="273" outlineLevel="1">
      <c r="A273" s="13">
        <v>46066.0</v>
      </c>
      <c r="B273" s="14" t="s">
        <v>18</v>
      </c>
      <c r="C273" s="15" t="s">
        <v>156</v>
      </c>
      <c r="D273" s="16" t="s">
        <v>364</v>
      </c>
      <c r="E273" s="20" t="s">
        <v>16</v>
      </c>
      <c r="F273" s="27" t="s">
        <v>445</v>
      </c>
      <c r="G273" s="29" t="b">
        <v>1</v>
      </c>
      <c r="H273" s="29" t="b">
        <v>0</v>
      </c>
    </row>
    <row r="274" outlineLevel="1">
      <c r="A274" s="13">
        <v>46066.0</v>
      </c>
      <c r="B274" s="14" t="s">
        <v>59</v>
      </c>
      <c r="C274" s="15" t="s">
        <v>110</v>
      </c>
      <c r="D274" s="16" t="s">
        <v>446</v>
      </c>
      <c r="E274" s="20" t="s">
        <v>14</v>
      </c>
      <c r="F274" s="27"/>
      <c r="G274" s="29" t="b">
        <v>0</v>
      </c>
      <c r="H274" s="29" t="b">
        <v>0</v>
      </c>
    </row>
    <row r="275" outlineLevel="1">
      <c r="A275" s="13">
        <v>46066.0</v>
      </c>
      <c r="B275" s="14" t="s">
        <v>18</v>
      </c>
      <c r="C275" s="15" t="s">
        <v>104</v>
      </c>
      <c r="D275" s="16" t="s">
        <v>364</v>
      </c>
      <c r="E275" s="20" t="s">
        <v>386</v>
      </c>
      <c r="F275" s="27"/>
      <c r="G275" s="29" t="b">
        <v>0</v>
      </c>
      <c r="H275" s="29" t="b">
        <v>0</v>
      </c>
    </row>
    <row r="276" outlineLevel="1">
      <c r="A276" s="13">
        <v>46066.0</v>
      </c>
      <c r="B276" s="14" t="s">
        <v>59</v>
      </c>
      <c r="C276" s="15" t="s">
        <v>125</v>
      </c>
      <c r="D276" s="16" t="s">
        <v>447</v>
      </c>
      <c r="E276" s="20"/>
      <c r="F276" s="27" t="s">
        <v>448</v>
      </c>
      <c r="G276" s="29" t="b">
        <v>1</v>
      </c>
      <c r="H276" s="29" t="b">
        <v>0</v>
      </c>
    </row>
    <row r="277" outlineLevel="1">
      <c r="A277" s="13">
        <v>46067.0</v>
      </c>
      <c r="B277" s="14" t="s">
        <v>18</v>
      </c>
      <c r="C277" s="15" t="s">
        <v>189</v>
      </c>
      <c r="D277" s="16" t="s">
        <v>190</v>
      </c>
      <c r="E277" s="20" t="s">
        <v>49</v>
      </c>
      <c r="F277" s="27"/>
      <c r="G277" s="32" t="b">
        <v>0</v>
      </c>
      <c r="H277" s="32" t="b">
        <v>0</v>
      </c>
    </row>
    <row r="278" outlineLevel="1">
      <c r="A278" s="13">
        <v>46067.0</v>
      </c>
      <c r="B278" s="14" t="s">
        <v>26</v>
      </c>
      <c r="C278" s="15" t="s">
        <v>125</v>
      </c>
      <c r="D278" s="16" t="s">
        <v>449</v>
      </c>
      <c r="E278" s="20"/>
      <c r="F278" s="27" t="s">
        <v>450</v>
      </c>
      <c r="G278" s="32" t="b">
        <v>1</v>
      </c>
      <c r="H278" s="32" t="b">
        <v>0</v>
      </c>
    </row>
    <row r="279" outlineLevel="1">
      <c r="A279" s="13">
        <v>46067.0</v>
      </c>
      <c r="B279" s="14" t="s">
        <v>18</v>
      </c>
      <c r="C279" s="15" t="s">
        <v>156</v>
      </c>
      <c r="D279" s="16" t="s">
        <v>190</v>
      </c>
      <c r="E279" s="20" t="s">
        <v>16</v>
      </c>
      <c r="F279" s="27" t="s">
        <v>451</v>
      </c>
      <c r="G279" s="29" t="b">
        <v>1</v>
      </c>
      <c r="H279" s="29" t="b">
        <v>0</v>
      </c>
    </row>
    <row r="280" outlineLevel="1">
      <c r="A280" s="13">
        <v>46069.0</v>
      </c>
      <c r="B280" s="14" t="s">
        <v>18</v>
      </c>
      <c r="C280" s="15" t="s">
        <v>80</v>
      </c>
      <c r="D280" s="16" t="s">
        <v>452</v>
      </c>
      <c r="E280" s="63"/>
      <c r="F280" s="44" t="s">
        <v>453</v>
      </c>
      <c r="G280" s="64" t="b">
        <v>0</v>
      </c>
      <c r="H280" s="65" t="b">
        <v>0</v>
      </c>
    </row>
    <row r="281" outlineLevel="1">
      <c r="A281" s="13">
        <v>46069.0</v>
      </c>
      <c r="B281" s="14" t="s">
        <v>10</v>
      </c>
      <c r="C281" s="15" t="s">
        <v>85</v>
      </c>
      <c r="D281" s="63"/>
      <c r="E281" s="66" t="s">
        <v>454</v>
      </c>
      <c r="F281" s="44" t="s">
        <v>455</v>
      </c>
      <c r="G281" s="64" t="b">
        <v>0</v>
      </c>
      <c r="H281" s="65" t="b">
        <v>0</v>
      </c>
    </row>
    <row r="282" outlineLevel="1">
      <c r="A282" s="13">
        <v>46069.0</v>
      </c>
      <c r="B282" s="14" t="s">
        <v>246</v>
      </c>
      <c r="C282" s="15" t="s">
        <v>70</v>
      </c>
      <c r="D282" s="67" t="s">
        <v>456</v>
      </c>
      <c r="E282" s="66" t="s">
        <v>104</v>
      </c>
      <c r="F282" s="44"/>
      <c r="G282" s="64" t="b">
        <v>0</v>
      </c>
      <c r="H282" s="65" t="b">
        <v>0</v>
      </c>
    </row>
    <row r="283" outlineLevel="1">
      <c r="A283" s="13">
        <v>46072.0</v>
      </c>
      <c r="B283" s="14" t="s">
        <v>18</v>
      </c>
      <c r="C283" s="15" t="s">
        <v>47</v>
      </c>
      <c r="D283" s="67" t="s">
        <v>457</v>
      </c>
      <c r="E283" s="66" t="s">
        <v>30</v>
      </c>
      <c r="F283" s="44"/>
      <c r="G283" s="64" t="b">
        <v>0</v>
      </c>
      <c r="H283" s="65" t="b">
        <v>0</v>
      </c>
    </row>
    <row r="284" outlineLevel="1">
      <c r="A284" s="13">
        <v>46072.0</v>
      </c>
      <c r="B284" s="14" t="s">
        <v>18</v>
      </c>
      <c r="C284" s="15" t="s">
        <v>85</v>
      </c>
      <c r="D284" s="67" t="s">
        <v>83</v>
      </c>
      <c r="E284" s="66" t="s">
        <v>458</v>
      </c>
      <c r="F284" s="44" t="s">
        <v>459</v>
      </c>
      <c r="G284" s="64" t="b">
        <v>1</v>
      </c>
      <c r="H284" s="65" t="b">
        <v>0</v>
      </c>
    </row>
    <row r="285" outlineLevel="1">
      <c r="A285" s="13">
        <v>46072.0</v>
      </c>
      <c r="B285" s="14" t="s">
        <v>18</v>
      </c>
      <c r="C285" s="15" t="s">
        <v>85</v>
      </c>
      <c r="D285" s="67" t="s">
        <v>460</v>
      </c>
      <c r="E285" s="66" t="s">
        <v>80</v>
      </c>
      <c r="F285" s="44"/>
      <c r="G285" s="64" t="b">
        <v>0</v>
      </c>
      <c r="H285" s="65" t="b">
        <v>0</v>
      </c>
    </row>
    <row r="286" outlineLevel="1">
      <c r="A286" s="13">
        <v>46073.0</v>
      </c>
      <c r="B286" s="14" t="s">
        <v>18</v>
      </c>
      <c r="C286" s="15" t="s">
        <v>19</v>
      </c>
      <c r="D286" s="67" t="s">
        <v>364</v>
      </c>
      <c r="E286" s="66"/>
      <c r="F286" s="44" t="s">
        <v>461</v>
      </c>
      <c r="G286" s="64" t="b">
        <v>1</v>
      </c>
      <c r="H286" s="65" t="b">
        <v>0</v>
      </c>
    </row>
    <row r="287" outlineLevel="1">
      <c r="A287" s="13">
        <v>46073.0</v>
      </c>
      <c r="B287" s="14" t="s">
        <v>18</v>
      </c>
      <c r="C287" s="15" t="s">
        <v>53</v>
      </c>
      <c r="D287" s="67" t="s">
        <v>364</v>
      </c>
      <c r="E287" s="66"/>
      <c r="F287" s="44" t="s">
        <v>462</v>
      </c>
      <c r="G287" s="64" t="b">
        <v>0</v>
      </c>
      <c r="H287" s="65" t="b">
        <v>0</v>
      </c>
    </row>
    <row r="288" outlineLevel="1">
      <c r="A288" s="13">
        <v>46074.0</v>
      </c>
      <c r="B288" s="14" t="s">
        <v>18</v>
      </c>
      <c r="C288" s="15" t="s">
        <v>53</v>
      </c>
      <c r="D288" s="67" t="s">
        <v>190</v>
      </c>
      <c r="E288" s="66"/>
      <c r="F288" s="44" t="s">
        <v>462</v>
      </c>
      <c r="G288" s="64" t="b">
        <v>0</v>
      </c>
      <c r="H288" s="65" t="b">
        <v>0</v>
      </c>
    </row>
    <row r="289" outlineLevel="1">
      <c r="A289" s="13">
        <v>46076.0</v>
      </c>
      <c r="B289" s="14" t="s">
        <v>18</v>
      </c>
      <c r="C289" s="15" t="s">
        <v>84</v>
      </c>
      <c r="D289" s="16" t="s">
        <v>463</v>
      </c>
      <c r="E289" s="20" t="s">
        <v>210</v>
      </c>
      <c r="F289" s="27" t="s">
        <v>251</v>
      </c>
      <c r="G289" s="29" t="b">
        <v>0</v>
      </c>
      <c r="H289" s="29" t="b">
        <v>0</v>
      </c>
    </row>
    <row r="290" outlineLevel="1">
      <c r="A290" s="13">
        <v>46076.0</v>
      </c>
      <c r="B290" s="14" t="s">
        <v>18</v>
      </c>
      <c r="C290" s="15" t="s">
        <v>60</v>
      </c>
      <c r="D290" s="16" t="s">
        <v>88</v>
      </c>
      <c r="E290" s="20"/>
      <c r="F290" s="27" t="s">
        <v>281</v>
      </c>
      <c r="G290" s="29" t="b">
        <v>1</v>
      </c>
      <c r="H290" s="29" t="b">
        <v>0</v>
      </c>
    </row>
    <row r="291" outlineLevel="1">
      <c r="A291" s="37">
        <v>46076.0</v>
      </c>
      <c r="B291" s="38" t="s">
        <v>18</v>
      </c>
      <c r="C291" s="39" t="s">
        <v>350</v>
      </c>
      <c r="D291" s="40" t="s">
        <v>464</v>
      </c>
      <c r="E291" s="41" t="s">
        <v>16</v>
      </c>
      <c r="F291" s="42" t="s">
        <v>465</v>
      </c>
      <c r="G291" s="29" t="b">
        <v>1</v>
      </c>
      <c r="H291" s="29" t="b">
        <v>0</v>
      </c>
    </row>
    <row r="292" outlineLevel="1">
      <c r="A292" s="13">
        <v>46076.0</v>
      </c>
      <c r="B292" s="14" t="s">
        <v>10</v>
      </c>
      <c r="C292" s="15" t="s">
        <v>85</v>
      </c>
      <c r="D292" s="16" t="s">
        <v>466</v>
      </c>
      <c r="E292" s="20"/>
      <c r="F292" s="27" t="s">
        <v>467</v>
      </c>
      <c r="G292" s="29" t="b">
        <v>0</v>
      </c>
      <c r="H292" s="29" t="b">
        <v>0</v>
      </c>
    </row>
    <row r="293" outlineLevel="1">
      <c r="A293" s="13">
        <v>46077.0</v>
      </c>
      <c r="B293" s="14" t="s">
        <v>18</v>
      </c>
      <c r="C293" s="15" t="s">
        <v>95</v>
      </c>
      <c r="D293" s="16" t="s">
        <v>96</v>
      </c>
      <c r="E293" s="20"/>
      <c r="F293" s="27" t="s">
        <v>97</v>
      </c>
      <c r="G293" s="29" t="b">
        <v>0</v>
      </c>
      <c r="H293" s="29" t="b">
        <v>0</v>
      </c>
    </row>
    <row r="294" outlineLevel="1">
      <c r="A294" s="13">
        <v>46077.0</v>
      </c>
      <c r="B294" s="14" t="s">
        <v>18</v>
      </c>
      <c r="C294" s="15" t="s">
        <v>84</v>
      </c>
      <c r="D294" s="16" t="s">
        <v>72</v>
      </c>
      <c r="E294" s="20" t="s">
        <v>468</v>
      </c>
      <c r="F294" s="27"/>
      <c r="G294" s="29" t="b">
        <v>0</v>
      </c>
      <c r="H294" s="29" t="b">
        <v>0</v>
      </c>
    </row>
    <row r="295" outlineLevel="1">
      <c r="A295" s="13">
        <v>46077.0</v>
      </c>
      <c r="B295" s="14" t="s">
        <v>18</v>
      </c>
      <c r="C295" s="15" t="s">
        <v>84</v>
      </c>
      <c r="D295" s="16" t="s">
        <v>469</v>
      </c>
      <c r="E295" s="20" t="s">
        <v>470</v>
      </c>
      <c r="F295" s="27"/>
      <c r="G295" s="29" t="b">
        <v>0</v>
      </c>
      <c r="H295" s="29" t="b">
        <v>0</v>
      </c>
    </row>
    <row r="296" outlineLevel="1">
      <c r="A296" s="37">
        <v>46077.0</v>
      </c>
      <c r="B296" s="38" t="s">
        <v>26</v>
      </c>
      <c r="C296" s="39" t="s">
        <v>128</v>
      </c>
      <c r="D296" s="40" t="s">
        <v>471</v>
      </c>
      <c r="E296" s="41"/>
      <c r="F296" s="42" t="s">
        <v>127</v>
      </c>
      <c r="G296" s="29" t="b">
        <v>1</v>
      </c>
      <c r="H296" s="29" t="b">
        <v>0</v>
      </c>
    </row>
    <row r="297" outlineLevel="1">
      <c r="A297" s="13">
        <v>46078.0</v>
      </c>
      <c r="B297" s="14" t="s">
        <v>18</v>
      </c>
      <c r="C297" s="15" t="s">
        <v>352</v>
      </c>
      <c r="D297" s="16" t="s">
        <v>472</v>
      </c>
      <c r="E297" s="20"/>
      <c r="F297" s="27" t="s">
        <v>373</v>
      </c>
      <c r="G297" s="29" t="b">
        <v>0</v>
      </c>
      <c r="H297" s="29" t="b">
        <v>0</v>
      </c>
    </row>
    <row r="298" outlineLevel="1">
      <c r="A298" s="13">
        <v>46079.0</v>
      </c>
      <c r="B298" s="14" t="s">
        <v>18</v>
      </c>
      <c r="C298" s="15" t="s">
        <v>131</v>
      </c>
      <c r="D298" s="16" t="s">
        <v>363</v>
      </c>
      <c r="E298" s="20" t="s">
        <v>49</v>
      </c>
      <c r="F298" s="27"/>
      <c r="G298" s="29" t="b">
        <v>0</v>
      </c>
      <c r="H298" s="29" t="b">
        <v>0</v>
      </c>
    </row>
    <row r="299" outlineLevel="1">
      <c r="A299" s="13">
        <v>46079.0</v>
      </c>
      <c r="B299" s="14" t="s">
        <v>18</v>
      </c>
      <c r="C299" s="15" t="s">
        <v>80</v>
      </c>
      <c r="D299" s="16" t="s">
        <v>473</v>
      </c>
      <c r="E299" s="20" t="s">
        <v>84</v>
      </c>
      <c r="F299" s="27"/>
      <c r="G299" s="29" t="b">
        <v>0</v>
      </c>
      <c r="H299" s="29" t="b">
        <v>0</v>
      </c>
    </row>
    <row r="300" outlineLevel="1">
      <c r="A300" s="13">
        <v>46079.0</v>
      </c>
      <c r="B300" s="14" t="s">
        <v>18</v>
      </c>
      <c r="C300" s="15" t="s">
        <v>80</v>
      </c>
      <c r="D300" s="16" t="s">
        <v>474</v>
      </c>
      <c r="E300" s="20" t="s">
        <v>142</v>
      </c>
      <c r="F300" s="27"/>
      <c r="G300" s="29" t="b">
        <v>0</v>
      </c>
      <c r="H300" s="29" t="b">
        <v>0</v>
      </c>
    </row>
    <row r="301" outlineLevel="1">
      <c r="A301" s="13">
        <v>46079.0</v>
      </c>
      <c r="B301" s="14" t="s">
        <v>10</v>
      </c>
      <c r="C301" s="15" t="s">
        <v>85</v>
      </c>
      <c r="D301" s="16" t="s">
        <v>475</v>
      </c>
      <c r="E301" s="20"/>
      <c r="F301" s="27" t="s">
        <v>476</v>
      </c>
      <c r="G301" s="29" t="b">
        <v>0</v>
      </c>
      <c r="H301" s="29" t="b">
        <v>0</v>
      </c>
    </row>
    <row r="302" outlineLevel="1">
      <c r="A302" s="13">
        <v>46080.0</v>
      </c>
      <c r="B302" s="14" t="s">
        <v>18</v>
      </c>
      <c r="C302" s="15" t="s">
        <v>104</v>
      </c>
      <c r="D302" s="16" t="s">
        <v>477</v>
      </c>
      <c r="E302" s="20" t="s">
        <v>386</v>
      </c>
      <c r="F302" s="27"/>
      <c r="G302" s="29" t="b">
        <v>0</v>
      </c>
      <c r="H302" s="29" t="b">
        <v>0</v>
      </c>
    </row>
    <row r="303" outlineLevel="1">
      <c r="A303" s="13">
        <v>46083.0</v>
      </c>
      <c r="B303" s="14" t="s">
        <v>26</v>
      </c>
      <c r="C303" s="15" t="s">
        <v>47</v>
      </c>
      <c r="D303" s="16" t="s">
        <v>478</v>
      </c>
      <c r="E303" s="20" t="s">
        <v>30</v>
      </c>
      <c r="F303" s="27"/>
      <c r="G303" s="29" t="b">
        <v>0</v>
      </c>
      <c r="H303" s="29" t="b">
        <v>0</v>
      </c>
    </row>
    <row r="304" outlineLevel="1">
      <c r="A304" s="13">
        <v>46083.0</v>
      </c>
      <c r="B304" s="14" t="s">
        <v>18</v>
      </c>
      <c r="C304" s="15" t="s">
        <v>67</v>
      </c>
      <c r="D304" s="16" t="s">
        <v>479</v>
      </c>
      <c r="E304" s="20"/>
      <c r="F304" s="27" t="s">
        <v>480</v>
      </c>
      <c r="G304" s="29" t="b">
        <v>1</v>
      </c>
      <c r="H304" s="29" t="b">
        <v>0</v>
      </c>
    </row>
    <row r="305" outlineLevel="1">
      <c r="A305" s="13">
        <v>46083.0</v>
      </c>
      <c r="B305" s="14" t="s">
        <v>18</v>
      </c>
      <c r="C305" s="15" t="s">
        <v>67</v>
      </c>
      <c r="D305" s="16" t="s">
        <v>231</v>
      </c>
      <c r="E305" s="20"/>
      <c r="F305" s="27" t="s">
        <v>97</v>
      </c>
      <c r="G305" s="29" t="b">
        <v>0</v>
      </c>
      <c r="H305" s="29" t="b">
        <v>0</v>
      </c>
    </row>
    <row r="306" outlineLevel="1">
      <c r="A306" s="13">
        <v>46083.0</v>
      </c>
      <c r="B306" s="14" t="s">
        <v>10</v>
      </c>
      <c r="C306" s="15" t="s">
        <v>85</v>
      </c>
      <c r="D306" s="16" t="s">
        <v>481</v>
      </c>
      <c r="E306" s="20"/>
      <c r="F306" s="27" t="s">
        <v>482</v>
      </c>
      <c r="G306" s="29" t="b">
        <v>0</v>
      </c>
      <c r="H306" s="29" t="b">
        <v>0</v>
      </c>
    </row>
    <row r="307" outlineLevel="1">
      <c r="A307" s="13">
        <v>46083.0</v>
      </c>
      <c r="B307" s="14" t="s">
        <v>18</v>
      </c>
      <c r="C307" s="15" t="s">
        <v>80</v>
      </c>
      <c r="D307" s="16" t="s">
        <v>483</v>
      </c>
      <c r="E307" s="20" t="s">
        <v>204</v>
      </c>
      <c r="F307" s="27"/>
      <c r="G307" s="29" t="b">
        <v>0</v>
      </c>
      <c r="H307" s="29" t="b">
        <v>0</v>
      </c>
    </row>
    <row r="308" outlineLevel="1">
      <c r="A308" s="13">
        <v>46083.0</v>
      </c>
      <c r="B308" s="14" t="s">
        <v>26</v>
      </c>
      <c r="C308" s="15" t="s">
        <v>60</v>
      </c>
      <c r="D308" s="16" t="s">
        <v>145</v>
      </c>
      <c r="E308" s="20"/>
      <c r="F308" s="27" t="s">
        <v>127</v>
      </c>
      <c r="G308" s="29" t="b">
        <v>1</v>
      </c>
      <c r="H308" s="29" t="b">
        <v>0</v>
      </c>
    </row>
    <row r="309" outlineLevel="1">
      <c r="A309" s="13">
        <v>46084.0</v>
      </c>
      <c r="B309" s="14" t="s">
        <v>18</v>
      </c>
      <c r="C309" s="15" t="s">
        <v>67</v>
      </c>
      <c r="D309" s="16" t="s">
        <v>96</v>
      </c>
      <c r="E309" s="20"/>
      <c r="F309" s="27" t="s">
        <v>480</v>
      </c>
      <c r="G309" s="29" t="b">
        <v>1</v>
      </c>
      <c r="H309" s="29" t="b">
        <v>0</v>
      </c>
    </row>
    <row r="310" outlineLevel="1">
      <c r="A310" s="13">
        <v>46084.0</v>
      </c>
      <c r="B310" s="14" t="s">
        <v>18</v>
      </c>
      <c r="C310" s="15" t="s">
        <v>95</v>
      </c>
      <c r="D310" s="16" t="s">
        <v>96</v>
      </c>
      <c r="E310" s="20"/>
      <c r="F310" s="27" t="s">
        <v>97</v>
      </c>
      <c r="G310" s="29" t="b">
        <v>0</v>
      </c>
      <c r="H310" s="29" t="b">
        <v>0</v>
      </c>
    </row>
    <row r="311" outlineLevel="1">
      <c r="A311" s="13">
        <v>46085.0</v>
      </c>
      <c r="B311" s="14" t="s">
        <v>59</v>
      </c>
      <c r="C311" s="15" t="s">
        <v>350</v>
      </c>
      <c r="D311" s="16" t="s">
        <v>484</v>
      </c>
      <c r="E311" s="20" t="s">
        <v>378</v>
      </c>
      <c r="F311" s="27"/>
      <c r="G311" s="29" t="b">
        <v>0</v>
      </c>
      <c r="H311" s="29" t="b">
        <v>0</v>
      </c>
    </row>
    <row r="312" outlineLevel="1">
      <c r="A312" s="13">
        <v>46086.0</v>
      </c>
      <c r="B312" s="14" t="s">
        <v>18</v>
      </c>
      <c r="C312" s="15" t="s">
        <v>80</v>
      </c>
      <c r="D312" s="16" t="s">
        <v>485</v>
      </c>
      <c r="E312" s="20" t="s">
        <v>84</v>
      </c>
      <c r="F312" s="27"/>
      <c r="G312" s="29" t="b">
        <v>0</v>
      </c>
      <c r="H312" s="29" t="b">
        <v>0</v>
      </c>
    </row>
    <row r="313" outlineLevel="1">
      <c r="A313" s="13">
        <v>46086.0</v>
      </c>
      <c r="B313" s="14" t="s">
        <v>18</v>
      </c>
      <c r="C313" s="15" t="s">
        <v>80</v>
      </c>
      <c r="D313" s="16" t="s">
        <v>363</v>
      </c>
      <c r="E313" s="20" t="s">
        <v>142</v>
      </c>
      <c r="F313" s="27"/>
      <c r="G313" s="29" t="b">
        <v>0</v>
      </c>
      <c r="H313" s="29" t="b">
        <v>0</v>
      </c>
    </row>
    <row r="314" outlineLevel="1">
      <c r="A314" s="13">
        <v>46086.0</v>
      </c>
      <c r="B314" s="14" t="s">
        <v>10</v>
      </c>
      <c r="C314" s="15" t="s">
        <v>85</v>
      </c>
      <c r="D314" s="16" t="s">
        <v>475</v>
      </c>
      <c r="E314" s="20"/>
      <c r="F314" s="27" t="s">
        <v>486</v>
      </c>
      <c r="G314" s="29" t="b">
        <v>0</v>
      </c>
      <c r="H314" s="29" t="b">
        <v>0</v>
      </c>
    </row>
    <row r="315" outlineLevel="1">
      <c r="A315" s="13">
        <v>46088.0</v>
      </c>
      <c r="B315" s="14" t="s">
        <v>246</v>
      </c>
      <c r="C315" s="15" t="s">
        <v>30</v>
      </c>
      <c r="D315" s="16" t="s">
        <v>487</v>
      </c>
      <c r="E315" s="20"/>
      <c r="F315" s="27" t="s">
        <v>488</v>
      </c>
      <c r="G315" s="29" t="b">
        <v>0</v>
      </c>
      <c r="H315" s="29" t="b">
        <v>0</v>
      </c>
    </row>
    <row r="316" outlineLevel="1">
      <c r="A316" s="13">
        <v>46090.0</v>
      </c>
      <c r="B316" s="14" t="s">
        <v>18</v>
      </c>
      <c r="C316" s="15" t="s">
        <v>80</v>
      </c>
      <c r="D316" s="16" t="s">
        <v>483</v>
      </c>
      <c r="E316" s="20" t="s">
        <v>204</v>
      </c>
      <c r="F316" s="27"/>
      <c r="G316" s="29" t="b">
        <v>0</v>
      </c>
      <c r="H316" s="29" t="b">
        <v>0</v>
      </c>
    </row>
    <row r="317" outlineLevel="1">
      <c r="A317" s="13">
        <v>46090.0</v>
      </c>
      <c r="B317" s="14" t="s">
        <v>355</v>
      </c>
      <c r="C317" s="15" t="s">
        <v>85</v>
      </c>
      <c r="D317" s="16" t="s">
        <v>489</v>
      </c>
      <c r="E317" s="20"/>
      <c r="F317" s="27" t="s">
        <v>490</v>
      </c>
      <c r="G317" s="29" t="b">
        <v>0</v>
      </c>
      <c r="H317" s="29" t="b">
        <v>0</v>
      </c>
    </row>
    <row r="318" outlineLevel="1">
      <c r="A318" s="13">
        <v>46090.0</v>
      </c>
      <c r="B318" s="14" t="s">
        <v>18</v>
      </c>
      <c r="C318" s="15" t="s">
        <v>114</v>
      </c>
      <c r="D318" s="16" t="s">
        <v>228</v>
      </c>
      <c r="E318" s="20"/>
      <c r="F318" s="27" t="s">
        <v>491</v>
      </c>
      <c r="G318" s="29" t="b">
        <v>1</v>
      </c>
      <c r="H318" s="29" t="b">
        <v>0</v>
      </c>
    </row>
    <row r="319" outlineLevel="1">
      <c r="A319" s="13">
        <v>46090.0</v>
      </c>
      <c r="B319" s="14" t="s">
        <v>18</v>
      </c>
      <c r="C319" s="15" t="s">
        <v>197</v>
      </c>
      <c r="D319" s="16" t="s">
        <v>115</v>
      </c>
      <c r="E319" s="20"/>
      <c r="F319" s="27" t="s">
        <v>198</v>
      </c>
      <c r="G319" s="29" t="b">
        <v>0</v>
      </c>
      <c r="H319" s="29" t="b">
        <v>0</v>
      </c>
    </row>
    <row r="320" outlineLevel="1">
      <c r="A320" s="13">
        <v>46092.0</v>
      </c>
      <c r="B320" s="14" t="s">
        <v>59</v>
      </c>
      <c r="C320" s="15" t="s">
        <v>23</v>
      </c>
      <c r="D320" s="16" t="s">
        <v>492</v>
      </c>
      <c r="E320" s="20" t="s">
        <v>16</v>
      </c>
      <c r="F320" s="27" t="s">
        <v>493</v>
      </c>
      <c r="G320" s="29" t="b">
        <v>1</v>
      </c>
      <c r="H320" s="29" t="b">
        <v>0</v>
      </c>
    </row>
    <row r="321" outlineLevel="1">
      <c r="A321" s="13">
        <v>46092.0</v>
      </c>
      <c r="B321" s="14" t="s">
        <v>18</v>
      </c>
      <c r="C321" s="15" t="s">
        <v>439</v>
      </c>
      <c r="D321" s="16" t="s">
        <v>494</v>
      </c>
      <c r="E321" s="20"/>
      <c r="F321" s="27" t="s">
        <v>495</v>
      </c>
      <c r="G321" s="29" t="b">
        <v>1</v>
      </c>
      <c r="H321" s="29" t="b">
        <v>0</v>
      </c>
    </row>
    <row r="322" outlineLevel="1">
      <c r="A322" s="13">
        <v>46092.0</v>
      </c>
      <c r="B322" s="14" t="s">
        <v>18</v>
      </c>
      <c r="C322" s="15" t="s">
        <v>38</v>
      </c>
      <c r="D322" s="16" t="s">
        <v>496</v>
      </c>
      <c r="E322" s="20" t="s">
        <v>16</v>
      </c>
      <c r="F322" s="27" t="s">
        <v>497</v>
      </c>
      <c r="G322" s="29" t="b">
        <v>1</v>
      </c>
      <c r="H322" s="29" t="b">
        <v>0</v>
      </c>
    </row>
    <row r="323" outlineLevel="1">
      <c r="A323" s="13">
        <v>46092.0</v>
      </c>
      <c r="B323" s="14" t="s">
        <v>10</v>
      </c>
      <c r="C323" s="15" t="s">
        <v>350</v>
      </c>
      <c r="D323" s="16" t="s">
        <v>498</v>
      </c>
      <c r="E323" s="20"/>
      <c r="F323" s="27"/>
      <c r="G323" s="29" t="b">
        <v>0</v>
      </c>
      <c r="H323" s="29" t="b">
        <v>0</v>
      </c>
    </row>
    <row r="324" outlineLevel="1">
      <c r="A324" s="13">
        <v>46093.0</v>
      </c>
      <c r="B324" s="14" t="s">
        <v>18</v>
      </c>
      <c r="C324" s="15" t="s">
        <v>80</v>
      </c>
      <c r="D324" s="16" t="s">
        <v>485</v>
      </c>
      <c r="E324" s="20" t="s">
        <v>84</v>
      </c>
      <c r="F324" s="27"/>
      <c r="G324" s="29" t="b">
        <v>0</v>
      </c>
      <c r="H324" s="29" t="b">
        <v>0</v>
      </c>
    </row>
    <row r="325" outlineLevel="1">
      <c r="A325" s="13">
        <v>46093.0</v>
      </c>
      <c r="B325" s="14" t="s">
        <v>18</v>
      </c>
      <c r="C325" s="15" t="s">
        <v>80</v>
      </c>
      <c r="D325" s="16" t="s">
        <v>363</v>
      </c>
      <c r="E325" s="20" t="s">
        <v>142</v>
      </c>
      <c r="F325" s="27"/>
      <c r="G325" s="29" t="b">
        <v>0</v>
      </c>
      <c r="H325" s="29" t="b">
        <v>0</v>
      </c>
    </row>
    <row r="326" outlineLevel="1">
      <c r="A326" s="13">
        <v>46093.0</v>
      </c>
      <c r="B326" s="14" t="s">
        <v>18</v>
      </c>
      <c r="C326" s="15" t="s">
        <v>499</v>
      </c>
      <c r="D326" s="16" t="s">
        <v>363</v>
      </c>
      <c r="E326" s="20" t="s">
        <v>16</v>
      </c>
      <c r="F326" s="27" t="s">
        <v>500</v>
      </c>
      <c r="G326" s="29" t="b">
        <v>1</v>
      </c>
      <c r="H326" s="29" t="b">
        <v>0</v>
      </c>
    </row>
    <row r="327" outlineLevel="1">
      <c r="A327" s="13">
        <v>46093.0</v>
      </c>
      <c r="B327" s="14" t="s">
        <v>10</v>
      </c>
      <c r="C327" s="15" t="s">
        <v>85</v>
      </c>
      <c r="D327" s="16" t="s">
        <v>475</v>
      </c>
      <c r="E327" s="20" t="s">
        <v>210</v>
      </c>
      <c r="F327" s="27" t="s">
        <v>501</v>
      </c>
      <c r="G327" s="29" t="b">
        <v>0</v>
      </c>
      <c r="H327" s="29" t="b">
        <v>0</v>
      </c>
    </row>
    <row r="328" outlineLevel="1">
      <c r="A328" s="13">
        <v>46093.0</v>
      </c>
      <c r="B328" s="14" t="s">
        <v>18</v>
      </c>
      <c r="C328" s="15" t="s">
        <v>131</v>
      </c>
      <c r="D328" s="16" t="s">
        <v>502</v>
      </c>
      <c r="E328" s="20" t="s">
        <v>16</v>
      </c>
      <c r="F328" s="27" t="s">
        <v>503</v>
      </c>
      <c r="G328" s="29" t="b">
        <v>1</v>
      </c>
      <c r="H328" s="29" t="b">
        <v>0</v>
      </c>
    </row>
    <row r="329" outlineLevel="1">
      <c r="A329" s="13">
        <v>46094.0</v>
      </c>
      <c r="B329" s="14" t="s">
        <v>18</v>
      </c>
      <c r="C329" s="15" t="s">
        <v>49</v>
      </c>
      <c r="D329" s="16" t="s">
        <v>477</v>
      </c>
      <c r="E329" s="20"/>
      <c r="F329" s="27" t="s">
        <v>504</v>
      </c>
      <c r="G329" s="29" t="b">
        <v>1</v>
      </c>
      <c r="H329" s="29" t="b">
        <v>0</v>
      </c>
    </row>
    <row r="330" outlineLevel="1">
      <c r="A330" s="13">
        <v>46094.0</v>
      </c>
      <c r="B330" s="14" t="s">
        <v>59</v>
      </c>
      <c r="C330" s="15" t="s">
        <v>23</v>
      </c>
      <c r="D330" s="16" t="s">
        <v>505</v>
      </c>
      <c r="E330" s="20" t="s">
        <v>16</v>
      </c>
      <c r="F330" s="27" t="s">
        <v>506</v>
      </c>
      <c r="G330" s="29" t="b">
        <v>1</v>
      </c>
      <c r="H330" s="29" t="b">
        <v>0</v>
      </c>
    </row>
    <row r="331" outlineLevel="1">
      <c r="A331" s="13">
        <v>46095.0</v>
      </c>
      <c r="B331" s="14" t="s">
        <v>18</v>
      </c>
      <c r="C331" s="15" t="s">
        <v>60</v>
      </c>
      <c r="D331" s="16" t="s">
        <v>507</v>
      </c>
      <c r="E331" s="20" t="s">
        <v>16</v>
      </c>
      <c r="F331" s="27" t="s">
        <v>89</v>
      </c>
      <c r="G331" s="29" t="b">
        <v>1</v>
      </c>
      <c r="H331" s="29" t="b">
        <v>0</v>
      </c>
    </row>
    <row r="332" outlineLevel="1">
      <c r="A332" s="13">
        <v>46095.0</v>
      </c>
      <c r="B332" s="14" t="s">
        <v>18</v>
      </c>
      <c r="C332" s="15" t="s">
        <v>151</v>
      </c>
      <c r="D332" s="16" t="s">
        <v>508</v>
      </c>
      <c r="E332" s="20" t="s">
        <v>16</v>
      </c>
      <c r="F332" s="27" t="s">
        <v>509</v>
      </c>
      <c r="G332" s="29" t="b">
        <v>1</v>
      </c>
      <c r="H332" s="29" t="b">
        <v>0</v>
      </c>
    </row>
    <row r="333" outlineLevel="1">
      <c r="A333" s="13">
        <v>46095.0</v>
      </c>
      <c r="B333" s="14" t="s">
        <v>18</v>
      </c>
      <c r="C333" s="15" t="s">
        <v>56</v>
      </c>
      <c r="D333" s="16" t="s">
        <v>510</v>
      </c>
      <c r="E333" s="20" t="s">
        <v>16</v>
      </c>
      <c r="F333" s="27" t="s">
        <v>511</v>
      </c>
      <c r="G333" s="29" t="b">
        <v>1</v>
      </c>
      <c r="H333" s="29" t="b">
        <v>0</v>
      </c>
    </row>
    <row r="334" outlineLevel="1">
      <c r="A334" s="13">
        <v>46095.0</v>
      </c>
      <c r="B334" s="14" t="s">
        <v>18</v>
      </c>
      <c r="C334" s="15" t="s">
        <v>53</v>
      </c>
      <c r="D334" s="16" t="s">
        <v>512</v>
      </c>
      <c r="E334" s="20" t="s">
        <v>16</v>
      </c>
      <c r="F334" s="27" t="s">
        <v>513</v>
      </c>
      <c r="G334" s="29" t="b">
        <v>1</v>
      </c>
      <c r="H334" s="29" t="b">
        <v>0</v>
      </c>
    </row>
    <row r="335" outlineLevel="1">
      <c r="A335" s="13">
        <v>46097.0</v>
      </c>
      <c r="B335" s="14" t="s">
        <v>18</v>
      </c>
      <c r="C335" s="15" t="s">
        <v>70</v>
      </c>
      <c r="D335" s="16" t="s">
        <v>115</v>
      </c>
      <c r="E335" s="20" t="s">
        <v>104</v>
      </c>
      <c r="F335" s="27"/>
      <c r="G335" s="29" t="b">
        <v>0</v>
      </c>
      <c r="H335" s="29" t="b">
        <v>0</v>
      </c>
    </row>
    <row r="336" outlineLevel="1">
      <c r="A336" s="13">
        <v>46097.0</v>
      </c>
      <c r="B336" s="14" t="s">
        <v>18</v>
      </c>
      <c r="C336" s="15" t="s">
        <v>84</v>
      </c>
      <c r="D336" s="16" t="s">
        <v>463</v>
      </c>
      <c r="E336" s="20" t="s">
        <v>210</v>
      </c>
      <c r="F336" s="27"/>
      <c r="G336" s="29" t="b">
        <v>0</v>
      </c>
      <c r="H336" s="29" t="b">
        <v>0</v>
      </c>
    </row>
    <row r="337" outlineLevel="1">
      <c r="A337" s="13">
        <v>46097.0</v>
      </c>
      <c r="B337" s="14" t="s">
        <v>18</v>
      </c>
      <c r="C337" s="15" t="s">
        <v>84</v>
      </c>
      <c r="D337" s="16" t="s">
        <v>379</v>
      </c>
      <c r="E337" s="20"/>
      <c r="F337" s="27" t="s">
        <v>514</v>
      </c>
      <c r="G337" s="29" t="b">
        <v>1</v>
      </c>
      <c r="H337" s="29" t="b">
        <v>0</v>
      </c>
    </row>
    <row r="338" outlineLevel="1">
      <c r="A338" s="13">
        <v>46097.0</v>
      </c>
      <c r="B338" s="14" t="s">
        <v>18</v>
      </c>
      <c r="C338" s="15" t="s">
        <v>84</v>
      </c>
      <c r="D338" s="16" t="s">
        <v>515</v>
      </c>
      <c r="E338" s="20" t="s">
        <v>144</v>
      </c>
      <c r="F338" s="27"/>
      <c r="G338" s="29" t="b">
        <v>0</v>
      </c>
      <c r="H338" s="29" t="b">
        <v>0</v>
      </c>
    </row>
    <row r="339" outlineLevel="1">
      <c r="A339" s="13">
        <v>46097.0</v>
      </c>
      <c r="B339" s="14" t="s">
        <v>18</v>
      </c>
      <c r="C339" s="15" t="s">
        <v>80</v>
      </c>
      <c r="D339" s="16" t="s">
        <v>483</v>
      </c>
      <c r="E339" s="20" t="s">
        <v>204</v>
      </c>
      <c r="F339" s="27"/>
      <c r="G339" s="29" t="b">
        <v>0</v>
      </c>
      <c r="H339" s="29" t="b">
        <v>0</v>
      </c>
    </row>
    <row r="340" outlineLevel="1">
      <c r="A340" s="13">
        <v>46097.0</v>
      </c>
      <c r="B340" s="14" t="s">
        <v>10</v>
      </c>
      <c r="C340" s="15" t="s">
        <v>85</v>
      </c>
      <c r="D340" s="16" t="s">
        <v>516</v>
      </c>
      <c r="E340" s="20"/>
      <c r="F340" s="27" t="s">
        <v>517</v>
      </c>
      <c r="G340" s="29" t="b">
        <v>0</v>
      </c>
      <c r="H340" s="29" t="b">
        <v>0</v>
      </c>
    </row>
    <row r="341" outlineLevel="1">
      <c r="A341" s="13">
        <v>46097.0</v>
      </c>
      <c r="B341" s="14" t="s">
        <v>10</v>
      </c>
      <c r="C341" s="15" t="s">
        <v>350</v>
      </c>
      <c r="D341" s="16" t="s">
        <v>518</v>
      </c>
      <c r="E341" s="20"/>
      <c r="F341" s="27" t="s">
        <v>16</v>
      </c>
      <c r="G341" s="29" t="b">
        <v>0</v>
      </c>
      <c r="H341" s="29" t="b">
        <v>0</v>
      </c>
    </row>
    <row r="342" outlineLevel="1">
      <c r="A342" s="13">
        <v>46098.0</v>
      </c>
      <c r="B342" s="14" t="s">
        <v>18</v>
      </c>
      <c r="C342" s="15" t="s">
        <v>499</v>
      </c>
      <c r="D342" s="16" t="s">
        <v>519</v>
      </c>
      <c r="E342" s="20" t="s">
        <v>383</v>
      </c>
      <c r="F342" s="27" t="s">
        <v>520</v>
      </c>
      <c r="G342" s="29" t="b">
        <v>0</v>
      </c>
      <c r="H342" s="29" t="b">
        <v>0</v>
      </c>
    </row>
    <row r="343" outlineLevel="1">
      <c r="A343" s="13">
        <v>46098.0</v>
      </c>
      <c r="B343" s="14" t="s">
        <v>18</v>
      </c>
      <c r="C343" s="15" t="s">
        <v>253</v>
      </c>
      <c r="D343" s="16" t="s">
        <v>521</v>
      </c>
      <c r="E343" s="20" t="s">
        <v>95</v>
      </c>
      <c r="F343" s="27"/>
      <c r="G343" s="29" t="b">
        <v>0</v>
      </c>
      <c r="H343" s="29" t="b">
        <v>0</v>
      </c>
    </row>
    <row r="344" outlineLevel="1">
      <c r="A344" s="13">
        <v>46098.0</v>
      </c>
      <c r="B344" s="14" t="s">
        <v>18</v>
      </c>
      <c r="C344" s="15" t="s">
        <v>499</v>
      </c>
      <c r="D344" s="16" t="s">
        <v>332</v>
      </c>
      <c r="E344" s="20" t="s">
        <v>522</v>
      </c>
      <c r="F344" s="68" t="s">
        <v>523</v>
      </c>
      <c r="G344" s="29" t="b">
        <v>0</v>
      </c>
      <c r="H344" s="29" t="b">
        <v>0</v>
      </c>
    </row>
    <row r="345" outlineLevel="1">
      <c r="A345" s="13">
        <v>46098.0</v>
      </c>
      <c r="B345" s="14" t="s">
        <v>18</v>
      </c>
      <c r="C345" s="15" t="s">
        <v>67</v>
      </c>
      <c r="D345" s="16" t="s">
        <v>341</v>
      </c>
      <c r="E345" s="20" t="s">
        <v>311</v>
      </c>
      <c r="F345" s="27"/>
      <c r="G345" s="29" t="b">
        <v>0</v>
      </c>
      <c r="H345" s="29" t="b">
        <v>0</v>
      </c>
    </row>
    <row r="346" outlineLevel="1">
      <c r="A346" s="13">
        <v>46098.0</v>
      </c>
      <c r="B346" s="14" t="s">
        <v>18</v>
      </c>
      <c r="C346" s="15" t="s">
        <v>383</v>
      </c>
      <c r="D346" s="16" t="s">
        <v>524</v>
      </c>
      <c r="E346" s="20" t="s">
        <v>311</v>
      </c>
      <c r="F346" s="27"/>
      <c r="G346" s="29" t="b">
        <v>0</v>
      </c>
      <c r="H346" s="29" t="b">
        <v>0</v>
      </c>
    </row>
    <row r="347" outlineLevel="1">
      <c r="A347" s="13">
        <v>46098.0</v>
      </c>
      <c r="B347" s="14" t="s">
        <v>246</v>
      </c>
      <c r="C347" s="15" t="s">
        <v>338</v>
      </c>
      <c r="D347" s="16" t="s">
        <v>525</v>
      </c>
      <c r="E347" s="20" t="s">
        <v>16</v>
      </c>
      <c r="F347" s="27" t="s">
        <v>526</v>
      </c>
      <c r="G347" s="29" t="b">
        <v>1</v>
      </c>
      <c r="H347" s="29" t="b">
        <v>0</v>
      </c>
    </row>
    <row r="348" outlineLevel="1">
      <c r="A348" s="13">
        <v>46099.0</v>
      </c>
      <c r="B348" s="14" t="s">
        <v>18</v>
      </c>
      <c r="C348" s="15" t="s">
        <v>76</v>
      </c>
      <c r="D348" s="16" t="s">
        <v>527</v>
      </c>
      <c r="E348" s="20" t="s">
        <v>16</v>
      </c>
      <c r="F348" s="27" t="s">
        <v>528</v>
      </c>
      <c r="G348" s="29" t="b">
        <v>1</v>
      </c>
      <c r="H348" s="29" t="b">
        <v>0</v>
      </c>
    </row>
    <row r="349" outlineLevel="1">
      <c r="A349" s="13">
        <v>46099.0</v>
      </c>
      <c r="B349" s="14" t="s">
        <v>246</v>
      </c>
      <c r="C349" s="15" t="s">
        <v>60</v>
      </c>
      <c r="D349" s="69">
        <v>41619.0</v>
      </c>
      <c r="E349" s="20" t="s">
        <v>16</v>
      </c>
      <c r="F349" s="27" t="s">
        <v>529</v>
      </c>
      <c r="G349" s="29" t="b">
        <v>1</v>
      </c>
      <c r="H349" s="29" t="b">
        <v>0</v>
      </c>
    </row>
    <row r="350" outlineLevel="1">
      <c r="A350" s="13">
        <v>46099.0</v>
      </c>
      <c r="B350" s="14" t="s">
        <v>18</v>
      </c>
      <c r="C350" s="15" t="s">
        <v>56</v>
      </c>
      <c r="D350" s="70" t="s">
        <v>530</v>
      </c>
      <c r="E350" s="20" t="s">
        <v>16</v>
      </c>
      <c r="F350" s="27" t="s">
        <v>531</v>
      </c>
      <c r="G350" s="29" t="b">
        <v>1</v>
      </c>
      <c r="H350" s="29" t="b">
        <v>0</v>
      </c>
    </row>
    <row r="351" outlineLevel="1">
      <c r="A351" s="13">
        <v>46100.0</v>
      </c>
      <c r="B351" s="14" t="s">
        <v>18</v>
      </c>
      <c r="C351" s="15" t="s">
        <v>60</v>
      </c>
      <c r="D351" s="70" t="s">
        <v>532</v>
      </c>
      <c r="E351" s="20" t="s">
        <v>47</v>
      </c>
      <c r="F351" s="27" t="s">
        <v>533</v>
      </c>
      <c r="G351" s="29" t="b">
        <v>1</v>
      </c>
      <c r="H351" s="29" t="b">
        <v>0</v>
      </c>
    </row>
    <row r="352" outlineLevel="1">
      <c r="A352" s="13">
        <v>46100.0</v>
      </c>
      <c r="B352" s="14" t="s">
        <v>10</v>
      </c>
      <c r="C352" s="15" t="s">
        <v>60</v>
      </c>
      <c r="D352" s="70" t="s">
        <v>534</v>
      </c>
      <c r="E352" s="20" t="s">
        <v>16</v>
      </c>
      <c r="F352" s="27" t="s">
        <v>533</v>
      </c>
      <c r="G352" s="29" t="b">
        <v>1</v>
      </c>
      <c r="H352" s="29" t="b">
        <v>0</v>
      </c>
    </row>
    <row r="353" outlineLevel="1">
      <c r="A353" s="13">
        <v>46100.0</v>
      </c>
      <c r="B353" s="14" t="s">
        <v>18</v>
      </c>
      <c r="C353" s="15" t="s">
        <v>60</v>
      </c>
      <c r="D353" s="70" t="s">
        <v>256</v>
      </c>
      <c r="E353" s="20" t="s">
        <v>16</v>
      </c>
      <c r="F353" s="27" t="s">
        <v>535</v>
      </c>
      <c r="G353" s="29" t="b">
        <v>1</v>
      </c>
      <c r="H353" s="29" t="b">
        <v>0</v>
      </c>
    </row>
    <row r="354" outlineLevel="1">
      <c r="A354" s="13">
        <v>46100.0</v>
      </c>
      <c r="B354" s="14" t="s">
        <v>18</v>
      </c>
      <c r="C354" s="15" t="s">
        <v>60</v>
      </c>
      <c r="D354" s="16" t="s">
        <v>536</v>
      </c>
      <c r="E354" s="20" t="s">
        <v>16</v>
      </c>
      <c r="F354" s="27" t="s">
        <v>537</v>
      </c>
      <c r="G354" s="29" t="b">
        <v>1</v>
      </c>
      <c r="H354" s="29" t="b">
        <v>0</v>
      </c>
    </row>
    <row r="355" outlineLevel="1">
      <c r="A355" s="13">
        <v>46100.0</v>
      </c>
      <c r="B355" s="14" t="s">
        <v>18</v>
      </c>
      <c r="C355" s="15" t="s">
        <v>60</v>
      </c>
      <c r="D355" s="16" t="s">
        <v>538</v>
      </c>
      <c r="E355" s="20" t="s">
        <v>16</v>
      </c>
      <c r="F355" s="27" t="s">
        <v>537</v>
      </c>
      <c r="G355" s="29" t="b">
        <v>1</v>
      </c>
      <c r="H355" s="29" t="b">
        <v>0</v>
      </c>
    </row>
    <row r="356" outlineLevel="1">
      <c r="A356" s="13">
        <v>46100.0</v>
      </c>
      <c r="B356" s="14" t="s">
        <v>18</v>
      </c>
      <c r="C356" s="15" t="s">
        <v>60</v>
      </c>
      <c r="D356" s="16" t="s">
        <v>539</v>
      </c>
      <c r="E356" s="20" t="s">
        <v>16</v>
      </c>
      <c r="F356" s="27" t="s">
        <v>537</v>
      </c>
      <c r="G356" s="29" t="b">
        <v>1</v>
      </c>
      <c r="H356" s="29" t="b">
        <v>0</v>
      </c>
    </row>
    <row r="357" outlineLevel="1">
      <c r="A357" s="13">
        <v>46100.0</v>
      </c>
      <c r="B357" s="14" t="s">
        <v>18</v>
      </c>
      <c r="C357" s="15" t="s">
        <v>60</v>
      </c>
      <c r="D357" s="16" t="s">
        <v>540</v>
      </c>
      <c r="E357" s="20" t="s">
        <v>16</v>
      </c>
      <c r="F357" s="27" t="s">
        <v>537</v>
      </c>
      <c r="G357" s="29" t="b">
        <v>1</v>
      </c>
      <c r="H357" s="29" t="b">
        <v>0</v>
      </c>
    </row>
    <row r="358" outlineLevel="1">
      <c r="A358" s="13">
        <v>46100.0</v>
      </c>
      <c r="B358" s="14" t="s">
        <v>10</v>
      </c>
      <c r="C358" s="15" t="s">
        <v>85</v>
      </c>
      <c r="D358" s="70" t="s">
        <v>541</v>
      </c>
      <c r="E358" s="20"/>
      <c r="F358" s="27" t="s">
        <v>486</v>
      </c>
      <c r="G358" s="29" t="b">
        <v>0</v>
      </c>
      <c r="H358" s="29" t="b">
        <v>0</v>
      </c>
    </row>
    <row r="359" outlineLevel="1">
      <c r="A359" s="13">
        <v>46100.0</v>
      </c>
      <c r="B359" s="14" t="s">
        <v>18</v>
      </c>
      <c r="C359" s="15" t="s">
        <v>80</v>
      </c>
      <c r="D359" s="70" t="s">
        <v>485</v>
      </c>
      <c r="E359" s="20" t="s">
        <v>84</v>
      </c>
      <c r="F359" s="27"/>
      <c r="G359" s="29" t="b">
        <v>0</v>
      </c>
      <c r="H359" s="29" t="b">
        <v>0</v>
      </c>
    </row>
    <row r="360" outlineLevel="1">
      <c r="A360" s="13">
        <v>46100.0</v>
      </c>
      <c r="B360" s="14" t="s">
        <v>18</v>
      </c>
      <c r="C360" s="15" t="s">
        <v>80</v>
      </c>
      <c r="D360" s="16" t="s">
        <v>363</v>
      </c>
      <c r="E360" s="20"/>
      <c r="F360" s="27" t="s">
        <v>542</v>
      </c>
      <c r="G360" s="29" t="b">
        <v>0</v>
      </c>
      <c r="H360" s="29" t="b">
        <v>0</v>
      </c>
    </row>
    <row r="361" outlineLevel="1">
      <c r="A361" s="13">
        <v>46100.0</v>
      </c>
      <c r="B361" s="14" t="s">
        <v>18</v>
      </c>
      <c r="C361" s="15" t="s">
        <v>499</v>
      </c>
      <c r="D361" s="16" t="s">
        <v>543</v>
      </c>
      <c r="E361" s="20" t="s">
        <v>345</v>
      </c>
      <c r="F361" s="27" t="s">
        <v>544</v>
      </c>
      <c r="G361" s="29" t="b">
        <v>0</v>
      </c>
      <c r="H361" s="29" t="b">
        <v>0</v>
      </c>
    </row>
    <row r="362" outlineLevel="1">
      <c r="A362" s="13">
        <v>46100.0</v>
      </c>
      <c r="B362" s="14" t="s">
        <v>18</v>
      </c>
      <c r="C362" s="15" t="s">
        <v>499</v>
      </c>
      <c r="D362" s="16" t="s">
        <v>545</v>
      </c>
      <c r="E362" s="20" t="s">
        <v>546</v>
      </c>
      <c r="F362" s="68" t="s">
        <v>523</v>
      </c>
      <c r="G362" s="29" t="b">
        <v>0</v>
      </c>
      <c r="H362" s="29" t="b">
        <v>0</v>
      </c>
    </row>
    <row r="363" outlineLevel="1">
      <c r="A363" s="13">
        <v>46100.0</v>
      </c>
      <c r="B363" s="14" t="s">
        <v>18</v>
      </c>
      <c r="C363" s="15" t="s">
        <v>38</v>
      </c>
      <c r="D363" s="16" t="s">
        <v>269</v>
      </c>
      <c r="E363" s="20"/>
      <c r="F363" s="27" t="s">
        <v>302</v>
      </c>
      <c r="G363" s="29" t="b">
        <v>1</v>
      </c>
      <c r="H363" s="29" t="b">
        <v>0</v>
      </c>
    </row>
    <row r="364" outlineLevel="1">
      <c r="A364" s="37">
        <v>46101.0</v>
      </c>
      <c r="B364" s="38" t="s">
        <v>355</v>
      </c>
      <c r="C364" s="39" t="s">
        <v>84</v>
      </c>
      <c r="D364" s="40" t="s">
        <v>547</v>
      </c>
      <c r="E364" s="41" t="s">
        <v>378</v>
      </c>
      <c r="F364" s="42" t="s">
        <v>548</v>
      </c>
      <c r="G364" s="29" t="b">
        <v>1</v>
      </c>
      <c r="H364" s="29" t="b">
        <v>0</v>
      </c>
    </row>
    <row r="365" outlineLevel="1">
      <c r="A365" s="13">
        <v>46102.0</v>
      </c>
      <c r="B365" s="14" t="s">
        <v>18</v>
      </c>
      <c r="C365" s="15" t="s">
        <v>156</v>
      </c>
      <c r="D365" s="16" t="s">
        <v>220</v>
      </c>
      <c r="E365" s="20"/>
      <c r="F365" s="27" t="s">
        <v>549</v>
      </c>
      <c r="G365" s="29" t="b">
        <v>0</v>
      </c>
      <c r="H365" s="29" t="b">
        <v>0</v>
      </c>
    </row>
    <row r="366" outlineLevel="1">
      <c r="A366" s="13">
        <v>46102.0</v>
      </c>
      <c r="B366" s="14" t="s">
        <v>18</v>
      </c>
      <c r="C366" s="15" t="s">
        <v>275</v>
      </c>
      <c r="D366" s="16" t="s">
        <v>220</v>
      </c>
      <c r="E366" s="20"/>
      <c r="F366" s="27" t="s">
        <v>97</v>
      </c>
      <c r="G366" s="29" t="b">
        <v>0</v>
      </c>
      <c r="H366" s="29" t="b">
        <v>0</v>
      </c>
    </row>
    <row r="367" outlineLevel="1">
      <c r="A367" s="13">
        <v>46104.0</v>
      </c>
      <c r="B367" s="14" t="s">
        <v>18</v>
      </c>
      <c r="C367" s="15" t="s">
        <v>80</v>
      </c>
      <c r="D367" s="16" t="s">
        <v>483</v>
      </c>
      <c r="E367" s="20" t="s">
        <v>204</v>
      </c>
      <c r="F367" s="27"/>
      <c r="G367" s="29" t="b">
        <v>0</v>
      </c>
      <c r="H367" s="29" t="b">
        <v>0</v>
      </c>
    </row>
    <row r="368" outlineLevel="1">
      <c r="A368" s="13">
        <v>46104.0</v>
      </c>
      <c r="B368" s="14" t="s">
        <v>10</v>
      </c>
      <c r="C368" s="15" t="s">
        <v>394</v>
      </c>
      <c r="D368" s="16" t="s">
        <v>518</v>
      </c>
      <c r="E368" s="71"/>
      <c r="F368" s="27"/>
      <c r="G368" s="29" t="b">
        <v>0</v>
      </c>
      <c r="H368" s="29" t="b">
        <v>0</v>
      </c>
    </row>
    <row r="369" outlineLevel="1">
      <c r="A369" s="13">
        <v>46104.0</v>
      </c>
      <c r="B369" s="14" t="s">
        <v>10</v>
      </c>
      <c r="C369" s="15" t="s">
        <v>85</v>
      </c>
      <c r="D369" s="16" t="s">
        <v>489</v>
      </c>
      <c r="E369" s="71"/>
      <c r="F369" s="27" t="s">
        <v>550</v>
      </c>
      <c r="G369" s="29" t="b">
        <v>0</v>
      </c>
      <c r="H369" s="29" t="b">
        <v>0</v>
      </c>
    </row>
    <row r="370" outlineLevel="1">
      <c r="A370" s="13">
        <v>46104.0</v>
      </c>
      <c r="B370" s="14" t="s">
        <v>10</v>
      </c>
      <c r="C370" s="15" t="s">
        <v>49</v>
      </c>
      <c r="D370" s="16" t="s">
        <v>551</v>
      </c>
      <c r="E370" s="71"/>
      <c r="F370" s="27" t="s">
        <v>552</v>
      </c>
      <c r="G370" s="29" t="b">
        <v>1</v>
      </c>
      <c r="H370" s="29" t="b">
        <v>0</v>
      </c>
    </row>
    <row r="371" outlineLevel="1">
      <c r="A371" s="13">
        <v>46105.0</v>
      </c>
      <c r="B371" s="8" t="s">
        <v>18</v>
      </c>
      <c r="C371" s="21" t="s">
        <v>499</v>
      </c>
      <c r="D371" s="22" t="s">
        <v>519</v>
      </c>
      <c r="E371" s="71" t="s">
        <v>383</v>
      </c>
      <c r="F371" s="72" t="s">
        <v>520</v>
      </c>
      <c r="G371" s="29" t="b">
        <v>0</v>
      </c>
      <c r="H371" s="29" t="b">
        <v>0</v>
      </c>
    </row>
    <row r="372" outlineLevel="1">
      <c r="A372" s="13">
        <v>46105.0</v>
      </c>
      <c r="B372" s="8" t="s">
        <v>18</v>
      </c>
      <c r="C372" s="21" t="s">
        <v>499</v>
      </c>
      <c r="D372" s="16" t="s">
        <v>553</v>
      </c>
      <c r="E372" s="20" t="s">
        <v>554</v>
      </c>
      <c r="F372" s="68" t="s">
        <v>523</v>
      </c>
      <c r="G372" s="29" t="b">
        <v>0</v>
      </c>
      <c r="H372" s="29" t="b">
        <v>0</v>
      </c>
    </row>
    <row r="373" outlineLevel="1">
      <c r="A373" s="13">
        <v>46107.0</v>
      </c>
      <c r="B373" s="14" t="s">
        <v>18</v>
      </c>
      <c r="C373" s="15" t="s">
        <v>499</v>
      </c>
      <c r="D373" s="16" t="s">
        <v>543</v>
      </c>
      <c r="E373" s="20" t="s">
        <v>345</v>
      </c>
      <c r="F373" s="62" t="s">
        <v>544</v>
      </c>
      <c r="G373" s="29" t="b">
        <v>0</v>
      </c>
      <c r="H373" s="29" t="b">
        <v>0</v>
      </c>
    </row>
    <row r="374" outlineLevel="1">
      <c r="A374" s="13">
        <v>46107.0</v>
      </c>
      <c r="B374" s="14" t="s">
        <v>10</v>
      </c>
      <c r="C374" s="15" t="s">
        <v>350</v>
      </c>
      <c r="D374" s="16" t="s">
        <v>555</v>
      </c>
      <c r="E374" s="20"/>
      <c r="F374" s="68" t="s">
        <v>97</v>
      </c>
      <c r="G374" s="29" t="b">
        <v>0</v>
      </c>
      <c r="H374" s="29" t="b">
        <v>0</v>
      </c>
    </row>
    <row r="375" outlineLevel="1">
      <c r="A375" s="13">
        <v>46107.0</v>
      </c>
      <c r="B375" s="14" t="s">
        <v>18</v>
      </c>
      <c r="C375" s="15" t="s">
        <v>499</v>
      </c>
      <c r="D375" s="16" t="s">
        <v>545</v>
      </c>
      <c r="E375" s="20" t="s">
        <v>554</v>
      </c>
      <c r="F375" s="68" t="s">
        <v>523</v>
      </c>
      <c r="G375" s="29" t="b">
        <v>0</v>
      </c>
      <c r="H375" s="29" t="b">
        <v>0</v>
      </c>
    </row>
    <row r="376" outlineLevel="1">
      <c r="A376" s="51">
        <v>46108.0</v>
      </c>
      <c r="B376" s="52" t="s">
        <v>246</v>
      </c>
      <c r="C376" s="53" t="s">
        <v>125</v>
      </c>
      <c r="D376" s="54" t="s">
        <v>556</v>
      </c>
      <c r="E376" s="55"/>
      <c r="F376" s="56" t="s">
        <v>557</v>
      </c>
      <c r="G376" s="29" t="b">
        <v>1</v>
      </c>
      <c r="H376" s="18" t="b">
        <v>0</v>
      </c>
    </row>
    <row r="377" outlineLevel="1">
      <c r="A377" s="51">
        <v>46108.0</v>
      </c>
      <c r="B377" s="52" t="s">
        <v>18</v>
      </c>
      <c r="C377" s="53" t="s">
        <v>60</v>
      </c>
      <c r="D377" s="54" t="s">
        <v>558</v>
      </c>
      <c r="E377" s="55"/>
      <c r="F377" s="56" t="s">
        <v>559</v>
      </c>
      <c r="G377" s="29" t="b">
        <v>1</v>
      </c>
      <c r="H377" s="18" t="b">
        <v>0</v>
      </c>
    </row>
    <row r="378" outlineLevel="1">
      <c r="A378" s="51">
        <v>46108.0</v>
      </c>
      <c r="B378" s="52" t="s">
        <v>18</v>
      </c>
      <c r="C378" s="53" t="s">
        <v>60</v>
      </c>
      <c r="D378" s="54" t="s">
        <v>560</v>
      </c>
      <c r="E378" s="55"/>
      <c r="F378" s="56" t="s">
        <v>561</v>
      </c>
      <c r="G378" s="29" t="b">
        <v>1</v>
      </c>
      <c r="H378" s="18" t="b">
        <v>0</v>
      </c>
    </row>
    <row r="379" outlineLevel="1">
      <c r="A379" s="51">
        <v>46111.0</v>
      </c>
      <c r="B379" s="52" t="s">
        <v>18</v>
      </c>
      <c r="C379" s="53" t="s">
        <v>67</v>
      </c>
      <c r="D379" s="54" t="s">
        <v>562</v>
      </c>
      <c r="E379" s="55"/>
      <c r="F379" s="56" t="s">
        <v>563</v>
      </c>
      <c r="G379" s="29" t="b">
        <v>1</v>
      </c>
      <c r="H379" s="18" t="b">
        <v>0</v>
      </c>
    </row>
    <row r="380" outlineLevel="1">
      <c r="A380" s="51">
        <v>46111.0</v>
      </c>
      <c r="B380" s="52" t="s">
        <v>18</v>
      </c>
      <c r="C380" s="53" t="s">
        <v>19</v>
      </c>
      <c r="D380" s="54" t="s">
        <v>564</v>
      </c>
      <c r="E380" s="55" t="s">
        <v>16</v>
      </c>
      <c r="F380" s="56" t="s">
        <v>130</v>
      </c>
      <c r="G380" s="29" t="b">
        <v>1</v>
      </c>
      <c r="H380" s="18" t="b">
        <v>0</v>
      </c>
    </row>
    <row r="381" outlineLevel="1">
      <c r="A381" s="13">
        <v>46112.0</v>
      </c>
      <c r="B381" s="8" t="s">
        <v>18</v>
      </c>
      <c r="C381" s="21" t="s">
        <v>499</v>
      </c>
      <c r="D381" s="22" t="s">
        <v>519</v>
      </c>
      <c r="E381" s="71" t="s">
        <v>383</v>
      </c>
      <c r="F381" s="72" t="s">
        <v>520</v>
      </c>
      <c r="G381" s="29" t="b">
        <v>0</v>
      </c>
      <c r="H381" s="29" t="b">
        <v>0</v>
      </c>
    </row>
    <row r="382" outlineLevel="1">
      <c r="A382" s="13">
        <v>46112.0</v>
      </c>
      <c r="B382" s="8" t="s">
        <v>18</v>
      </c>
      <c r="C382" s="21" t="s">
        <v>499</v>
      </c>
      <c r="D382" s="16" t="s">
        <v>565</v>
      </c>
      <c r="E382" s="20" t="s">
        <v>554</v>
      </c>
      <c r="F382" s="68" t="s">
        <v>523</v>
      </c>
      <c r="G382" s="29" t="b">
        <v>0</v>
      </c>
      <c r="H382" s="29" t="b">
        <v>0</v>
      </c>
    </row>
    <row r="383" outlineLevel="1">
      <c r="A383" s="37">
        <v>46113.0</v>
      </c>
      <c r="B383" s="38" t="s">
        <v>10</v>
      </c>
      <c r="C383" s="39" t="s">
        <v>344</v>
      </c>
      <c r="D383" s="40" t="s">
        <v>285</v>
      </c>
      <c r="E383" s="55"/>
      <c r="F383" s="56" t="s">
        <v>69</v>
      </c>
      <c r="G383" s="29" t="b">
        <v>1</v>
      </c>
      <c r="H383" s="29" t="b">
        <v>0</v>
      </c>
    </row>
    <row r="384" outlineLevel="1">
      <c r="A384" s="37">
        <v>46114.0</v>
      </c>
      <c r="B384" s="38" t="s">
        <v>18</v>
      </c>
      <c r="C384" s="39" t="s">
        <v>499</v>
      </c>
      <c r="D384" s="40" t="s">
        <v>566</v>
      </c>
      <c r="E384" s="55" t="s">
        <v>567</v>
      </c>
      <c r="F384" s="56"/>
      <c r="G384" s="29" t="b">
        <v>0</v>
      </c>
      <c r="H384" s="29" t="b">
        <v>0</v>
      </c>
    </row>
    <row r="385" outlineLevel="1">
      <c r="A385" s="37">
        <v>46114.0</v>
      </c>
      <c r="B385" s="38" t="s">
        <v>18</v>
      </c>
      <c r="C385" s="39" t="s">
        <v>107</v>
      </c>
      <c r="D385" s="40" t="s">
        <v>430</v>
      </c>
      <c r="E385" s="55"/>
      <c r="F385" s="56" t="s">
        <v>198</v>
      </c>
      <c r="G385" s="29" t="b">
        <v>0</v>
      </c>
      <c r="H385" s="29" t="b">
        <v>0</v>
      </c>
    </row>
    <row r="386" outlineLevel="1">
      <c r="A386" s="37">
        <v>46114.0</v>
      </c>
      <c r="B386" s="38" t="s">
        <v>26</v>
      </c>
      <c r="C386" s="39" t="s">
        <v>568</v>
      </c>
      <c r="D386" s="40" t="s">
        <v>569</v>
      </c>
      <c r="E386" s="55"/>
      <c r="F386" s="56" t="s">
        <v>570</v>
      </c>
      <c r="G386" s="29" t="b">
        <v>0</v>
      </c>
      <c r="H386" s="29" t="b">
        <v>0</v>
      </c>
    </row>
    <row r="387" outlineLevel="1">
      <c r="A387" s="51">
        <v>46119.0</v>
      </c>
      <c r="B387" s="73" t="s">
        <v>18</v>
      </c>
      <c r="C387" s="53" t="s">
        <v>383</v>
      </c>
      <c r="D387" s="74" t="s">
        <v>519</v>
      </c>
      <c r="E387" s="75"/>
      <c r="F387" s="56" t="s">
        <v>571</v>
      </c>
      <c r="G387" s="32" t="b">
        <v>1</v>
      </c>
      <c r="H387" s="32" t="b">
        <v>0</v>
      </c>
    </row>
    <row r="388" outlineLevel="1">
      <c r="A388" s="51">
        <v>46119.0</v>
      </c>
      <c r="B388" s="52" t="s">
        <v>18</v>
      </c>
      <c r="C388" s="53" t="s">
        <v>499</v>
      </c>
      <c r="D388" s="54" t="s">
        <v>572</v>
      </c>
      <c r="E388" s="55" t="s">
        <v>554</v>
      </c>
      <c r="F388" s="76"/>
      <c r="G388" s="32" t="b">
        <v>0</v>
      </c>
      <c r="H388" s="32" t="b">
        <v>0</v>
      </c>
    </row>
    <row r="389" outlineLevel="1">
      <c r="A389" s="51">
        <v>46119.0</v>
      </c>
      <c r="B389" s="52" t="s">
        <v>18</v>
      </c>
      <c r="C389" s="53" t="s">
        <v>573</v>
      </c>
      <c r="D389" s="54" t="s">
        <v>416</v>
      </c>
      <c r="E389" s="55" t="s">
        <v>66</v>
      </c>
      <c r="F389" s="76"/>
      <c r="G389" s="32" t="b">
        <v>0</v>
      </c>
      <c r="H389" s="32" t="b">
        <v>0</v>
      </c>
    </row>
    <row r="390" outlineLevel="1">
      <c r="A390" s="51">
        <v>46119.0</v>
      </c>
      <c r="B390" s="52" t="s">
        <v>59</v>
      </c>
      <c r="C390" s="53" t="s">
        <v>47</v>
      </c>
      <c r="D390" s="54" t="s">
        <v>574</v>
      </c>
      <c r="E390" s="55" t="s">
        <v>30</v>
      </c>
      <c r="F390" s="76"/>
      <c r="G390" s="32" t="b">
        <v>1</v>
      </c>
      <c r="H390" s="32" t="b">
        <v>0</v>
      </c>
    </row>
    <row r="391" outlineLevel="1">
      <c r="A391" s="51">
        <v>46119.0</v>
      </c>
      <c r="B391" s="52" t="s">
        <v>59</v>
      </c>
      <c r="C391" s="53" t="s">
        <v>79</v>
      </c>
      <c r="D391" s="54" t="s">
        <v>575</v>
      </c>
      <c r="E391" s="55" t="s">
        <v>576</v>
      </c>
      <c r="F391" s="56" t="s">
        <v>577</v>
      </c>
      <c r="G391" s="32" t="b">
        <v>1</v>
      </c>
      <c r="H391" s="32" t="b">
        <v>0</v>
      </c>
    </row>
    <row r="392" outlineLevel="1">
      <c r="A392" s="37">
        <v>46120.0</v>
      </c>
      <c r="B392" s="38" t="s">
        <v>18</v>
      </c>
      <c r="C392" s="39" t="s">
        <v>386</v>
      </c>
      <c r="D392" s="40" t="s">
        <v>348</v>
      </c>
      <c r="E392" s="41"/>
      <c r="F392" s="42" t="s">
        <v>198</v>
      </c>
      <c r="G392" s="29" t="b">
        <v>0</v>
      </c>
      <c r="H392" s="29" t="b">
        <v>0</v>
      </c>
    </row>
    <row r="393" outlineLevel="1">
      <c r="A393" s="51">
        <v>46121.0</v>
      </c>
      <c r="B393" s="52" t="s">
        <v>59</v>
      </c>
      <c r="C393" s="53" t="s">
        <v>47</v>
      </c>
      <c r="D393" s="54" t="s">
        <v>578</v>
      </c>
      <c r="E393" s="55" t="s">
        <v>30</v>
      </c>
      <c r="F393" s="42"/>
      <c r="G393" s="29" t="b">
        <v>0</v>
      </c>
      <c r="H393" s="29" t="b">
        <v>0</v>
      </c>
    </row>
    <row r="394" outlineLevel="1">
      <c r="A394" s="51">
        <v>46121.0</v>
      </c>
      <c r="B394" s="52" t="s">
        <v>18</v>
      </c>
      <c r="C394" s="53" t="s">
        <v>60</v>
      </c>
      <c r="D394" s="54" t="s">
        <v>579</v>
      </c>
      <c r="E394" s="55" t="s">
        <v>30</v>
      </c>
      <c r="F394" s="42"/>
      <c r="G394" s="29" t="b">
        <v>0</v>
      </c>
      <c r="H394" s="29" t="b">
        <v>0</v>
      </c>
    </row>
    <row r="395" outlineLevel="1">
      <c r="A395" s="51">
        <v>46121.0</v>
      </c>
      <c r="B395" s="52" t="s">
        <v>18</v>
      </c>
      <c r="C395" s="53" t="s">
        <v>60</v>
      </c>
      <c r="D395" s="54" t="s">
        <v>580</v>
      </c>
      <c r="E395" s="55" t="s">
        <v>30</v>
      </c>
      <c r="F395" s="42"/>
      <c r="G395" s="29" t="b">
        <v>0</v>
      </c>
      <c r="H395" s="29" t="b">
        <v>0</v>
      </c>
    </row>
    <row r="396" outlineLevel="1">
      <c r="A396" s="51">
        <v>46121.0</v>
      </c>
      <c r="B396" s="52" t="s">
        <v>18</v>
      </c>
      <c r="C396" s="53" t="s">
        <v>60</v>
      </c>
      <c r="D396" s="54" t="s">
        <v>581</v>
      </c>
      <c r="E396" s="55" t="s">
        <v>16</v>
      </c>
      <c r="F396" s="42" t="s">
        <v>582</v>
      </c>
      <c r="G396" s="29" t="b">
        <v>1</v>
      </c>
      <c r="H396" s="29" t="b">
        <v>0</v>
      </c>
    </row>
    <row r="397" outlineLevel="1">
      <c r="A397" s="51">
        <v>46121.0</v>
      </c>
      <c r="B397" s="52" t="s">
        <v>59</v>
      </c>
      <c r="C397" s="53" t="s">
        <v>47</v>
      </c>
      <c r="D397" s="54" t="s">
        <v>399</v>
      </c>
      <c r="E397" s="55" t="s">
        <v>583</v>
      </c>
      <c r="F397" s="42"/>
      <c r="G397" s="29" t="b">
        <v>0</v>
      </c>
      <c r="H397" s="29" t="b">
        <v>0</v>
      </c>
    </row>
    <row r="398" outlineLevel="1">
      <c r="A398" s="51">
        <v>46121.0</v>
      </c>
      <c r="B398" s="52" t="s">
        <v>18</v>
      </c>
      <c r="C398" s="53" t="s">
        <v>499</v>
      </c>
      <c r="D398" s="54" t="s">
        <v>136</v>
      </c>
      <c r="E398" s="55" t="s">
        <v>345</v>
      </c>
      <c r="F398" s="56"/>
      <c r="G398" s="32" t="b">
        <v>0</v>
      </c>
      <c r="H398" s="32" t="b">
        <v>0</v>
      </c>
    </row>
    <row r="399" outlineLevel="1">
      <c r="A399" s="37">
        <v>46121.0</v>
      </c>
      <c r="B399" s="38" t="s">
        <v>18</v>
      </c>
      <c r="C399" s="39" t="s">
        <v>499</v>
      </c>
      <c r="D399" s="40" t="s">
        <v>566</v>
      </c>
      <c r="E399" s="55" t="s">
        <v>554</v>
      </c>
      <c r="F399" s="56"/>
      <c r="G399" s="32" t="b">
        <v>0</v>
      </c>
      <c r="H399" s="32" t="b">
        <v>0</v>
      </c>
    </row>
    <row r="400" outlineLevel="1">
      <c r="A400" s="37">
        <v>46121.0</v>
      </c>
      <c r="B400" s="38" t="s">
        <v>18</v>
      </c>
      <c r="C400" s="39" t="s">
        <v>386</v>
      </c>
      <c r="D400" s="40" t="s">
        <v>134</v>
      </c>
      <c r="E400" s="41" t="s">
        <v>197</v>
      </c>
      <c r="F400" s="42"/>
      <c r="G400" s="29" t="b">
        <v>0</v>
      </c>
      <c r="H400" s="29" t="b">
        <v>0</v>
      </c>
    </row>
    <row r="401" outlineLevel="1">
      <c r="A401" s="37">
        <v>46121.0</v>
      </c>
      <c r="B401" s="38" t="s">
        <v>18</v>
      </c>
      <c r="C401" s="39" t="s">
        <v>131</v>
      </c>
      <c r="D401" s="40" t="s">
        <v>134</v>
      </c>
      <c r="E401" s="41" t="s">
        <v>49</v>
      </c>
      <c r="F401" s="42"/>
      <c r="G401" s="29" t="b">
        <v>0</v>
      </c>
      <c r="H401" s="29" t="b">
        <v>0</v>
      </c>
    </row>
    <row r="402" outlineLevel="1">
      <c r="A402" s="37">
        <v>46121.0</v>
      </c>
      <c r="B402" s="38" t="s">
        <v>18</v>
      </c>
      <c r="C402" s="39" t="s">
        <v>77</v>
      </c>
      <c r="D402" s="40" t="s">
        <v>371</v>
      </c>
      <c r="E402" s="41" t="s">
        <v>79</v>
      </c>
      <c r="F402" s="42"/>
      <c r="G402" s="29" t="b">
        <v>0</v>
      </c>
      <c r="H402" s="29" t="b">
        <v>0</v>
      </c>
    </row>
    <row r="403" outlineLevel="1">
      <c r="A403" s="37">
        <v>46122.0</v>
      </c>
      <c r="B403" s="38" t="s">
        <v>18</v>
      </c>
      <c r="C403" s="39" t="s">
        <v>110</v>
      </c>
      <c r="D403" s="40" t="s">
        <v>584</v>
      </c>
      <c r="E403" s="41" t="s">
        <v>14</v>
      </c>
      <c r="F403" s="42"/>
      <c r="G403" s="29" t="b">
        <v>0</v>
      </c>
      <c r="H403" s="29" t="b">
        <v>0</v>
      </c>
    </row>
    <row r="404" outlineLevel="1">
      <c r="A404" s="37">
        <v>46123.0</v>
      </c>
      <c r="B404" s="38" t="s">
        <v>18</v>
      </c>
      <c r="C404" s="39" t="s">
        <v>110</v>
      </c>
      <c r="D404" s="40" t="s">
        <v>220</v>
      </c>
      <c r="E404" s="41" t="s">
        <v>585</v>
      </c>
      <c r="F404" s="42" t="s">
        <v>586</v>
      </c>
      <c r="G404" s="29" t="b">
        <v>0</v>
      </c>
      <c r="H404" s="29" t="b">
        <v>0</v>
      </c>
    </row>
    <row r="405" outlineLevel="1">
      <c r="A405" s="37">
        <v>46125.0</v>
      </c>
      <c r="B405" s="38" t="s">
        <v>18</v>
      </c>
      <c r="C405" s="39" t="s">
        <v>587</v>
      </c>
      <c r="D405" s="40" t="s">
        <v>115</v>
      </c>
      <c r="E405" s="41"/>
      <c r="F405" s="42" t="s">
        <v>588</v>
      </c>
      <c r="G405" s="29" t="b">
        <v>0</v>
      </c>
      <c r="H405" s="29" t="b">
        <v>0</v>
      </c>
    </row>
    <row r="406" outlineLevel="1">
      <c r="A406" s="37">
        <v>46127.0</v>
      </c>
      <c r="B406" s="38" t="s">
        <v>18</v>
      </c>
      <c r="C406" s="39" t="s">
        <v>386</v>
      </c>
      <c r="D406" s="40" t="s">
        <v>348</v>
      </c>
      <c r="E406" s="41"/>
      <c r="F406" s="42" t="s">
        <v>198</v>
      </c>
      <c r="G406" s="29" t="b">
        <v>0</v>
      </c>
      <c r="H406" s="29" t="b">
        <v>0</v>
      </c>
    </row>
    <row r="407" outlineLevel="1">
      <c r="A407" s="37">
        <v>46128.0</v>
      </c>
      <c r="B407" s="38" t="s">
        <v>18</v>
      </c>
      <c r="C407" s="39" t="s">
        <v>386</v>
      </c>
      <c r="D407" s="40" t="s">
        <v>134</v>
      </c>
      <c r="E407" s="41" t="s">
        <v>197</v>
      </c>
      <c r="F407" s="42"/>
      <c r="G407" s="29" t="b">
        <v>0</v>
      </c>
      <c r="H407" s="29" t="b">
        <v>0</v>
      </c>
    </row>
    <row r="408" outlineLevel="1">
      <c r="A408" s="37">
        <v>46128.0</v>
      </c>
      <c r="B408" s="38" t="s">
        <v>18</v>
      </c>
      <c r="C408" s="39" t="s">
        <v>54</v>
      </c>
      <c r="D408" s="40" t="s">
        <v>589</v>
      </c>
      <c r="E408" s="41"/>
      <c r="F408" s="42" t="s">
        <v>346</v>
      </c>
      <c r="G408" s="29" t="b">
        <v>0</v>
      </c>
      <c r="H408" s="29" t="b">
        <v>0</v>
      </c>
    </row>
    <row r="409" outlineLevel="1">
      <c r="A409" s="37">
        <v>46132.0</v>
      </c>
      <c r="B409" s="38" t="s">
        <v>18</v>
      </c>
      <c r="C409" s="39" t="s">
        <v>70</v>
      </c>
      <c r="D409" s="40" t="s">
        <v>115</v>
      </c>
      <c r="E409" s="41" t="s">
        <v>104</v>
      </c>
      <c r="F409" s="42"/>
      <c r="G409" s="29" t="b">
        <v>0</v>
      </c>
      <c r="H409" s="29" t="b">
        <v>0</v>
      </c>
    </row>
    <row r="410" outlineLevel="1">
      <c r="A410" s="37">
        <v>46133.0</v>
      </c>
      <c r="B410" s="38" t="s">
        <v>18</v>
      </c>
      <c r="C410" s="39" t="s">
        <v>344</v>
      </c>
      <c r="D410" s="40" t="s">
        <v>129</v>
      </c>
      <c r="E410" s="41" t="s">
        <v>49</v>
      </c>
      <c r="F410" s="42"/>
      <c r="G410" s="29" t="b">
        <v>0</v>
      </c>
      <c r="H410" s="29" t="b">
        <v>0</v>
      </c>
    </row>
    <row r="411" outlineLevel="1">
      <c r="A411" s="37">
        <v>46133.0</v>
      </c>
      <c r="B411" s="38" t="s">
        <v>18</v>
      </c>
      <c r="C411" s="39" t="s">
        <v>67</v>
      </c>
      <c r="D411" s="40" t="s">
        <v>590</v>
      </c>
      <c r="E411" s="41" t="s">
        <v>311</v>
      </c>
      <c r="F411" s="42"/>
      <c r="G411" s="29" t="b">
        <v>0</v>
      </c>
      <c r="H411" s="29" t="b">
        <v>0</v>
      </c>
    </row>
    <row r="412" outlineLevel="1">
      <c r="A412" s="37">
        <v>46134.0</v>
      </c>
      <c r="B412" s="38" t="s">
        <v>18</v>
      </c>
      <c r="C412" s="39" t="s">
        <v>344</v>
      </c>
      <c r="D412" s="40" t="s">
        <v>348</v>
      </c>
      <c r="E412" s="41" t="s">
        <v>591</v>
      </c>
      <c r="F412" s="42" t="s">
        <v>592</v>
      </c>
      <c r="G412" s="29" t="b">
        <v>0</v>
      </c>
      <c r="H412" s="29" t="b">
        <v>0</v>
      </c>
    </row>
    <row r="413" outlineLevel="1">
      <c r="A413" s="37">
        <v>46136.0</v>
      </c>
      <c r="B413" s="38" t="s">
        <v>18</v>
      </c>
      <c r="C413" s="39" t="s">
        <v>63</v>
      </c>
      <c r="D413" s="40" t="s">
        <v>477</v>
      </c>
      <c r="E413" s="41"/>
      <c r="F413" s="42" t="s">
        <v>97</v>
      </c>
      <c r="G413" s="29" t="b">
        <v>0</v>
      </c>
      <c r="H413" s="29" t="b">
        <v>0</v>
      </c>
    </row>
    <row r="414" outlineLevel="1">
      <c r="A414" s="37">
        <v>46140.0</v>
      </c>
      <c r="B414" s="38" t="s">
        <v>18</v>
      </c>
      <c r="C414" s="39" t="s">
        <v>344</v>
      </c>
      <c r="D414" s="40" t="s">
        <v>129</v>
      </c>
      <c r="E414" s="41" t="s">
        <v>49</v>
      </c>
      <c r="F414" s="42"/>
      <c r="G414" s="29" t="b">
        <v>0</v>
      </c>
      <c r="H414" s="29" t="b">
        <v>0</v>
      </c>
    </row>
    <row r="415" outlineLevel="1">
      <c r="A415" s="37">
        <v>46140.0</v>
      </c>
      <c r="B415" s="38" t="s">
        <v>18</v>
      </c>
      <c r="C415" s="39" t="s">
        <v>67</v>
      </c>
      <c r="D415" s="40" t="s">
        <v>590</v>
      </c>
      <c r="E415" s="41" t="s">
        <v>311</v>
      </c>
      <c r="F415" s="42"/>
      <c r="G415" s="29" t="b">
        <v>0</v>
      </c>
      <c r="H415" s="29" t="b">
        <v>0</v>
      </c>
    </row>
    <row r="416" outlineLevel="1">
      <c r="A416" s="37">
        <v>46141.0</v>
      </c>
      <c r="B416" s="38" t="s">
        <v>18</v>
      </c>
      <c r="C416" s="39" t="s">
        <v>344</v>
      </c>
      <c r="D416" s="40" t="s">
        <v>348</v>
      </c>
      <c r="E416" s="41" t="s">
        <v>591</v>
      </c>
      <c r="F416" s="42" t="s">
        <v>592</v>
      </c>
      <c r="G416" s="29" t="b">
        <v>0</v>
      </c>
      <c r="H416" s="29" t="b">
        <v>0</v>
      </c>
    </row>
    <row r="417" outlineLevel="1">
      <c r="A417" s="37">
        <v>46154.0</v>
      </c>
      <c r="B417" s="38" t="s">
        <v>18</v>
      </c>
      <c r="C417" s="39" t="s">
        <v>67</v>
      </c>
      <c r="D417" s="40" t="s">
        <v>590</v>
      </c>
      <c r="E417" s="41" t="s">
        <v>311</v>
      </c>
      <c r="F417" s="42"/>
      <c r="G417" s="29" t="b">
        <v>0</v>
      </c>
      <c r="H417" s="29" t="b">
        <v>0</v>
      </c>
    </row>
    <row r="418" outlineLevel="1">
      <c r="A418" s="37">
        <v>46157.0</v>
      </c>
      <c r="B418" s="38" t="s">
        <v>10</v>
      </c>
      <c r="C418" s="39" t="s">
        <v>63</v>
      </c>
      <c r="D418" s="40" t="s">
        <v>593</v>
      </c>
      <c r="E418" s="41"/>
      <c r="F418" s="42"/>
      <c r="G418" s="29" t="b">
        <v>0</v>
      </c>
      <c r="H418" s="29" t="b">
        <v>0</v>
      </c>
    </row>
    <row r="419" outlineLevel="1">
      <c r="A419" s="37">
        <v>46157.0</v>
      </c>
      <c r="B419" s="38" t="s">
        <v>10</v>
      </c>
      <c r="C419" s="39" t="s">
        <v>66</v>
      </c>
      <c r="D419" s="40" t="s">
        <v>593</v>
      </c>
      <c r="E419" s="41"/>
      <c r="F419" s="42"/>
      <c r="G419" s="29" t="b">
        <v>0</v>
      </c>
      <c r="H419" s="29" t="b">
        <v>0</v>
      </c>
    </row>
    <row r="420" outlineLevel="1">
      <c r="A420" s="37">
        <v>46157.0</v>
      </c>
      <c r="B420" s="38" t="s">
        <v>10</v>
      </c>
      <c r="C420" s="39" t="s">
        <v>40</v>
      </c>
      <c r="D420" s="40" t="s">
        <v>593</v>
      </c>
      <c r="E420" s="41"/>
      <c r="F420" s="42"/>
      <c r="G420" s="29" t="b">
        <v>0</v>
      </c>
      <c r="H420" s="29" t="b">
        <v>0</v>
      </c>
    </row>
    <row r="421" outlineLevel="1">
      <c r="A421" s="37">
        <v>46157.0</v>
      </c>
      <c r="B421" s="38" t="s">
        <v>10</v>
      </c>
      <c r="C421" s="39" t="s">
        <v>104</v>
      </c>
      <c r="D421" s="40" t="s">
        <v>593</v>
      </c>
      <c r="E421" s="41"/>
      <c r="F421" s="42"/>
      <c r="G421" s="29" t="b">
        <v>0</v>
      </c>
      <c r="H421" s="29" t="b">
        <v>0</v>
      </c>
    </row>
    <row r="422" outlineLevel="1">
      <c r="A422" s="37">
        <v>46158.0</v>
      </c>
      <c r="B422" s="38" t="s">
        <v>10</v>
      </c>
      <c r="C422" s="39" t="s">
        <v>63</v>
      </c>
      <c r="D422" s="40" t="s">
        <v>594</v>
      </c>
      <c r="E422" s="41"/>
      <c r="F422" s="42"/>
      <c r="G422" s="29" t="b">
        <v>0</v>
      </c>
      <c r="H422" s="29" t="b">
        <v>0</v>
      </c>
    </row>
    <row r="423" outlineLevel="1">
      <c r="A423" s="37">
        <v>46158.0</v>
      </c>
      <c r="B423" s="38" t="s">
        <v>10</v>
      </c>
      <c r="C423" s="39" t="s">
        <v>66</v>
      </c>
      <c r="D423" s="40" t="s">
        <v>594</v>
      </c>
      <c r="E423" s="41"/>
      <c r="F423" s="42"/>
      <c r="G423" s="29" t="b">
        <v>0</v>
      </c>
      <c r="H423" s="29" t="b">
        <v>0</v>
      </c>
    </row>
    <row r="424" outlineLevel="1">
      <c r="A424" s="37">
        <v>46158.0</v>
      </c>
      <c r="B424" s="38" t="s">
        <v>10</v>
      </c>
      <c r="C424" s="39" t="s">
        <v>66</v>
      </c>
      <c r="D424" s="40" t="s">
        <v>595</v>
      </c>
      <c r="E424" s="41"/>
      <c r="F424" s="42" t="s">
        <v>198</v>
      </c>
      <c r="G424" s="29" t="b">
        <v>0</v>
      </c>
      <c r="H424" s="29" t="b">
        <v>0</v>
      </c>
    </row>
    <row r="425" outlineLevel="1">
      <c r="A425" s="37">
        <v>46160.0</v>
      </c>
      <c r="B425" s="38" t="s">
        <v>18</v>
      </c>
      <c r="C425" s="39" t="s">
        <v>70</v>
      </c>
      <c r="D425" s="40" t="s">
        <v>115</v>
      </c>
      <c r="E425" s="41" t="s">
        <v>104</v>
      </c>
      <c r="F425" s="42"/>
      <c r="G425" s="29" t="b">
        <v>0</v>
      </c>
      <c r="H425" s="29" t="b">
        <v>0</v>
      </c>
    </row>
    <row r="426" outlineLevel="1">
      <c r="A426" s="37">
        <v>46174.0</v>
      </c>
      <c r="B426" s="38" t="s">
        <v>18</v>
      </c>
      <c r="C426" s="39" t="s">
        <v>70</v>
      </c>
      <c r="D426" s="77" t="s">
        <v>596</v>
      </c>
      <c r="E426" s="41" t="s">
        <v>104</v>
      </c>
      <c r="F426" s="78" t="s">
        <v>597</v>
      </c>
      <c r="G426" s="79" t="b">
        <v>0</v>
      </c>
      <c r="H426" s="79" t="b">
        <v>0</v>
      </c>
    </row>
    <row r="427" outlineLevel="1">
      <c r="A427" s="37">
        <v>46181.0</v>
      </c>
      <c r="B427" s="38" t="s">
        <v>18</v>
      </c>
      <c r="C427" s="77" t="s">
        <v>70</v>
      </c>
      <c r="D427" s="77" t="s">
        <v>596</v>
      </c>
      <c r="E427" s="41" t="s">
        <v>104</v>
      </c>
      <c r="F427" s="78" t="s">
        <v>598</v>
      </c>
      <c r="G427" s="79" t="b">
        <v>0</v>
      </c>
      <c r="H427" s="79" t="b">
        <v>0</v>
      </c>
    </row>
    <row r="428" outlineLevel="1">
      <c r="A428" s="37">
        <v>46188.0</v>
      </c>
      <c r="B428" s="38" t="s">
        <v>18</v>
      </c>
      <c r="C428" s="77" t="s">
        <v>70</v>
      </c>
      <c r="D428" s="77" t="s">
        <v>596</v>
      </c>
      <c r="E428" s="41" t="s">
        <v>104</v>
      </c>
      <c r="F428" s="78" t="s">
        <v>598</v>
      </c>
      <c r="G428" s="79" t="b">
        <v>0</v>
      </c>
      <c r="H428" s="79" t="b">
        <v>0</v>
      </c>
    </row>
    <row r="429" outlineLevel="1">
      <c r="A429" s="37">
        <v>46195.0</v>
      </c>
      <c r="B429" s="38" t="s">
        <v>18</v>
      </c>
      <c r="C429" s="77" t="s">
        <v>70</v>
      </c>
      <c r="D429" s="77" t="s">
        <v>596</v>
      </c>
      <c r="E429" s="41" t="s">
        <v>104</v>
      </c>
      <c r="F429" s="78" t="s">
        <v>598</v>
      </c>
      <c r="G429" s="79" t="b">
        <v>0</v>
      </c>
      <c r="H429" s="79" t="b">
        <v>0</v>
      </c>
    </row>
    <row r="430" outlineLevel="1">
      <c r="A430" s="37">
        <v>46202.0</v>
      </c>
      <c r="B430" s="38" t="s">
        <v>18</v>
      </c>
      <c r="C430" s="77" t="s">
        <v>70</v>
      </c>
      <c r="D430" s="77" t="s">
        <v>596</v>
      </c>
      <c r="E430" s="41" t="s">
        <v>104</v>
      </c>
      <c r="F430" s="78" t="s">
        <v>598</v>
      </c>
      <c r="G430" s="79" t="b">
        <v>0</v>
      </c>
      <c r="H430" s="79" t="b">
        <v>0</v>
      </c>
    </row>
    <row r="431" outlineLevel="1">
      <c r="A431" s="37"/>
      <c r="B431" s="38"/>
      <c r="C431" s="77"/>
      <c r="D431" s="77"/>
      <c r="E431" s="80"/>
      <c r="F431" s="80"/>
      <c r="G431" s="79" t="b">
        <v>0</v>
      </c>
      <c r="H431" s="79" t="b">
        <v>0</v>
      </c>
    </row>
    <row r="432" outlineLevel="1">
      <c r="A432" s="37"/>
      <c r="B432" s="38"/>
      <c r="C432" s="77"/>
      <c r="D432" s="77"/>
      <c r="E432" s="80"/>
      <c r="F432" s="80"/>
      <c r="G432" s="79" t="b">
        <v>0</v>
      </c>
      <c r="H432" s="79" t="b">
        <v>0</v>
      </c>
    </row>
    <row r="433" outlineLevel="1">
      <c r="A433" s="37"/>
      <c r="B433" s="38"/>
      <c r="C433" s="77"/>
      <c r="D433" s="77"/>
      <c r="E433" s="80"/>
      <c r="F433" s="80"/>
      <c r="G433" s="79" t="b">
        <v>0</v>
      </c>
      <c r="H433" s="79" t="b">
        <v>0</v>
      </c>
    </row>
    <row r="434" outlineLevel="1">
      <c r="A434" s="37"/>
      <c r="B434" s="38"/>
      <c r="C434" s="77"/>
      <c r="D434" s="77"/>
      <c r="E434" s="80"/>
      <c r="F434" s="80"/>
      <c r="G434" s="79" t="b">
        <v>0</v>
      </c>
      <c r="H434" s="79" t="b">
        <v>0</v>
      </c>
    </row>
    <row r="435" outlineLevel="1">
      <c r="A435" s="37"/>
      <c r="B435" s="38"/>
      <c r="C435" s="77"/>
      <c r="D435" s="77"/>
      <c r="E435" s="80"/>
      <c r="F435" s="80"/>
      <c r="G435" s="79" t="b">
        <v>0</v>
      </c>
      <c r="H435" s="79" t="b">
        <v>0</v>
      </c>
    </row>
    <row r="436" outlineLevel="1">
      <c r="A436" s="37"/>
      <c r="B436" s="38"/>
      <c r="C436" s="77"/>
      <c r="D436" s="77"/>
      <c r="E436" s="80"/>
      <c r="F436" s="80"/>
      <c r="G436" s="79" t="b">
        <v>0</v>
      </c>
      <c r="H436" s="79" t="b">
        <v>0</v>
      </c>
    </row>
    <row r="437" outlineLevel="1">
      <c r="A437" s="37"/>
      <c r="B437" s="38"/>
      <c r="C437" s="77"/>
      <c r="D437" s="77"/>
      <c r="E437" s="80"/>
      <c r="F437" s="80"/>
      <c r="G437" s="79" t="b">
        <v>0</v>
      </c>
      <c r="H437" s="79" t="b">
        <v>0</v>
      </c>
    </row>
    <row r="438" outlineLevel="1">
      <c r="A438" s="37"/>
      <c r="B438" s="38"/>
      <c r="C438" s="77"/>
      <c r="D438" s="77"/>
      <c r="E438" s="80"/>
      <c r="F438" s="80"/>
      <c r="G438" s="79" t="b">
        <v>0</v>
      </c>
      <c r="H438" s="79" t="b">
        <v>0</v>
      </c>
    </row>
    <row r="439" outlineLevel="1">
      <c r="A439" s="37"/>
      <c r="B439" s="38"/>
      <c r="C439" s="77"/>
      <c r="D439" s="77"/>
      <c r="E439" s="80"/>
      <c r="F439" s="80"/>
      <c r="G439" s="79" t="b">
        <v>0</v>
      </c>
      <c r="H439" s="79" t="b">
        <v>0</v>
      </c>
    </row>
    <row r="440" outlineLevel="1">
      <c r="A440" s="37"/>
      <c r="B440" s="38"/>
      <c r="C440" s="77"/>
      <c r="D440" s="77"/>
      <c r="E440" s="80"/>
      <c r="F440" s="80"/>
      <c r="G440" s="79" t="b">
        <v>0</v>
      </c>
      <c r="H440" s="79" t="b">
        <v>0</v>
      </c>
    </row>
    <row r="441" outlineLevel="1">
      <c r="A441" s="37"/>
      <c r="B441" s="38"/>
      <c r="C441" s="77"/>
      <c r="D441" s="77"/>
      <c r="E441" s="80"/>
      <c r="F441" s="80"/>
      <c r="G441" s="79" t="b">
        <v>0</v>
      </c>
      <c r="H441" s="79" t="b">
        <v>0</v>
      </c>
    </row>
    <row r="442" outlineLevel="1">
      <c r="A442" s="37"/>
      <c r="B442" s="38"/>
      <c r="C442" s="77"/>
      <c r="D442" s="77"/>
      <c r="E442" s="80"/>
      <c r="F442" s="80"/>
      <c r="G442" s="79" t="b">
        <v>0</v>
      </c>
      <c r="H442" s="79" t="b">
        <v>0</v>
      </c>
    </row>
    <row r="443" outlineLevel="1">
      <c r="A443" s="37"/>
      <c r="B443" s="38"/>
      <c r="C443" s="77"/>
      <c r="D443" s="77"/>
      <c r="E443" s="80"/>
      <c r="F443" s="80"/>
      <c r="G443" s="79" t="b">
        <v>0</v>
      </c>
      <c r="H443" s="79" t="b">
        <v>0</v>
      </c>
    </row>
    <row r="444" outlineLevel="1">
      <c r="A444" s="37"/>
      <c r="B444" s="38"/>
      <c r="C444" s="77"/>
      <c r="D444" s="77"/>
      <c r="E444" s="80"/>
      <c r="F444" s="80"/>
      <c r="G444" s="79" t="b">
        <v>0</v>
      </c>
      <c r="H444" s="79" t="b">
        <v>0</v>
      </c>
    </row>
    <row r="445" outlineLevel="1">
      <c r="A445" s="37"/>
      <c r="B445" s="38"/>
      <c r="C445" s="77"/>
      <c r="D445" s="77"/>
      <c r="E445" s="80"/>
      <c r="F445" s="80"/>
      <c r="G445" s="79" t="b">
        <v>0</v>
      </c>
      <c r="H445" s="79" t="b">
        <v>0</v>
      </c>
    </row>
    <row r="446" outlineLevel="1">
      <c r="A446" s="37"/>
      <c r="B446" s="38"/>
      <c r="C446" s="77"/>
      <c r="D446" s="77"/>
      <c r="E446" s="80"/>
      <c r="F446" s="80"/>
      <c r="G446" s="79" t="b">
        <v>0</v>
      </c>
      <c r="H446" s="79" t="b">
        <v>0</v>
      </c>
    </row>
    <row r="447" outlineLevel="1">
      <c r="A447" s="37"/>
      <c r="B447" s="38"/>
      <c r="C447" s="77"/>
      <c r="D447" s="77"/>
      <c r="E447" s="80"/>
      <c r="F447" s="80"/>
      <c r="G447" s="79" t="b">
        <v>0</v>
      </c>
      <c r="H447" s="79" t="b">
        <v>0</v>
      </c>
    </row>
    <row r="448" outlineLevel="1">
      <c r="A448" s="37"/>
      <c r="B448" s="38"/>
      <c r="C448" s="77"/>
      <c r="D448" s="77"/>
      <c r="E448" s="80"/>
      <c r="F448" s="80"/>
      <c r="G448" s="79" t="b">
        <v>0</v>
      </c>
      <c r="H448" s="79" t="b">
        <v>0</v>
      </c>
    </row>
    <row r="449" outlineLevel="1">
      <c r="A449" s="37"/>
      <c r="B449" s="38"/>
      <c r="C449" s="77"/>
      <c r="D449" s="77"/>
      <c r="E449" s="80"/>
      <c r="F449" s="80"/>
      <c r="G449" s="79" t="b">
        <v>0</v>
      </c>
      <c r="H449" s="79" t="b">
        <v>0</v>
      </c>
    </row>
    <row r="450" outlineLevel="1">
      <c r="A450" s="37"/>
      <c r="B450" s="38"/>
      <c r="C450" s="77"/>
      <c r="D450" s="77"/>
      <c r="E450" s="80"/>
      <c r="F450" s="80"/>
      <c r="G450" s="79" t="b">
        <v>0</v>
      </c>
      <c r="H450" s="79" t="b">
        <v>0</v>
      </c>
    </row>
    <row r="451" outlineLevel="1">
      <c r="A451" s="37"/>
      <c r="B451" s="38"/>
      <c r="C451" s="77"/>
      <c r="D451" s="77"/>
      <c r="E451" s="80"/>
      <c r="F451" s="80"/>
      <c r="G451" s="79" t="b">
        <v>0</v>
      </c>
      <c r="H451" s="79" t="b">
        <v>0</v>
      </c>
    </row>
    <row r="452" outlineLevel="1">
      <c r="A452" s="37"/>
      <c r="B452" s="38"/>
      <c r="C452" s="77"/>
      <c r="D452" s="77"/>
      <c r="E452" s="80"/>
      <c r="F452" s="80"/>
      <c r="G452" s="79" t="b">
        <v>0</v>
      </c>
      <c r="H452" s="79" t="b">
        <v>0</v>
      </c>
    </row>
    <row r="453" outlineLevel="1">
      <c r="A453" s="37"/>
      <c r="B453" s="38"/>
      <c r="C453" s="77"/>
      <c r="D453" s="77"/>
      <c r="E453" s="80"/>
      <c r="F453" s="80"/>
      <c r="G453" s="79" t="b">
        <v>0</v>
      </c>
      <c r="H453" s="79" t="b">
        <v>0</v>
      </c>
    </row>
    <row r="454" outlineLevel="1">
      <c r="A454" s="37"/>
      <c r="B454" s="38"/>
      <c r="C454" s="77"/>
      <c r="D454" s="77"/>
      <c r="E454" s="80"/>
      <c r="F454" s="80"/>
      <c r="G454" s="79" t="b">
        <v>0</v>
      </c>
      <c r="H454" s="79" t="b">
        <v>0</v>
      </c>
    </row>
    <row r="455" outlineLevel="1">
      <c r="A455" s="37"/>
      <c r="B455" s="38"/>
      <c r="C455" s="77"/>
      <c r="D455" s="77"/>
      <c r="E455" s="80"/>
      <c r="F455" s="80"/>
      <c r="G455" s="79" t="b">
        <v>0</v>
      </c>
      <c r="H455" s="79" t="b">
        <v>0</v>
      </c>
    </row>
    <row r="456" outlineLevel="1">
      <c r="A456" s="37"/>
      <c r="B456" s="38"/>
      <c r="C456" s="77"/>
      <c r="D456" s="77"/>
      <c r="E456" s="80"/>
      <c r="F456" s="80"/>
      <c r="G456" s="79" t="b">
        <v>0</v>
      </c>
      <c r="H456" s="79" t="b">
        <v>0</v>
      </c>
    </row>
    <row r="457" outlineLevel="1">
      <c r="A457" s="37"/>
      <c r="B457" s="38"/>
      <c r="C457" s="77"/>
      <c r="D457" s="77"/>
      <c r="E457" s="80"/>
      <c r="F457" s="80"/>
      <c r="G457" s="79" t="b">
        <v>0</v>
      </c>
      <c r="H457" s="79" t="b">
        <v>0</v>
      </c>
    </row>
    <row r="458" outlineLevel="1">
      <c r="A458" s="37"/>
      <c r="B458" s="38"/>
      <c r="C458" s="77"/>
      <c r="D458" s="77"/>
      <c r="E458" s="80"/>
      <c r="F458" s="80"/>
      <c r="G458" s="79" t="b">
        <v>0</v>
      </c>
      <c r="H458" s="79" t="b">
        <v>0</v>
      </c>
    </row>
    <row r="459" outlineLevel="1">
      <c r="A459" s="37"/>
      <c r="B459" s="38"/>
      <c r="C459" s="77"/>
      <c r="D459" s="77"/>
      <c r="E459" s="80"/>
      <c r="F459" s="80"/>
      <c r="G459" s="79" t="b">
        <v>0</v>
      </c>
      <c r="H459" s="79" t="b">
        <v>0</v>
      </c>
    </row>
    <row r="460" outlineLevel="1">
      <c r="A460" s="37"/>
      <c r="B460" s="38"/>
      <c r="C460" s="77"/>
      <c r="D460" s="77"/>
      <c r="E460" s="80"/>
      <c r="F460" s="80"/>
      <c r="G460" s="79" t="b">
        <v>0</v>
      </c>
      <c r="H460" s="79" t="b">
        <v>0</v>
      </c>
    </row>
    <row r="461" outlineLevel="1">
      <c r="A461" s="37"/>
      <c r="B461" s="38"/>
      <c r="C461" s="77"/>
      <c r="D461" s="77"/>
      <c r="E461" s="80"/>
      <c r="F461" s="80"/>
      <c r="G461" s="79" t="b">
        <v>0</v>
      </c>
      <c r="H461" s="79" t="b">
        <v>0</v>
      </c>
    </row>
    <row r="462" outlineLevel="1">
      <c r="A462" s="37"/>
      <c r="B462" s="38"/>
      <c r="C462" s="77"/>
      <c r="D462" s="77"/>
      <c r="E462" s="80"/>
      <c r="F462" s="80"/>
      <c r="G462" s="79" t="b">
        <v>0</v>
      </c>
      <c r="H462" s="79" t="b">
        <v>0</v>
      </c>
    </row>
    <row r="463" outlineLevel="1">
      <c r="A463" s="37"/>
      <c r="B463" s="38"/>
      <c r="C463" s="77"/>
      <c r="D463" s="77"/>
      <c r="E463" s="80"/>
      <c r="F463" s="80"/>
      <c r="G463" s="79" t="b">
        <v>0</v>
      </c>
      <c r="H463" s="79" t="b">
        <v>0</v>
      </c>
    </row>
    <row r="464" outlineLevel="1">
      <c r="A464" s="37"/>
      <c r="B464" s="38"/>
      <c r="C464" s="77"/>
      <c r="D464" s="77"/>
      <c r="E464" s="80"/>
      <c r="F464" s="80"/>
      <c r="G464" s="79" t="b">
        <v>0</v>
      </c>
      <c r="H464" s="79" t="b">
        <v>0</v>
      </c>
    </row>
    <row r="465" outlineLevel="1">
      <c r="A465" s="37"/>
      <c r="B465" s="38"/>
      <c r="C465" s="77"/>
      <c r="D465" s="77"/>
      <c r="E465" s="80"/>
      <c r="F465" s="80"/>
      <c r="G465" s="79" t="b">
        <v>0</v>
      </c>
      <c r="H465" s="79" t="b">
        <v>0</v>
      </c>
    </row>
    <row r="466" outlineLevel="1">
      <c r="A466" s="37"/>
      <c r="B466" s="38"/>
      <c r="C466" s="77"/>
      <c r="D466" s="77"/>
      <c r="E466" s="80"/>
      <c r="F466" s="80"/>
      <c r="G466" s="79" t="b">
        <v>0</v>
      </c>
      <c r="H466" s="79" t="b">
        <v>0</v>
      </c>
    </row>
    <row r="467" outlineLevel="1">
      <c r="A467" s="37"/>
      <c r="B467" s="38"/>
      <c r="C467" s="77"/>
      <c r="D467" s="77"/>
      <c r="E467" s="80"/>
      <c r="F467" s="80"/>
      <c r="G467" s="79" t="b">
        <v>0</v>
      </c>
      <c r="H467" s="79" t="b">
        <v>0</v>
      </c>
    </row>
    <row r="468" outlineLevel="1">
      <c r="A468" s="37"/>
      <c r="B468" s="38"/>
      <c r="C468" s="77"/>
      <c r="D468" s="77"/>
      <c r="E468" s="80"/>
      <c r="F468" s="80"/>
      <c r="G468" s="79" t="b">
        <v>0</v>
      </c>
      <c r="H468" s="79" t="b">
        <v>0</v>
      </c>
    </row>
    <row r="469" outlineLevel="1">
      <c r="A469" s="37"/>
      <c r="B469" s="38"/>
      <c r="C469" s="77"/>
      <c r="D469" s="77"/>
      <c r="E469" s="80"/>
      <c r="F469" s="80"/>
      <c r="G469" s="79" t="b">
        <v>0</v>
      </c>
      <c r="H469" s="79" t="b">
        <v>0</v>
      </c>
    </row>
    <row r="470" outlineLevel="1">
      <c r="A470" s="37"/>
      <c r="B470" s="38"/>
      <c r="C470" s="77"/>
      <c r="D470" s="77"/>
      <c r="E470" s="80"/>
      <c r="F470" s="80"/>
      <c r="G470" s="79" t="b">
        <v>0</v>
      </c>
      <c r="H470" s="79" t="b">
        <v>0</v>
      </c>
    </row>
    <row r="471" outlineLevel="1">
      <c r="A471" s="37"/>
      <c r="B471" s="38"/>
      <c r="C471" s="77"/>
      <c r="D471" s="77"/>
      <c r="E471" s="80"/>
      <c r="F471" s="80"/>
      <c r="G471" s="79" t="b">
        <v>0</v>
      </c>
      <c r="H471" s="79" t="b">
        <v>0</v>
      </c>
    </row>
    <row r="472" outlineLevel="1">
      <c r="A472" s="37"/>
      <c r="B472" s="38"/>
      <c r="C472" s="77"/>
      <c r="D472" s="77"/>
      <c r="E472" s="80"/>
      <c r="F472" s="80"/>
      <c r="G472" s="79" t="b">
        <v>0</v>
      </c>
      <c r="H472" s="79" t="b">
        <v>0</v>
      </c>
    </row>
    <row r="473" outlineLevel="1">
      <c r="A473" s="37"/>
      <c r="B473" s="38"/>
      <c r="C473" s="77"/>
      <c r="D473" s="77"/>
      <c r="E473" s="80"/>
      <c r="F473" s="80"/>
      <c r="G473" s="79" t="b">
        <v>0</v>
      </c>
      <c r="H473" s="79" t="b">
        <v>0</v>
      </c>
    </row>
    <row r="474" outlineLevel="1">
      <c r="A474" s="37"/>
      <c r="B474" s="38"/>
      <c r="C474" s="77"/>
      <c r="D474" s="77"/>
      <c r="E474" s="80"/>
      <c r="F474" s="80"/>
      <c r="G474" s="79" t="b">
        <v>0</v>
      </c>
      <c r="H474" s="79" t="b">
        <v>0</v>
      </c>
    </row>
    <row r="475" outlineLevel="1">
      <c r="A475" s="37"/>
      <c r="B475" s="38"/>
      <c r="C475" s="77"/>
      <c r="D475" s="77"/>
      <c r="E475" s="80"/>
      <c r="F475" s="80"/>
      <c r="G475" s="79" t="b">
        <v>0</v>
      </c>
      <c r="H475" s="79" t="b">
        <v>0</v>
      </c>
    </row>
    <row r="476" outlineLevel="1">
      <c r="A476" s="37"/>
      <c r="B476" s="38"/>
      <c r="C476" s="77"/>
      <c r="D476" s="77"/>
      <c r="E476" s="80"/>
      <c r="F476" s="80"/>
      <c r="G476" s="79" t="b">
        <v>0</v>
      </c>
      <c r="H476" s="79" t="b">
        <v>0</v>
      </c>
    </row>
    <row r="477" outlineLevel="1">
      <c r="A477" s="37"/>
      <c r="B477" s="38"/>
      <c r="C477" s="77"/>
      <c r="D477" s="77"/>
      <c r="E477" s="80"/>
      <c r="F477" s="80"/>
      <c r="G477" s="79" t="b">
        <v>0</v>
      </c>
      <c r="H477" s="79" t="b">
        <v>0</v>
      </c>
    </row>
    <row r="478" outlineLevel="1">
      <c r="A478" s="37"/>
      <c r="B478" s="38"/>
      <c r="C478" s="77"/>
      <c r="D478" s="77"/>
      <c r="E478" s="80"/>
      <c r="F478" s="80"/>
      <c r="G478" s="79" t="b">
        <v>0</v>
      </c>
      <c r="H478" s="79" t="b">
        <v>0</v>
      </c>
    </row>
    <row r="479" outlineLevel="1">
      <c r="A479" s="37"/>
      <c r="B479" s="38"/>
      <c r="C479" s="77"/>
      <c r="D479" s="77"/>
      <c r="E479" s="80"/>
      <c r="F479" s="80"/>
      <c r="G479" s="79" t="b">
        <v>0</v>
      </c>
      <c r="H479" s="79" t="b">
        <v>0</v>
      </c>
    </row>
    <row r="480" outlineLevel="1">
      <c r="A480" s="37"/>
      <c r="B480" s="38"/>
      <c r="C480" s="77"/>
      <c r="D480" s="77"/>
      <c r="E480" s="80"/>
      <c r="F480" s="80"/>
      <c r="G480" s="79" t="b">
        <v>0</v>
      </c>
      <c r="H480" s="79" t="b">
        <v>0</v>
      </c>
    </row>
    <row r="481" outlineLevel="1">
      <c r="A481" s="37"/>
      <c r="B481" s="38"/>
      <c r="C481" s="39"/>
      <c r="D481" s="40"/>
      <c r="E481" s="41"/>
      <c r="F481" s="81"/>
      <c r="G481" s="29"/>
      <c r="H481" s="29"/>
    </row>
    <row r="482" outlineLevel="1">
      <c r="A482" s="37"/>
      <c r="B482" s="38"/>
      <c r="C482" s="77"/>
      <c r="D482" s="77"/>
      <c r="E482" s="80"/>
      <c r="F482" s="80"/>
      <c r="G482" s="79" t="b">
        <v>0</v>
      </c>
      <c r="H482" s="79" t="b">
        <v>0</v>
      </c>
    </row>
    <row r="483" outlineLevel="1">
      <c r="A483" s="37"/>
      <c r="B483" s="38"/>
      <c r="C483" s="77"/>
      <c r="D483" s="77"/>
      <c r="E483" s="80"/>
      <c r="F483" s="80"/>
      <c r="G483" s="79" t="b">
        <v>0</v>
      </c>
      <c r="H483" s="79" t="b">
        <v>0</v>
      </c>
    </row>
    <row r="484" outlineLevel="1">
      <c r="A484" s="37"/>
      <c r="B484" s="38"/>
      <c r="C484" s="77"/>
      <c r="D484" s="77"/>
      <c r="E484" s="80"/>
      <c r="F484" s="80"/>
      <c r="G484" s="79" t="b">
        <v>0</v>
      </c>
      <c r="H484" s="79" t="b">
        <v>0</v>
      </c>
    </row>
    <row r="485" outlineLevel="1">
      <c r="A485" s="37"/>
      <c r="B485" s="38"/>
      <c r="C485" s="77"/>
      <c r="D485" s="77"/>
      <c r="E485" s="80"/>
      <c r="F485" s="80"/>
      <c r="G485" s="79" t="b">
        <v>0</v>
      </c>
      <c r="H485" s="79" t="b">
        <v>0</v>
      </c>
    </row>
    <row r="486" outlineLevel="1">
      <c r="A486" s="37"/>
      <c r="B486" s="38"/>
      <c r="C486" s="77"/>
      <c r="D486" s="77"/>
      <c r="E486" s="80"/>
      <c r="F486" s="80"/>
      <c r="G486" s="79" t="b">
        <v>0</v>
      </c>
      <c r="H486" s="79" t="b">
        <v>0</v>
      </c>
    </row>
    <row r="487" outlineLevel="1">
      <c r="A487" s="37"/>
      <c r="B487" s="38"/>
      <c r="C487" s="77"/>
      <c r="D487" s="77"/>
      <c r="E487" s="80"/>
      <c r="F487" s="80"/>
      <c r="G487" s="79" t="b">
        <v>0</v>
      </c>
      <c r="H487" s="79" t="b">
        <v>0</v>
      </c>
    </row>
    <row r="488" outlineLevel="1">
      <c r="A488" s="37"/>
      <c r="B488" s="38"/>
      <c r="C488" s="77"/>
      <c r="D488" s="77"/>
      <c r="E488" s="80"/>
      <c r="F488" s="80"/>
      <c r="G488" s="79" t="b">
        <v>0</v>
      </c>
      <c r="H488" s="79" t="b">
        <v>0</v>
      </c>
    </row>
    <row r="489" outlineLevel="1">
      <c r="A489" s="37"/>
      <c r="B489" s="38"/>
      <c r="C489" s="77"/>
      <c r="D489" s="77"/>
      <c r="E489" s="80"/>
      <c r="F489" s="80"/>
      <c r="G489" s="79" t="b">
        <v>0</v>
      </c>
      <c r="H489" s="79" t="b">
        <v>0</v>
      </c>
    </row>
    <row r="490" outlineLevel="1">
      <c r="A490" s="37"/>
      <c r="B490" s="38"/>
      <c r="C490" s="77"/>
      <c r="D490" s="77"/>
      <c r="E490" s="80"/>
      <c r="F490" s="80"/>
      <c r="G490" s="79" t="b">
        <v>0</v>
      </c>
      <c r="H490" s="79" t="b">
        <v>0</v>
      </c>
    </row>
    <row r="491" outlineLevel="1">
      <c r="A491" s="37"/>
      <c r="B491" s="38"/>
      <c r="C491" s="77"/>
      <c r="D491" s="77"/>
      <c r="E491" s="80"/>
      <c r="F491" s="80"/>
      <c r="G491" s="79" t="b">
        <v>0</v>
      </c>
      <c r="H491" s="79" t="b">
        <v>0</v>
      </c>
    </row>
    <row r="492" outlineLevel="1">
      <c r="A492" s="37"/>
      <c r="B492" s="38"/>
      <c r="C492" s="77"/>
      <c r="D492" s="77"/>
      <c r="E492" s="80"/>
      <c r="F492" s="80"/>
      <c r="G492" s="79" t="b">
        <v>0</v>
      </c>
      <c r="H492" s="79" t="b">
        <v>0</v>
      </c>
    </row>
    <row r="493" outlineLevel="1">
      <c r="A493" s="37"/>
      <c r="B493" s="38"/>
      <c r="C493" s="77"/>
      <c r="D493" s="77"/>
      <c r="E493" s="80"/>
      <c r="F493" s="80"/>
      <c r="G493" s="79" t="b">
        <v>0</v>
      </c>
      <c r="H493" s="79" t="b">
        <v>0</v>
      </c>
    </row>
    <row r="494" outlineLevel="1">
      <c r="A494" s="37"/>
      <c r="B494" s="38"/>
      <c r="C494" s="77"/>
      <c r="D494" s="77"/>
      <c r="E494" s="80"/>
      <c r="F494" s="80"/>
      <c r="G494" s="79" t="b">
        <v>0</v>
      </c>
      <c r="H494" s="79" t="b">
        <v>0</v>
      </c>
    </row>
    <row r="495" outlineLevel="1">
      <c r="A495" s="37"/>
      <c r="B495" s="38"/>
      <c r="C495" s="77"/>
      <c r="D495" s="77"/>
      <c r="E495" s="80"/>
      <c r="F495" s="80"/>
      <c r="G495" s="79" t="b">
        <v>0</v>
      </c>
      <c r="H495" s="79" t="b">
        <v>0</v>
      </c>
    </row>
    <row r="496" outlineLevel="1">
      <c r="A496" s="37"/>
      <c r="B496" s="38"/>
      <c r="C496" s="77"/>
      <c r="D496" s="77"/>
      <c r="E496" s="80"/>
      <c r="F496" s="80"/>
      <c r="G496" s="79" t="b">
        <v>0</v>
      </c>
      <c r="H496" s="79" t="b">
        <v>0</v>
      </c>
    </row>
    <row r="497" outlineLevel="1">
      <c r="A497" s="37"/>
      <c r="B497" s="38"/>
      <c r="C497" s="77"/>
      <c r="D497" s="77"/>
      <c r="E497" s="80"/>
      <c r="F497" s="80"/>
      <c r="G497" s="79" t="b">
        <v>0</v>
      </c>
      <c r="H497" s="79" t="b">
        <v>0</v>
      </c>
    </row>
    <row r="498" outlineLevel="1">
      <c r="A498" s="82" t="s">
        <v>599</v>
      </c>
    </row>
    <row r="499" outlineLevel="1">
      <c r="A499" s="82" t="s">
        <v>600</v>
      </c>
    </row>
    <row r="500" outlineLevel="1">
      <c r="A500" s="82" t="s">
        <v>601</v>
      </c>
    </row>
    <row r="501" outlineLevel="1">
      <c r="A501" s="82" t="s">
        <v>602</v>
      </c>
    </row>
    <row r="502" outlineLevel="1">
      <c r="A502" s="82" t="s">
        <v>603</v>
      </c>
    </row>
    <row r="503" outlineLevel="1">
      <c r="A503" s="82" t="s">
        <v>604</v>
      </c>
    </row>
    <row r="504" outlineLevel="1">
      <c r="A504" s="82" t="s">
        <v>605</v>
      </c>
    </row>
    <row r="505" outlineLevel="1">
      <c r="A505" s="82" t="s">
        <v>606</v>
      </c>
    </row>
    <row r="506" outlineLevel="1">
      <c r="A506" s="82" t="s">
        <v>607</v>
      </c>
    </row>
    <row r="507" outlineLevel="1">
      <c r="A507" s="82" t="s">
        <v>608</v>
      </c>
    </row>
    <row r="508" outlineLevel="1">
      <c r="A508" s="82" t="s">
        <v>609</v>
      </c>
    </row>
    <row r="509" outlineLevel="1">
      <c r="A509" s="82" t="s">
        <v>610</v>
      </c>
    </row>
    <row r="510" outlineLevel="1">
      <c r="A510" s="37"/>
      <c r="B510" s="38"/>
      <c r="C510" s="40"/>
      <c r="D510" s="40"/>
      <c r="E510" s="83"/>
      <c r="F510" s="84"/>
      <c r="G510" s="29" t="b">
        <v>0</v>
      </c>
      <c r="H510" s="29" t="b">
        <v>0</v>
      </c>
    </row>
    <row r="511" outlineLevel="1">
      <c r="A511" s="37"/>
      <c r="B511" s="38"/>
      <c r="C511" s="40"/>
      <c r="D511" s="40"/>
      <c r="E511" s="83"/>
      <c r="F511" s="84"/>
      <c r="G511" s="29" t="b">
        <v>0</v>
      </c>
      <c r="H511" s="29" t="b">
        <v>0</v>
      </c>
    </row>
    <row r="512" outlineLevel="1">
      <c r="A512" s="37"/>
      <c r="B512" s="38"/>
      <c r="C512" s="40"/>
      <c r="D512" s="40"/>
      <c r="E512" s="83"/>
      <c r="F512" s="84"/>
      <c r="G512" s="29" t="b">
        <v>0</v>
      </c>
      <c r="H512" s="29" t="b">
        <v>0</v>
      </c>
    </row>
    <row r="513" outlineLevel="1">
      <c r="A513" s="37"/>
      <c r="B513" s="38"/>
      <c r="C513" s="40"/>
      <c r="D513" s="40"/>
      <c r="E513" s="83"/>
      <c r="F513" s="84"/>
      <c r="G513" s="29" t="b">
        <v>0</v>
      </c>
      <c r="H513" s="29" t="b">
        <v>0</v>
      </c>
    </row>
    <row r="514" outlineLevel="1">
      <c r="A514" s="37"/>
      <c r="B514" s="38"/>
      <c r="C514" s="40"/>
      <c r="D514" s="40"/>
      <c r="E514" s="83"/>
      <c r="F514" s="84"/>
      <c r="G514" s="29" t="b">
        <v>0</v>
      </c>
      <c r="H514" s="29" t="b">
        <v>0</v>
      </c>
    </row>
    <row r="515" outlineLevel="1">
      <c r="A515" s="37"/>
      <c r="B515" s="38"/>
      <c r="C515" s="40"/>
      <c r="D515" s="40"/>
      <c r="E515" s="83"/>
      <c r="F515" s="84"/>
      <c r="G515" s="29" t="b">
        <v>0</v>
      </c>
      <c r="H515" s="29" t="b">
        <v>0</v>
      </c>
    </row>
    <row r="516" outlineLevel="1">
      <c r="A516" s="37"/>
      <c r="B516" s="38"/>
      <c r="C516" s="40"/>
      <c r="D516" s="40"/>
      <c r="E516" s="83"/>
      <c r="F516" s="84"/>
      <c r="G516" s="29" t="b">
        <v>0</v>
      </c>
      <c r="H516" s="29" t="b">
        <v>0</v>
      </c>
    </row>
    <row r="517" outlineLevel="1">
      <c r="A517" s="37"/>
      <c r="B517" s="38"/>
      <c r="C517" s="40"/>
      <c r="D517" s="40"/>
      <c r="E517" s="83"/>
      <c r="F517" s="84"/>
      <c r="G517" s="29" t="b">
        <v>0</v>
      </c>
      <c r="H517" s="29" t="b">
        <v>0</v>
      </c>
    </row>
    <row r="518" outlineLevel="1">
      <c r="A518" s="37"/>
      <c r="B518" s="38"/>
      <c r="C518" s="40"/>
      <c r="D518" s="40"/>
      <c r="E518" s="83"/>
      <c r="F518" s="84"/>
      <c r="G518" s="29" t="b">
        <v>0</v>
      </c>
      <c r="H518" s="29" t="b">
        <v>0</v>
      </c>
    </row>
    <row r="519" outlineLevel="1">
      <c r="A519" s="37"/>
      <c r="B519" s="38"/>
      <c r="C519" s="40"/>
      <c r="D519" s="40"/>
      <c r="E519" s="83"/>
      <c r="F519" s="84"/>
      <c r="G519" s="29" t="b">
        <v>0</v>
      </c>
      <c r="H519" s="29" t="b">
        <v>0</v>
      </c>
    </row>
    <row r="520" outlineLevel="1">
      <c r="A520" s="37"/>
      <c r="B520" s="38"/>
      <c r="C520" s="40"/>
      <c r="D520" s="40"/>
      <c r="E520" s="83"/>
      <c r="F520" s="84"/>
      <c r="G520" s="29" t="b">
        <v>0</v>
      </c>
      <c r="H520" s="29" t="b">
        <v>0</v>
      </c>
    </row>
    <row r="521" outlineLevel="1">
      <c r="A521" s="37"/>
      <c r="B521" s="38"/>
      <c r="C521" s="40"/>
      <c r="D521" s="40"/>
      <c r="E521" s="83"/>
      <c r="F521" s="84"/>
      <c r="G521" s="29" t="b">
        <v>0</v>
      </c>
      <c r="H521" s="29" t="b">
        <v>0</v>
      </c>
    </row>
    <row r="522" outlineLevel="1">
      <c r="A522" s="37"/>
      <c r="B522" s="38"/>
      <c r="C522" s="40"/>
      <c r="D522" s="40"/>
      <c r="E522" s="83"/>
      <c r="F522" s="84"/>
      <c r="G522" s="29" t="b">
        <v>0</v>
      </c>
      <c r="H522" s="29" t="b">
        <v>0</v>
      </c>
    </row>
    <row r="523" outlineLevel="1">
      <c r="A523" s="37"/>
      <c r="B523" s="38"/>
      <c r="C523" s="40"/>
      <c r="D523" s="40"/>
      <c r="E523" s="83"/>
      <c r="F523" s="84"/>
      <c r="G523" s="29" t="b">
        <v>0</v>
      </c>
      <c r="H523" s="29" t="b">
        <v>0</v>
      </c>
    </row>
    <row r="524" outlineLevel="1">
      <c r="A524" s="37"/>
      <c r="B524" s="38"/>
      <c r="C524" s="40"/>
      <c r="D524" s="40"/>
      <c r="E524" s="83"/>
      <c r="F524" s="84"/>
      <c r="G524" s="29" t="b">
        <v>0</v>
      </c>
      <c r="H524" s="29" t="b">
        <v>0</v>
      </c>
    </row>
    <row r="525" outlineLevel="1">
      <c r="A525" s="37"/>
      <c r="B525" s="38"/>
      <c r="C525" s="40"/>
      <c r="D525" s="40"/>
      <c r="E525" s="83"/>
      <c r="F525" s="84"/>
      <c r="G525" s="29" t="b">
        <v>0</v>
      </c>
      <c r="H525" s="29" t="b">
        <v>0</v>
      </c>
    </row>
    <row r="526" outlineLevel="1">
      <c r="A526" s="37"/>
      <c r="B526" s="38"/>
      <c r="C526" s="40"/>
      <c r="D526" s="40"/>
      <c r="E526" s="83"/>
      <c r="F526" s="84"/>
      <c r="G526" s="29" t="b">
        <v>0</v>
      </c>
      <c r="H526" s="29" t="b">
        <v>0</v>
      </c>
    </row>
    <row r="527" outlineLevel="1">
      <c r="A527" s="37"/>
      <c r="B527" s="38"/>
      <c r="C527" s="40"/>
      <c r="D527" s="40"/>
      <c r="E527" s="83"/>
      <c r="F527" s="84"/>
      <c r="G527" s="29" t="b">
        <v>0</v>
      </c>
      <c r="H527" s="29" t="b">
        <v>0</v>
      </c>
    </row>
    <row r="528" outlineLevel="1">
      <c r="A528" s="37"/>
      <c r="B528" s="38"/>
      <c r="C528" s="40"/>
      <c r="D528" s="40"/>
      <c r="E528" s="83"/>
      <c r="F528" s="84"/>
      <c r="G528" s="29" t="b">
        <v>0</v>
      </c>
      <c r="H528" s="29" t="b">
        <v>0</v>
      </c>
    </row>
    <row r="529" outlineLevel="1">
      <c r="A529" s="37"/>
      <c r="B529" s="38"/>
      <c r="C529" s="40"/>
      <c r="D529" s="40"/>
      <c r="E529" s="83"/>
      <c r="F529" s="84"/>
      <c r="G529" s="29" t="b">
        <v>0</v>
      </c>
      <c r="H529" s="29" t="b">
        <v>0</v>
      </c>
    </row>
    <row r="530" outlineLevel="1">
      <c r="A530" s="37"/>
      <c r="B530" s="38"/>
      <c r="C530" s="40"/>
      <c r="D530" s="40"/>
      <c r="E530" s="83"/>
      <c r="F530" s="84"/>
      <c r="G530" s="29" t="b">
        <v>0</v>
      </c>
      <c r="H530" s="29" t="b">
        <v>0</v>
      </c>
    </row>
    <row r="531" outlineLevel="1">
      <c r="A531" s="37"/>
      <c r="B531" s="38"/>
      <c r="C531" s="40"/>
      <c r="D531" s="40"/>
      <c r="E531" s="83"/>
      <c r="F531" s="84"/>
      <c r="G531" s="29" t="b">
        <v>0</v>
      </c>
      <c r="H531" s="29" t="b">
        <v>0</v>
      </c>
    </row>
    <row r="532" outlineLevel="1">
      <c r="A532" s="37"/>
      <c r="B532" s="38"/>
      <c r="C532" s="40"/>
      <c r="D532" s="40"/>
      <c r="E532" s="83"/>
      <c r="F532" s="84"/>
      <c r="G532" s="29" t="b">
        <v>0</v>
      </c>
      <c r="H532" s="29" t="b">
        <v>0</v>
      </c>
    </row>
    <row r="533" outlineLevel="1">
      <c r="A533" s="37"/>
      <c r="B533" s="38"/>
      <c r="C533" s="40"/>
      <c r="D533" s="40"/>
      <c r="E533" s="83"/>
      <c r="F533" s="84"/>
      <c r="G533" s="29" t="b">
        <v>0</v>
      </c>
      <c r="H533" s="29" t="b">
        <v>0</v>
      </c>
    </row>
    <row r="534" outlineLevel="1">
      <c r="A534" s="37"/>
      <c r="B534" s="38"/>
      <c r="C534" s="40"/>
      <c r="D534" s="40"/>
      <c r="E534" s="83"/>
      <c r="F534" s="84"/>
      <c r="G534" s="29" t="b">
        <v>0</v>
      </c>
      <c r="H534" s="29" t="b">
        <v>0</v>
      </c>
    </row>
    <row r="535" outlineLevel="1">
      <c r="A535" s="37"/>
      <c r="B535" s="38"/>
      <c r="C535" s="40"/>
      <c r="D535" s="40"/>
      <c r="E535" s="83"/>
      <c r="F535" s="84"/>
      <c r="G535" s="29" t="b">
        <v>0</v>
      </c>
      <c r="H535" s="29" t="b">
        <v>0</v>
      </c>
    </row>
    <row r="536" ht="23.25" customHeight="1" collapsed="1">
      <c r="A536" s="85"/>
      <c r="B536" s="38"/>
      <c r="C536" s="77"/>
      <c r="D536" s="77"/>
      <c r="E536" s="86"/>
      <c r="F536" s="80"/>
      <c r="G536" s="79" t="b">
        <v>0</v>
      </c>
      <c r="H536" s="79" t="b">
        <v>0</v>
      </c>
    </row>
    <row r="537" hidden="1" outlineLevel="1">
      <c r="A537" s="37">
        <v>45943.0</v>
      </c>
      <c r="B537" s="38" t="s">
        <v>18</v>
      </c>
      <c r="C537" s="39" t="s">
        <v>70</v>
      </c>
      <c r="D537" s="40" t="s">
        <v>369</v>
      </c>
      <c r="E537" s="83"/>
      <c r="F537" s="42"/>
      <c r="G537" s="29" t="b">
        <v>0</v>
      </c>
      <c r="H537" s="29" t="b">
        <v>0</v>
      </c>
    </row>
    <row r="538" hidden="1" outlineLevel="1">
      <c r="A538" s="37"/>
      <c r="B538" s="38"/>
      <c r="C538" s="39"/>
      <c r="D538" s="40"/>
      <c r="E538" s="83"/>
      <c r="F538" s="42"/>
      <c r="G538" s="29" t="b">
        <v>0</v>
      </c>
      <c r="H538" s="29" t="b">
        <v>0</v>
      </c>
    </row>
    <row r="539" hidden="1" outlineLevel="1">
      <c r="A539" s="37"/>
      <c r="B539" s="38"/>
      <c r="C539" s="39"/>
      <c r="D539" s="40"/>
      <c r="E539" s="83"/>
      <c r="F539" s="42"/>
      <c r="G539" s="29" t="b">
        <v>0</v>
      </c>
      <c r="H539" s="29" t="b">
        <v>0</v>
      </c>
    </row>
    <row r="540" hidden="1" outlineLevel="1">
      <c r="A540" s="37"/>
      <c r="B540" s="38"/>
      <c r="C540" s="39"/>
      <c r="D540" s="40"/>
      <c r="E540" s="83"/>
      <c r="F540" s="42"/>
      <c r="G540" s="29" t="b">
        <v>0</v>
      </c>
      <c r="H540" s="29" t="b">
        <v>0</v>
      </c>
    </row>
    <row r="541" hidden="1" outlineLevel="1">
      <c r="A541" s="37"/>
      <c r="B541" s="38"/>
      <c r="C541" s="39"/>
      <c r="D541" s="40"/>
      <c r="E541" s="83"/>
      <c r="F541" s="42"/>
      <c r="G541" s="29" t="b">
        <v>0</v>
      </c>
      <c r="H541" s="29" t="b">
        <v>0</v>
      </c>
    </row>
    <row r="542" hidden="1" outlineLevel="1">
      <c r="A542" s="37"/>
      <c r="B542" s="38"/>
      <c r="C542" s="39"/>
      <c r="D542" s="40"/>
      <c r="E542" s="83"/>
      <c r="F542" s="42"/>
      <c r="G542" s="29" t="b">
        <v>0</v>
      </c>
      <c r="H542" s="29" t="b">
        <v>0</v>
      </c>
    </row>
    <row r="543" collapsed="1">
      <c r="A543" s="85"/>
      <c r="B543" s="38"/>
      <c r="C543" s="77"/>
      <c r="D543" s="77"/>
      <c r="E543" s="86"/>
      <c r="F543" s="80"/>
      <c r="G543" s="79" t="b">
        <v>0</v>
      </c>
      <c r="H543" s="79" t="b">
        <v>0</v>
      </c>
    </row>
    <row r="544" hidden="1" outlineLevel="1">
      <c r="A544" s="37"/>
      <c r="B544" s="38"/>
      <c r="C544" s="39"/>
      <c r="D544" s="40"/>
      <c r="E544" s="83"/>
      <c r="F544" s="42"/>
      <c r="G544" s="29" t="b">
        <v>0</v>
      </c>
      <c r="H544" s="29" t="b">
        <v>0</v>
      </c>
    </row>
    <row r="545" hidden="1" outlineLevel="1">
      <c r="A545" s="37">
        <v>45985.0</v>
      </c>
      <c r="B545" s="38" t="s">
        <v>18</v>
      </c>
      <c r="C545" s="39" t="s">
        <v>70</v>
      </c>
      <c r="D545" s="40" t="s">
        <v>369</v>
      </c>
      <c r="E545" s="83"/>
      <c r="F545" s="42"/>
      <c r="G545" s="29" t="b">
        <v>0</v>
      </c>
      <c r="H545" s="29" t="b">
        <v>0</v>
      </c>
    </row>
    <row r="546" hidden="1" outlineLevel="1">
      <c r="A546" s="37"/>
      <c r="B546" s="38"/>
      <c r="C546" s="39"/>
      <c r="D546" s="40"/>
      <c r="E546" s="83"/>
      <c r="F546" s="42"/>
      <c r="G546" s="29" t="b">
        <v>0</v>
      </c>
      <c r="H546" s="29" t="b">
        <v>0</v>
      </c>
    </row>
    <row r="547" hidden="1" outlineLevel="1">
      <c r="A547" s="37"/>
      <c r="B547" s="38"/>
      <c r="C547" s="39"/>
      <c r="D547" s="40"/>
      <c r="E547" s="83"/>
      <c r="F547" s="42"/>
      <c r="G547" s="29" t="b">
        <v>0</v>
      </c>
      <c r="H547" s="29" t="b">
        <v>0</v>
      </c>
    </row>
    <row r="548" hidden="1" outlineLevel="1">
      <c r="A548" s="37"/>
      <c r="B548" s="38"/>
      <c r="C548" s="39"/>
      <c r="D548" s="40"/>
      <c r="E548" s="83"/>
      <c r="F548" s="42"/>
      <c r="G548" s="29" t="b">
        <v>0</v>
      </c>
      <c r="H548" s="29" t="b">
        <v>0</v>
      </c>
    </row>
    <row r="549" hidden="1" outlineLevel="1">
      <c r="A549" s="37"/>
      <c r="B549" s="38"/>
      <c r="C549" s="39"/>
      <c r="D549" s="40"/>
      <c r="E549" s="83"/>
      <c r="F549" s="42"/>
      <c r="G549" s="29" t="b">
        <v>0</v>
      </c>
      <c r="H549" s="29" t="b">
        <v>0</v>
      </c>
    </row>
    <row r="550" hidden="1" outlineLevel="1">
      <c r="A550" s="37"/>
      <c r="B550" s="38"/>
      <c r="C550" s="39"/>
      <c r="D550" s="40"/>
      <c r="E550" s="83"/>
      <c r="F550" s="42"/>
      <c r="G550" s="29" t="b">
        <v>0</v>
      </c>
      <c r="H550" s="29" t="b">
        <v>0</v>
      </c>
    </row>
    <row r="551" hidden="1" outlineLevel="1">
      <c r="A551" s="37"/>
      <c r="B551" s="38"/>
      <c r="C551" s="39"/>
      <c r="D551" s="40"/>
      <c r="E551" s="83"/>
      <c r="F551" s="42"/>
      <c r="G551" s="29" t="b">
        <v>0</v>
      </c>
      <c r="H551" s="29" t="b">
        <v>0</v>
      </c>
    </row>
    <row r="552" ht="24.75" customHeight="1" collapsed="1">
      <c r="A552" s="85"/>
      <c r="B552" s="38"/>
      <c r="C552" s="77"/>
      <c r="D552" s="77"/>
      <c r="E552" s="86"/>
      <c r="F552" s="80"/>
      <c r="G552" s="79" t="b">
        <v>0</v>
      </c>
      <c r="H552" s="79" t="b">
        <v>0</v>
      </c>
    </row>
    <row r="553" hidden="1" outlineLevel="1">
      <c r="A553" s="37">
        <v>46013.0</v>
      </c>
      <c r="B553" s="38" t="s">
        <v>18</v>
      </c>
      <c r="C553" s="39" t="s">
        <v>70</v>
      </c>
      <c r="D553" s="40" t="s">
        <v>369</v>
      </c>
      <c r="E553" s="83"/>
      <c r="F553" s="42"/>
      <c r="G553" s="29" t="b">
        <v>0</v>
      </c>
      <c r="H553" s="29" t="b">
        <v>0</v>
      </c>
    </row>
    <row r="554" hidden="1" outlineLevel="1">
      <c r="A554" s="37"/>
      <c r="B554" s="38"/>
      <c r="C554" s="39"/>
      <c r="D554" s="40"/>
      <c r="E554" s="83"/>
      <c r="F554" s="42"/>
      <c r="G554" s="29" t="b">
        <v>0</v>
      </c>
      <c r="H554" s="29" t="b">
        <v>0</v>
      </c>
    </row>
    <row r="555" hidden="1" outlineLevel="1">
      <c r="A555" s="37"/>
      <c r="B555" s="38"/>
      <c r="C555" s="39"/>
      <c r="D555" s="40"/>
      <c r="E555" s="83"/>
      <c r="F555" s="42"/>
      <c r="G555" s="29" t="b">
        <v>0</v>
      </c>
      <c r="H555" s="29" t="b">
        <v>0</v>
      </c>
    </row>
    <row r="556" hidden="1" outlineLevel="1">
      <c r="A556" s="37"/>
      <c r="B556" s="38"/>
      <c r="C556" s="39"/>
      <c r="D556" s="40"/>
      <c r="E556" s="83"/>
      <c r="F556" s="42"/>
      <c r="G556" s="29" t="b">
        <v>0</v>
      </c>
      <c r="H556" s="29" t="b">
        <v>0</v>
      </c>
    </row>
    <row r="557" hidden="1" outlineLevel="1">
      <c r="A557" s="37"/>
      <c r="B557" s="38"/>
      <c r="C557" s="39"/>
      <c r="D557" s="40"/>
      <c r="E557" s="83"/>
      <c r="F557" s="42"/>
      <c r="G557" s="29" t="b">
        <v>0</v>
      </c>
      <c r="H557" s="29" t="b">
        <v>0</v>
      </c>
    </row>
    <row r="558" hidden="1" outlineLevel="1">
      <c r="A558" s="37"/>
      <c r="B558" s="38"/>
      <c r="C558" s="39"/>
      <c r="D558" s="40"/>
      <c r="E558" s="83"/>
      <c r="F558" s="42"/>
      <c r="G558" s="29" t="b">
        <v>0</v>
      </c>
      <c r="H558" s="29" t="b">
        <v>0</v>
      </c>
    </row>
    <row r="559" hidden="1" outlineLevel="1">
      <c r="A559" s="37"/>
      <c r="B559" s="38"/>
      <c r="C559" s="39"/>
      <c r="D559" s="40"/>
      <c r="E559" s="83"/>
      <c r="F559" s="42"/>
      <c r="G559" s="29" t="b">
        <v>0</v>
      </c>
      <c r="H559" s="29" t="b">
        <v>0</v>
      </c>
    </row>
    <row r="560" hidden="1" outlineLevel="1">
      <c r="A560" s="37"/>
      <c r="B560" s="38"/>
      <c r="C560" s="39"/>
      <c r="D560" s="40"/>
      <c r="E560" s="83"/>
      <c r="F560" s="42"/>
      <c r="G560" s="29" t="b">
        <v>0</v>
      </c>
      <c r="H560" s="29" t="b">
        <v>0</v>
      </c>
    </row>
    <row r="561" collapsed="1">
      <c r="A561" s="85"/>
      <c r="B561" s="38"/>
      <c r="C561" s="77"/>
      <c r="D561" s="77"/>
      <c r="E561" s="86"/>
      <c r="F561" s="80"/>
      <c r="G561" s="79" t="b">
        <v>0</v>
      </c>
      <c r="H561" s="79" t="b">
        <v>0</v>
      </c>
    </row>
    <row r="562" hidden="1" outlineLevel="1">
      <c r="A562" s="37">
        <v>46041.0</v>
      </c>
      <c r="B562" s="38" t="s">
        <v>18</v>
      </c>
      <c r="C562" s="39" t="s">
        <v>70</v>
      </c>
      <c r="D562" s="40" t="s">
        <v>369</v>
      </c>
      <c r="E562" s="83"/>
      <c r="F562" s="42"/>
      <c r="G562" s="29" t="b">
        <v>0</v>
      </c>
      <c r="H562" s="29" t="b">
        <v>0</v>
      </c>
    </row>
    <row r="563" hidden="1" outlineLevel="1">
      <c r="A563" s="37"/>
      <c r="B563" s="38"/>
      <c r="C563" s="39"/>
      <c r="D563" s="40"/>
      <c r="E563" s="83"/>
      <c r="F563" s="42"/>
      <c r="G563" s="29" t="b">
        <v>0</v>
      </c>
      <c r="H563" s="29" t="b">
        <v>0</v>
      </c>
    </row>
    <row r="564" hidden="1" outlineLevel="1">
      <c r="A564" s="37"/>
      <c r="B564" s="38"/>
      <c r="C564" s="39"/>
      <c r="D564" s="40"/>
      <c r="E564" s="83"/>
      <c r="F564" s="42"/>
      <c r="G564" s="29" t="b">
        <v>0</v>
      </c>
      <c r="H564" s="29" t="b">
        <v>0</v>
      </c>
    </row>
    <row r="565" hidden="1" outlineLevel="1">
      <c r="A565" s="37"/>
      <c r="B565" s="38"/>
      <c r="C565" s="39"/>
      <c r="D565" s="40"/>
      <c r="E565" s="83"/>
      <c r="F565" s="42"/>
      <c r="G565" s="29" t="b">
        <v>0</v>
      </c>
      <c r="H565" s="29" t="b">
        <v>0</v>
      </c>
    </row>
    <row r="566" hidden="1" outlineLevel="1">
      <c r="A566" s="37"/>
      <c r="B566" s="38"/>
      <c r="C566" s="39"/>
      <c r="D566" s="40"/>
      <c r="E566" s="83"/>
      <c r="F566" s="42"/>
      <c r="G566" s="29" t="b">
        <v>0</v>
      </c>
      <c r="H566" s="29" t="b">
        <v>0</v>
      </c>
    </row>
    <row r="567" hidden="1" outlineLevel="1">
      <c r="A567" s="37"/>
      <c r="B567" s="38"/>
      <c r="C567" s="39"/>
      <c r="D567" s="40"/>
      <c r="E567" s="83"/>
      <c r="F567" s="42"/>
      <c r="G567" s="29" t="b">
        <v>0</v>
      </c>
      <c r="H567" s="29" t="b">
        <v>0</v>
      </c>
    </row>
    <row r="568" hidden="1" outlineLevel="1">
      <c r="A568" s="37"/>
      <c r="B568" s="38"/>
      <c r="C568" s="39"/>
      <c r="D568" s="40"/>
      <c r="E568" s="83"/>
      <c r="F568" s="42"/>
      <c r="G568" s="29" t="b">
        <v>0</v>
      </c>
      <c r="H568" s="29" t="b">
        <v>0</v>
      </c>
    </row>
    <row r="569" hidden="1" outlineLevel="1">
      <c r="A569" s="37"/>
      <c r="B569" s="38"/>
      <c r="C569" s="39"/>
      <c r="D569" s="40"/>
      <c r="E569" s="83"/>
      <c r="F569" s="42"/>
      <c r="G569" s="29" t="b">
        <v>0</v>
      </c>
      <c r="H569" s="29" t="b">
        <v>0</v>
      </c>
    </row>
    <row r="570" ht="26.25" customHeight="1" collapsed="1">
      <c r="A570" s="85"/>
      <c r="B570" s="38"/>
      <c r="C570" s="77"/>
      <c r="D570" s="77"/>
      <c r="E570" s="86"/>
      <c r="F570" s="80"/>
      <c r="G570" s="79" t="b">
        <v>0</v>
      </c>
      <c r="H570" s="79" t="b">
        <v>0</v>
      </c>
    </row>
    <row r="571" hidden="1" outlineLevel="1">
      <c r="A571" s="37"/>
      <c r="B571" s="38"/>
      <c r="C571" s="39"/>
      <c r="D571" s="87"/>
      <c r="E571" s="83"/>
      <c r="F571" s="42"/>
      <c r="G571" s="29" t="b">
        <v>0</v>
      </c>
      <c r="H571" s="29" t="b">
        <v>0</v>
      </c>
    </row>
    <row r="572" hidden="1" outlineLevel="1">
      <c r="A572" s="37"/>
      <c r="B572" s="38"/>
      <c r="C572" s="39"/>
      <c r="D572" s="87"/>
      <c r="E572" s="83"/>
      <c r="F572" s="42"/>
      <c r="G572" s="29" t="b">
        <v>0</v>
      </c>
      <c r="H572" s="29" t="b">
        <v>0</v>
      </c>
    </row>
    <row r="573" hidden="1" outlineLevel="1">
      <c r="A573" s="37"/>
      <c r="B573" s="38"/>
      <c r="C573" s="39"/>
      <c r="D573" s="87"/>
      <c r="E573" s="83"/>
      <c r="F573" s="42"/>
      <c r="G573" s="29" t="b">
        <v>0</v>
      </c>
      <c r="H573" s="29" t="b">
        <v>0</v>
      </c>
    </row>
    <row r="574" hidden="1" outlineLevel="1">
      <c r="A574" s="37"/>
      <c r="B574" s="38"/>
      <c r="C574" s="39"/>
      <c r="D574" s="87"/>
      <c r="E574" s="83"/>
      <c r="F574" s="42"/>
      <c r="G574" s="29" t="b">
        <v>0</v>
      </c>
      <c r="H574" s="29" t="b">
        <v>0</v>
      </c>
    </row>
    <row r="575" hidden="1" outlineLevel="1">
      <c r="A575" s="37"/>
      <c r="B575" s="38"/>
      <c r="C575" s="39"/>
      <c r="D575" s="87"/>
      <c r="E575" s="83"/>
      <c r="F575" s="42"/>
      <c r="G575" s="29" t="b">
        <v>0</v>
      </c>
      <c r="H575" s="29" t="b">
        <v>0</v>
      </c>
    </row>
    <row r="576" hidden="1" outlineLevel="1">
      <c r="A576" s="37"/>
      <c r="B576" s="38"/>
      <c r="C576" s="39"/>
      <c r="D576" s="87"/>
      <c r="E576" s="83"/>
      <c r="F576" s="42"/>
      <c r="G576" s="29" t="b">
        <v>0</v>
      </c>
      <c r="H576" s="29" t="b">
        <v>0</v>
      </c>
    </row>
    <row r="577" ht="24.0" customHeight="1" collapsed="1">
      <c r="A577" s="85"/>
      <c r="B577" s="38"/>
      <c r="C577" s="77"/>
      <c r="D577" s="77"/>
      <c r="E577" s="86"/>
      <c r="F577" s="80"/>
      <c r="G577" s="79" t="b">
        <v>0</v>
      </c>
      <c r="H577" s="79" t="b">
        <v>0</v>
      </c>
    </row>
    <row r="578" hidden="1" outlineLevel="1">
      <c r="A578" s="37">
        <v>46097.0</v>
      </c>
      <c r="B578" s="38" t="s">
        <v>18</v>
      </c>
      <c r="C578" s="39" t="s">
        <v>70</v>
      </c>
      <c r="D578" s="40" t="s">
        <v>369</v>
      </c>
      <c r="E578" s="83"/>
      <c r="F578" s="42"/>
      <c r="G578" s="29" t="b">
        <v>0</v>
      </c>
      <c r="H578" s="29" t="b">
        <v>0</v>
      </c>
    </row>
    <row r="579" hidden="1" outlineLevel="1">
      <c r="A579" s="37"/>
      <c r="B579" s="38"/>
      <c r="C579" s="39"/>
      <c r="D579" s="40"/>
      <c r="E579" s="83"/>
      <c r="F579" s="42"/>
      <c r="G579" s="29" t="b">
        <v>0</v>
      </c>
      <c r="H579" s="29" t="b">
        <v>0</v>
      </c>
    </row>
    <row r="580" hidden="1" outlineLevel="1">
      <c r="A580" s="37"/>
      <c r="B580" s="38"/>
      <c r="C580" s="39"/>
      <c r="D580" s="40"/>
      <c r="E580" s="83"/>
      <c r="F580" s="42"/>
      <c r="G580" s="29" t="b">
        <v>0</v>
      </c>
      <c r="H580" s="29" t="b">
        <v>0</v>
      </c>
    </row>
    <row r="581" hidden="1" outlineLevel="1">
      <c r="A581" s="37"/>
      <c r="B581" s="38"/>
      <c r="C581" s="39"/>
      <c r="D581" s="40"/>
      <c r="E581" s="83"/>
      <c r="F581" s="42"/>
      <c r="G581" s="29" t="b">
        <v>0</v>
      </c>
      <c r="H581" s="29" t="b">
        <v>0</v>
      </c>
    </row>
    <row r="582" hidden="1" outlineLevel="1">
      <c r="A582" s="37"/>
      <c r="B582" s="38"/>
      <c r="C582" s="39"/>
      <c r="D582" s="40"/>
      <c r="E582" s="83"/>
      <c r="F582" s="42"/>
      <c r="G582" s="29" t="b">
        <v>0</v>
      </c>
      <c r="H582" s="29" t="b">
        <v>0</v>
      </c>
    </row>
    <row r="583" hidden="1" outlineLevel="1">
      <c r="A583" s="37"/>
      <c r="B583" s="38"/>
      <c r="C583" s="39"/>
      <c r="D583" s="40"/>
      <c r="E583" s="83"/>
      <c r="F583" s="42"/>
      <c r="G583" s="29" t="b">
        <v>0</v>
      </c>
      <c r="H583" s="29" t="b">
        <v>0</v>
      </c>
    </row>
    <row r="584" hidden="1" outlineLevel="1">
      <c r="A584" s="37"/>
      <c r="B584" s="38"/>
      <c r="C584" s="39"/>
      <c r="D584" s="40"/>
      <c r="E584" s="83"/>
      <c r="F584" s="42"/>
      <c r="G584" s="29" t="b">
        <v>0</v>
      </c>
      <c r="H584" s="29" t="b">
        <v>0</v>
      </c>
    </row>
    <row r="585" hidden="1" outlineLevel="1">
      <c r="A585" s="37"/>
      <c r="B585" s="38"/>
      <c r="C585" s="39"/>
      <c r="D585" s="40"/>
      <c r="E585" s="83"/>
      <c r="F585" s="42"/>
      <c r="G585" s="29" t="b">
        <v>0</v>
      </c>
      <c r="H585" s="29" t="b">
        <v>0</v>
      </c>
    </row>
    <row r="586" hidden="1" outlineLevel="1">
      <c r="A586" s="37"/>
      <c r="B586" s="38"/>
      <c r="C586" s="39"/>
      <c r="D586" s="40"/>
      <c r="E586" s="83"/>
      <c r="F586" s="42"/>
      <c r="G586" s="29" t="b">
        <v>0</v>
      </c>
      <c r="H586" s="29" t="b">
        <v>0</v>
      </c>
    </row>
    <row r="587" ht="25.5" customHeight="1" collapsed="1">
      <c r="A587" s="85"/>
      <c r="B587" s="38"/>
      <c r="C587" s="77"/>
      <c r="D587" s="77"/>
      <c r="E587" s="86"/>
      <c r="F587" s="80"/>
      <c r="G587" s="79" t="b">
        <v>0</v>
      </c>
      <c r="H587" s="79" t="b">
        <v>0</v>
      </c>
    </row>
    <row r="588" hidden="1" outlineLevel="1">
      <c r="A588" s="37">
        <v>46132.0</v>
      </c>
      <c r="B588" s="38" t="s">
        <v>18</v>
      </c>
      <c r="C588" s="39" t="s">
        <v>70</v>
      </c>
      <c r="D588" s="40" t="s">
        <v>369</v>
      </c>
      <c r="E588" s="83"/>
      <c r="F588" s="42"/>
      <c r="G588" s="29" t="b">
        <v>0</v>
      </c>
      <c r="H588" s="29" t="b">
        <v>0</v>
      </c>
    </row>
    <row r="589" hidden="1" outlineLevel="1">
      <c r="A589" s="37"/>
      <c r="B589" s="38"/>
      <c r="C589" s="39"/>
      <c r="D589" s="40"/>
      <c r="E589" s="83"/>
      <c r="F589" s="42"/>
      <c r="G589" s="29" t="b">
        <v>0</v>
      </c>
      <c r="H589" s="29" t="b">
        <v>0</v>
      </c>
    </row>
    <row r="590" hidden="1" outlineLevel="1">
      <c r="A590" s="37"/>
      <c r="B590" s="38"/>
      <c r="C590" s="39"/>
      <c r="D590" s="40"/>
      <c r="E590" s="83"/>
      <c r="F590" s="42"/>
      <c r="G590" s="29" t="b">
        <v>0</v>
      </c>
      <c r="H590" s="29" t="b">
        <v>0</v>
      </c>
    </row>
    <row r="591" hidden="1" outlineLevel="1">
      <c r="A591" s="37"/>
      <c r="B591" s="38"/>
      <c r="C591" s="39"/>
      <c r="D591" s="40"/>
      <c r="E591" s="83"/>
      <c r="F591" s="42"/>
      <c r="G591" s="29" t="b">
        <v>0</v>
      </c>
      <c r="H591" s="29" t="b">
        <v>0</v>
      </c>
    </row>
    <row r="592" hidden="1" outlineLevel="1">
      <c r="A592" s="37"/>
      <c r="B592" s="38"/>
      <c r="C592" s="39"/>
      <c r="D592" s="40"/>
      <c r="E592" s="83"/>
      <c r="F592" s="42"/>
      <c r="G592" s="29" t="b">
        <v>0</v>
      </c>
      <c r="H592" s="29" t="b">
        <v>0</v>
      </c>
    </row>
    <row r="593" hidden="1" outlineLevel="1">
      <c r="A593" s="37"/>
      <c r="B593" s="38"/>
      <c r="C593" s="39"/>
      <c r="D593" s="40"/>
      <c r="E593" s="83"/>
      <c r="F593" s="42"/>
      <c r="G593" s="29" t="b">
        <v>0</v>
      </c>
      <c r="H593" s="29" t="b">
        <v>0</v>
      </c>
    </row>
    <row r="594" hidden="1" outlineLevel="1">
      <c r="A594" s="37"/>
      <c r="B594" s="38"/>
      <c r="C594" s="39"/>
      <c r="D594" s="40"/>
      <c r="E594" s="83"/>
      <c r="F594" s="42"/>
      <c r="G594" s="29" t="b">
        <v>0</v>
      </c>
      <c r="H594" s="29" t="b">
        <v>0</v>
      </c>
    </row>
    <row r="595" hidden="1" outlineLevel="1">
      <c r="A595" s="37"/>
      <c r="B595" s="38"/>
      <c r="C595" s="39"/>
      <c r="D595" s="40"/>
      <c r="E595" s="83"/>
      <c r="F595" s="42"/>
      <c r="G595" s="29" t="b">
        <v>0</v>
      </c>
      <c r="H595" s="29" t="b">
        <v>0</v>
      </c>
    </row>
    <row r="596" ht="23.25" customHeight="1" collapsed="1">
      <c r="A596" s="85"/>
      <c r="B596" s="38"/>
      <c r="C596" s="77"/>
      <c r="D596" s="77"/>
      <c r="E596" s="86"/>
      <c r="F596" s="80"/>
      <c r="G596" s="79" t="b">
        <v>0</v>
      </c>
      <c r="H596" s="79" t="b">
        <v>0</v>
      </c>
    </row>
    <row r="597" hidden="1" outlineLevel="1">
      <c r="A597" s="37">
        <v>46160.0</v>
      </c>
      <c r="B597" s="38" t="s">
        <v>18</v>
      </c>
      <c r="C597" s="39" t="s">
        <v>70</v>
      </c>
      <c r="D597" s="40" t="s">
        <v>369</v>
      </c>
      <c r="E597" s="83"/>
      <c r="F597" s="42"/>
      <c r="G597" s="29" t="b">
        <v>0</v>
      </c>
      <c r="H597" s="29" t="b">
        <v>0</v>
      </c>
    </row>
    <row r="598" hidden="1" outlineLevel="1">
      <c r="A598" s="37"/>
      <c r="B598" s="38"/>
      <c r="C598" s="39"/>
      <c r="D598" s="40"/>
      <c r="E598" s="83"/>
      <c r="F598" s="42"/>
      <c r="G598" s="29" t="b">
        <v>0</v>
      </c>
      <c r="H598" s="29" t="b">
        <v>0</v>
      </c>
    </row>
    <row r="599" hidden="1" outlineLevel="1">
      <c r="A599" s="37"/>
      <c r="B599" s="38"/>
      <c r="C599" s="39"/>
      <c r="D599" s="40"/>
      <c r="E599" s="83"/>
      <c r="F599" s="42"/>
      <c r="G599" s="29" t="b">
        <v>0</v>
      </c>
      <c r="H599" s="29" t="b">
        <v>0</v>
      </c>
    </row>
    <row r="600" hidden="1" outlineLevel="1">
      <c r="A600" s="37"/>
      <c r="B600" s="38"/>
      <c r="C600" s="39"/>
      <c r="D600" s="40"/>
      <c r="E600" s="83"/>
      <c r="F600" s="42"/>
      <c r="G600" s="29" t="b">
        <v>0</v>
      </c>
      <c r="H600" s="29" t="b">
        <v>0</v>
      </c>
    </row>
    <row r="601" hidden="1" outlineLevel="1">
      <c r="A601" s="37"/>
      <c r="B601" s="38"/>
      <c r="C601" s="39"/>
      <c r="D601" s="40"/>
      <c r="E601" s="83"/>
      <c r="F601" s="42"/>
      <c r="G601" s="29" t="b">
        <v>0</v>
      </c>
      <c r="H601" s="29" t="b">
        <v>0</v>
      </c>
    </row>
    <row r="602" hidden="1" outlineLevel="1">
      <c r="A602" s="37"/>
      <c r="B602" s="38"/>
      <c r="C602" s="39"/>
      <c r="D602" s="40"/>
      <c r="E602" s="83"/>
      <c r="F602" s="42"/>
      <c r="G602" s="29" t="b">
        <v>0</v>
      </c>
      <c r="H602" s="29" t="b">
        <v>0</v>
      </c>
    </row>
    <row r="603" hidden="1" outlineLevel="1">
      <c r="A603" s="37"/>
      <c r="B603" s="38"/>
      <c r="C603" s="39"/>
      <c r="D603" s="40"/>
      <c r="E603" s="83"/>
      <c r="F603" s="42"/>
      <c r="G603" s="29" t="b">
        <v>0</v>
      </c>
      <c r="H603" s="29" t="b">
        <v>0</v>
      </c>
    </row>
    <row r="604" hidden="1" outlineLevel="1">
      <c r="A604" s="37"/>
      <c r="B604" s="38"/>
      <c r="C604" s="39"/>
      <c r="D604" s="40"/>
      <c r="E604" s="83"/>
      <c r="F604" s="42"/>
      <c r="G604" s="29" t="b">
        <v>0</v>
      </c>
      <c r="H604" s="29" t="b">
        <v>0</v>
      </c>
    </row>
    <row r="605" ht="27.75" customHeight="1" collapsed="1">
      <c r="A605" s="85"/>
      <c r="B605" s="38"/>
      <c r="C605" s="77"/>
      <c r="D605" s="77"/>
      <c r="E605" s="86"/>
      <c r="F605" s="80"/>
      <c r="G605" s="79" t="b">
        <v>0</v>
      </c>
      <c r="H605" s="79" t="b">
        <v>0</v>
      </c>
    </row>
    <row r="606" hidden="1" outlineLevel="1">
      <c r="A606" s="37"/>
      <c r="B606" s="38"/>
      <c r="C606" s="39"/>
      <c r="D606" s="87"/>
      <c r="E606" s="83"/>
      <c r="F606" s="88"/>
      <c r="G606" s="29" t="b">
        <v>0</v>
      </c>
      <c r="H606" s="29" t="b">
        <v>0</v>
      </c>
    </row>
    <row r="607" hidden="1" outlineLevel="1">
      <c r="A607" s="37"/>
      <c r="B607" s="38"/>
      <c r="C607" s="39"/>
      <c r="D607" s="87"/>
      <c r="E607" s="83"/>
      <c r="F607" s="88"/>
      <c r="G607" s="29" t="b">
        <v>0</v>
      </c>
      <c r="H607" s="29" t="b">
        <v>0</v>
      </c>
    </row>
    <row r="608" hidden="1" outlineLevel="1">
      <c r="A608" s="37"/>
      <c r="B608" s="38"/>
      <c r="C608" s="39"/>
      <c r="D608" s="87"/>
      <c r="E608" s="83"/>
      <c r="F608" s="88"/>
      <c r="G608" s="29" t="b">
        <v>0</v>
      </c>
      <c r="H608" s="29" t="b">
        <v>0</v>
      </c>
    </row>
    <row r="609" hidden="1" outlineLevel="1">
      <c r="A609" s="37"/>
      <c r="B609" s="38"/>
      <c r="C609" s="39"/>
      <c r="D609" s="87"/>
      <c r="E609" s="83"/>
      <c r="F609" s="88"/>
      <c r="G609" s="29" t="b">
        <v>0</v>
      </c>
      <c r="H609" s="29" t="b">
        <v>0</v>
      </c>
    </row>
    <row r="610" hidden="1" outlineLevel="1">
      <c r="A610" s="37"/>
      <c r="B610" s="38"/>
      <c r="C610" s="39"/>
      <c r="D610" s="87"/>
      <c r="E610" s="83"/>
      <c r="F610" s="88"/>
      <c r="G610" s="29" t="b">
        <v>0</v>
      </c>
      <c r="H610" s="29" t="b">
        <v>0</v>
      </c>
    </row>
    <row r="611" hidden="1" outlineLevel="1">
      <c r="A611" s="37"/>
      <c r="B611" s="38"/>
      <c r="C611" s="39"/>
      <c r="D611" s="87"/>
      <c r="E611" s="83"/>
      <c r="F611" s="88"/>
      <c r="G611" s="29" t="b">
        <v>0</v>
      </c>
      <c r="H611" s="29" t="b">
        <v>0</v>
      </c>
    </row>
    <row r="612" hidden="1" outlineLevel="1">
      <c r="A612" s="37"/>
      <c r="B612" s="38"/>
      <c r="C612" s="39"/>
      <c r="D612" s="87"/>
      <c r="E612" s="83"/>
      <c r="F612" s="88"/>
      <c r="G612" s="29" t="b">
        <v>0</v>
      </c>
      <c r="H612" s="29" t="b">
        <v>0</v>
      </c>
    </row>
    <row r="613" hidden="1" outlineLevel="1">
      <c r="A613" s="37"/>
      <c r="B613" s="38"/>
      <c r="C613" s="39"/>
      <c r="D613" s="87"/>
      <c r="E613" s="83"/>
      <c r="F613" s="88"/>
      <c r="G613" s="29" t="b">
        <v>0</v>
      </c>
      <c r="H613" s="29" t="b">
        <v>0</v>
      </c>
    </row>
    <row r="614" ht="21.0" customHeight="1" collapsed="1">
      <c r="A614" s="85"/>
      <c r="B614" s="38"/>
      <c r="C614" s="77"/>
      <c r="D614" s="77"/>
      <c r="E614" s="86"/>
      <c r="F614" s="80"/>
      <c r="G614" s="79" t="b">
        <v>0</v>
      </c>
      <c r="H614" s="79" t="b">
        <v>0</v>
      </c>
    </row>
    <row r="615" hidden="1" outlineLevel="1">
      <c r="A615" s="37"/>
      <c r="B615" s="38"/>
      <c r="C615" s="39"/>
      <c r="D615" s="40"/>
      <c r="E615" s="83"/>
      <c r="F615" s="89"/>
      <c r="G615" s="29" t="b">
        <v>0</v>
      </c>
      <c r="H615" s="29" t="b">
        <v>0</v>
      </c>
    </row>
    <row r="616" hidden="1" outlineLevel="1">
      <c r="A616" s="37"/>
      <c r="B616" s="38"/>
      <c r="C616" s="39"/>
      <c r="D616" s="40"/>
      <c r="E616" s="83"/>
      <c r="F616" s="89"/>
      <c r="G616" s="29" t="b">
        <v>0</v>
      </c>
      <c r="H616" s="29" t="b">
        <v>0</v>
      </c>
    </row>
    <row r="617" hidden="1" outlineLevel="1">
      <c r="A617" s="37"/>
      <c r="B617" s="38"/>
      <c r="C617" s="39"/>
      <c r="D617" s="40"/>
      <c r="E617" s="83"/>
      <c r="F617" s="89"/>
      <c r="G617" s="29" t="b">
        <v>0</v>
      </c>
      <c r="H617" s="29" t="b">
        <v>0</v>
      </c>
    </row>
    <row r="618" hidden="1" outlineLevel="1">
      <c r="A618" s="37"/>
      <c r="B618" s="38"/>
      <c r="C618" s="39"/>
      <c r="D618" s="40"/>
      <c r="E618" s="83"/>
      <c r="F618" s="89"/>
      <c r="G618" s="29" t="b">
        <v>0</v>
      </c>
      <c r="H618" s="29" t="b">
        <v>0</v>
      </c>
    </row>
    <row r="619" hidden="1" outlineLevel="1">
      <c r="A619" s="37"/>
      <c r="B619" s="38"/>
      <c r="C619" s="39"/>
      <c r="D619" s="40"/>
      <c r="E619" s="83"/>
      <c r="F619" s="42"/>
      <c r="G619" s="29" t="b">
        <v>0</v>
      </c>
      <c r="H619" s="29" t="b">
        <v>0</v>
      </c>
    </row>
    <row r="620" hidden="1" outlineLevel="1">
      <c r="A620" s="37"/>
      <c r="B620" s="38"/>
      <c r="C620" s="39"/>
      <c r="D620" s="40"/>
      <c r="E620" s="83"/>
      <c r="F620" s="42"/>
      <c r="G620" s="29" t="b">
        <v>0</v>
      </c>
      <c r="H620" s="29" t="b">
        <v>0</v>
      </c>
    </row>
    <row r="621" hidden="1" outlineLevel="1">
      <c r="A621" s="37"/>
      <c r="B621" s="38"/>
      <c r="C621" s="39"/>
      <c r="D621" s="40"/>
      <c r="E621" s="83"/>
      <c r="F621" s="89"/>
      <c r="G621" s="29" t="b">
        <v>0</v>
      </c>
      <c r="H621" s="29" t="b">
        <v>0</v>
      </c>
    </row>
    <row r="622" hidden="1" outlineLevel="1">
      <c r="A622" s="37"/>
      <c r="B622" s="38"/>
      <c r="C622" s="39"/>
      <c r="D622" s="40"/>
      <c r="E622" s="83"/>
      <c r="F622" s="42"/>
      <c r="G622" s="29" t="b">
        <v>0</v>
      </c>
      <c r="H622" s="29" t="b">
        <v>0</v>
      </c>
    </row>
    <row r="623" hidden="1" outlineLevel="1">
      <c r="A623" s="37"/>
      <c r="B623" s="38"/>
      <c r="C623" s="39"/>
      <c r="D623" s="40"/>
      <c r="E623" s="83"/>
      <c r="F623" s="89"/>
      <c r="G623" s="29" t="b">
        <v>0</v>
      </c>
      <c r="H623" s="29" t="b">
        <v>0</v>
      </c>
    </row>
    <row r="624" hidden="1" outlineLevel="1">
      <c r="A624" s="37"/>
      <c r="B624" s="38"/>
      <c r="C624" s="39"/>
      <c r="D624" s="40"/>
      <c r="E624" s="83"/>
      <c r="F624" s="89"/>
      <c r="G624" s="29" t="b">
        <v>0</v>
      </c>
      <c r="H624" s="29" t="b">
        <v>0</v>
      </c>
    </row>
    <row r="625" collapsed="1">
      <c r="A625" s="85"/>
      <c r="B625" s="38"/>
      <c r="C625" s="77"/>
      <c r="D625" s="77"/>
      <c r="E625" s="86"/>
      <c r="F625" s="80"/>
      <c r="G625" s="79" t="b">
        <v>0</v>
      </c>
      <c r="H625" s="79" t="b">
        <v>0</v>
      </c>
    </row>
    <row r="626" hidden="1" outlineLevel="1">
      <c r="A626" s="37"/>
      <c r="B626" s="38"/>
      <c r="C626" s="39"/>
      <c r="D626" s="40"/>
      <c r="E626" s="83"/>
      <c r="F626" s="42"/>
      <c r="G626" s="29" t="b">
        <v>0</v>
      </c>
      <c r="H626" s="29" t="b">
        <v>0</v>
      </c>
    </row>
    <row r="627" hidden="1" outlineLevel="1">
      <c r="A627" s="37"/>
      <c r="B627" s="38"/>
      <c r="C627" s="39"/>
      <c r="D627" s="40"/>
      <c r="E627" s="83"/>
      <c r="F627" s="42"/>
      <c r="G627" s="29" t="b">
        <v>0</v>
      </c>
      <c r="H627" s="29" t="b">
        <v>0</v>
      </c>
    </row>
    <row r="628" hidden="1" outlineLevel="1">
      <c r="A628" s="37"/>
      <c r="B628" s="38"/>
      <c r="C628" s="39"/>
      <c r="D628" s="40"/>
      <c r="E628" s="83"/>
      <c r="F628" s="42"/>
      <c r="G628" s="29" t="b">
        <v>0</v>
      </c>
      <c r="H628" s="29" t="b">
        <v>0</v>
      </c>
    </row>
    <row r="629" hidden="1" outlineLevel="1">
      <c r="A629" s="37"/>
      <c r="B629" s="38"/>
      <c r="C629" s="39"/>
      <c r="D629" s="40"/>
      <c r="E629" s="83"/>
      <c r="F629" s="42"/>
      <c r="G629" s="29" t="b">
        <v>0</v>
      </c>
      <c r="H629" s="29" t="b">
        <v>0</v>
      </c>
    </row>
    <row r="630" hidden="1" outlineLevel="1">
      <c r="A630" s="51"/>
      <c r="B630" s="52"/>
      <c r="C630" s="90"/>
      <c r="D630" s="91"/>
      <c r="E630" s="92"/>
      <c r="F630" s="93"/>
      <c r="G630" s="29" t="b">
        <v>0</v>
      </c>
      <c r="H630" s="79" t="b">
        <v>0</v>
      </c>
    </row>
    <row r="631" hidden="1" outlineLevel="1">
      <c r="A631" s="51"/>
      <c r="B631" s="52"/>
      <c r="C631" s="90"/>
      <c r="D631" s="91"/>
      <c r="E631" s="92"/>
      <c r="F631" s="93"/>
      <c r="G631" s="32" t="b">
        <v>0</v>
      </c>
      <c r="H631" s="94" t="b">
        <v>0</v>
      </c>
    </row>
    <row r="632" hidden="1" outlineLevel="1">
      <c r="A632" s="51"/>
      <c r="B632" s="52"/>
      <c r="C632" s="53"/>
      <c r="D632" s="95"/>
      <c r="E632" s="96"/>
      <c r="F632" s="93"/>
      <c r="G632" s="32" t="b">
        <v>0</v>
      </c>
      <c r="H632" s="32" t="b">
        <v>0</v>
      </c>
    </row>
    <row r="633" hidden="1" outlineLevel="1">
      <c r="A633" s="51"/>
      <c r="B633" s="52"/>
      <c r="C633" s="53"/>
      <c r="D633" s="54"/>
      <c r="E633" s="96"/>
      <c r="F633" s="93"/>
      <c r="G633" s="32" t="b">
        <v>0</v>
      </c>
      <c r="H633" s="32" t="b">
        <v>0</v>
      </c>
    </row>
    <row r="634" hidden="1" outlineLevel="1">
      <c r="A634" s="51"/>
      <c r="B634" s="52"/>
      <c r="C634" s="53"/>
      <c r="D634" s="95"/>
      <c r="E634" s="97"/>
      <c r="F634" s="93"/>
      <c r="G634" s="32" t="b">
        <v>0</v>
      </c>
      <c r="H634" s="32" t="b">
        <v>0</v>
      </c>
    </row>
    <row r="635" hidden="1" outlineLevel="1">
      <c r="A635" s="51"/>
      <c r="B635" s="52"/>
      <c r="C635" s="53"/>
      <c r="D635" s="95"/>
      <c r="E635" s="97"/>
      <c r="F635" s="93"/>
      <c r="G635" s="32" t="b">
        <v>0</v>
      </c>
      <c r="H635" s="32" t="b">
        <v>0</v>
      </c>
    </row>
    <row r="636" ht="27.0" customHeight="1">
      <c r="A636" s="98"/>
      <c r="B636" s="3"/>
      <c r="C636" s="3"/>
      <c r="D636" s="3"/>
      <c r="E636" s="3"/>
      <c r="F636" s="3"/>
      <c r="G636" s="3"/>
      <c r="H636" s="4"/>
    </row>
  </sheetData>
  <mergeCells count="15">
    <mergeCell ref="A503:H503"/>
    <mergeCell ref="A504:H504"/>
    <mergeCell ref="A505:H505"/>
    <mergeCell ref="A506:H506"/>
    <mergeCell ref="A507:H507"/>
    <mergeCell ref="A508:H508"/>
    <mergeCell ref="A509:H509"/>
    <mergeCell ref="A636:H636"/>
    <mergeCell ref="A1:B1"/>
    <mergeCell ref="C1:H1"/>
    <mergeCell ref="A498:H498"/>
    <mergeCell ref="A499:H499"/>
    <mergeCell ref="A500:H500"/>
    <mergeCell ref="A501:H501"/>
    <mergeCell ref="A502:H502"/>
  </mergeCells>
  <conditionalFormatting sqref="A3:H636">
    <cfRule type="expression" dxfId="0" priority="1">
      <formula>$H3=TRUE</formula>
    </cfRule>
  </conditionalFormatting>
  <conditionalFormatting sqref="A3:G636">
    <cfRule type="expression" dxfId="1" priority="2">
      <formula>$G3=TRUE</formula>
    </cfRule>
  </conditionalFormatting>
  <dataValidations>
    <dataValidation type="list" allowBlank="1" showErrorMessage="1" sqref="C3:C497 C510:C635">
      <formula1>elenchi!$C$2:$C$100</formula1>
    </dataValidation>
    <dataValidation type="custom" allowBlank="1" showDropDown="1" showInputMessage="1" prompt="Immetti una data valida" sqref="A3:A497 A510:A635">
      <formula1>OR(NOT(ISERROR(DATEVALUE(A3))), AND(ISNUMBER(A3), LEFT(CELL("format", A3))="D"))</formula1>
    </dataValidation>
    <dataValidation type="list" allowBlank="1" showErrorMessage="1" sqref="B3:B497 B510:B635">
      <formula1>elenchi!$B$2:$B$50</formula1>
    </dataValidation>
    <dataValidation type="list" allowBlank="1" sqref="E3:E12 E13:F13 E14:E47 E49:E52 E54:E57 E58:F59 E60 E64:E73 E76 E78:E79 E91:E280 D281:E288 E289:E430 E481 E510:E635">
      <formula1>elenchi!$C$2:$C$100</formula1>
    </dataValidation>
  </dataValidation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5.25"/>
    <col customWidth="1" min="2" max="2" width="18.38"/>
    <col customWidth="1" min="3" max="3" width="21.63"/>
    <col customWidth="1" min="4" max="4" width="19.25"/>
    <col customWidth="1" min="5" max="5" width="15.0"/>
    <col customWidth="1" min="6" max="6" width="22.88"/>
    <col customWidth="1" min="7" max="7" width="26.38"/>
    <col customWidth="1" min="8" max="8" width="24.25"/>
    <col customWidth="1" min="9" max="9" width="8.13"/>
  </cols>
  <sheetData>
    <row r="1" ht="27.75" customHeight="1">
      <c r="A1" s="99" t="s">
        <v>611</v>
      </c>
      <c r="B1" s="100"/>
      <c r="C1" s="100"/>
      <c r="D1" s="100"/>
      <c r="E1" s="100"/>
      <c r="F1" s="100"/>
      <c r="G1" s="100"/>
      <c r="H1" s="100"/>
      <c r="I1" s="101"/>
    </row>
    <row r="2" ht="24.0" customHeight="1">
      <c r="A2" s="102" t="s">
        <v>612</v>
      </c>
      <c r="B2" s="6" t="s">
        <v>3</v>
      </c>
      <c r="C2" s="103" t="s">
        <v>613</v>
      </c>
      <c r="D2" s="103" t="s">
        <v>614</v>
      </c>
      <c r="E2" s="104" t="s">
        <v>615</v>
      </c>
      <c r="F2" s="103" t="s">
        <v>616</v>
      </c>
      <c r="G2" s="103" t="s">
        <v>617</v>
      </c>
      <c r="H2" s="105" t="s">
        <v>618</v>
      </c>
      <c r="I2" s="106" t="s">
        <v>619</v>
      </c>
    </row>
    <row r="3" ht="18.75" customHeight="1">
      <c r="A3" s="107"/>
      <c r="B3" s="108"/>
      <c r="C3" s="108"/>
      <c r="D3" s="109"/>
      <c r="E3" s="109"/>
      <c r="F3" s="110"/>
      <c r="G3" s="110"/>
      <c r="H3" s="111"/>
      <c r="I3" s="112" t="b">
        <v>0</v>
      </c>
    </row>
    <row r="4" ht="18.75" customHeight="1">
      <c r="A4" s="107"/>
      <c r="B4" s="108"/>
      <c r="C4" s="108"/>
      <c r="D4" s="109"/>
      <c r="E4" s="109"/>
      <c r="F4" s="110"/>
      <c r="G4" s="110"/>
      <c r="H4" s="111"/>
      <c r="I4" s="112" t="b">
        <v>0</v>
      </c>
    </row>
    <row r="5" ht="18.75" customHeight="1">
      <c r="A5" s="107"/>
      <c r="B5" s="108"/>
      <c r="C5" s="108"/>
      <c r="D5" s="109"/>
      <c r="E5" s="113"/>
      <c r="F5" s="110"/>
      <c r="G5" s="110"/>
      <c r="H5" s="111"/>
      <c r="I5" s="112" t="b">
        <v>0</v>
      </c>
    </row>
    <row r="6" ht="18.75" customHeight="1">
      <c r="A6" s="107"/>
      <c r="B6" s="108"/>
      <c r="C6" s="108"/>
      <c r="D6" s="109"/>
      <c r="E6" s="109"/>
      <c r="F6" s="110"/>
      <c r="G6" s="110"/>
      <c r="H6" s="111"/>
      <c r="I6" s="112" t="b">
        <v>0</v>
      </c>
    </row>
    <row r="7" ht="18.75" customHeight="1">
      <c r="A7" s="107"/>
      <c r="B7" s="108"/>
      <c r="C7" s="108"/>
      <c r="D7" s="109"/>
      <c r="E7" s="109"/>
      <c r="F7" s="110"/>
      <c r="G7" s="110"/>
      <c r="H7" s="111"/>
      <c r="I7" s="112" t="b">
        <v>0</v>
      </c>
    </row>
    <row r="8" ht="18.75" customHeight="1">
      <c r="A8" s="107"/>
      <c r="B8" s="108"/>
      <c r="C8" s="108"/>
      <c r="D8" s="109"/>
      <c r="E8" s="109"/>
      <c r="F8" s="110"/>
      <c r="G8" s="110"/>
      <c r="H8" s="111"/>
      <c r="I8" s="112" t="b">
        <v>0</v>
      </c>
    </row>
    <row r="9" ht="18.75" customHeight="1">
      <c r="A9" s="107"/>
      <c r="B9" s="108"/>
      <c r="C9" s="108"/>
      <c r="D9" s="109"/>
      <c r="E9" s="109"/>
      <c r="F9" s="110"/>
      <c r="G9" s="110"/>
      <c r="H9" s="111"/>
      <c r="I9" s="112" t="b">
        <v>0</v>
      </c>
    </row>
    <row r="10" ht="18.75" customHeight="1">
      <c r="A10" s="107"/>
      <c r="B10" s="108"/>
      <c r="C10" s="108"/>
      <c r="D10" s="109"/>
      <c r="E10" s="109"/>
      <c r="F10" s="110"/>
      <c r="G10" s="110"/>
      <c r="H10" s="111"/>
      <c r="I10" s="112" t="b">
        <v>0</v>
      </c>
    </row>
    <row r="11" ht="18.75" customHeight="1">
      <c r="A11" s="107"/>
      <c r="B11" s="108"/>
      <c r="C11" s="108"/>
      <c r="D11" s="109"/>
      <c r="E11" s="109"/>
      <c r="F11" s="110"/>
      <c r="G11" s="110"/>
      <c r="H11" s="111"/>
      <c r="I11" s="112" t="b">
        <v>0</v>
      </c>
    </row>
    <row r="12" ht="18.75" customHeight="1">
      <c r="A12" s="107"/>
      <c r="B12" s="108"/>
      <c r="C12" s="108"/>
      <c r="D12" s="109"/>
      <c r="E12" s="109"/>
      <c r="F12" s="110"/>
      <c r="G12" s="110"/>
      <c r="H12" s="111"/>
      <c r="I12" s="112" t="b">
        <v>0</v>
      </c>
    </row>
    <row r="13" ht="18.75" customHeight="1">
      <c r="A13" s="107"/>
      <c r="B13" s="108"/>
      <c r="C13" s="108"/>
      <c r="D13" s="109"/>
      <c r="E13" s="109"/>
      <c r="F13" s="110"/>
      <c r="G13" s="110"/>
      <c r="H13" s="111"/>
      <c r="I13" s="112" t="b">
        <v>0</v>
      </c>
    </row>
    <row r="14" ht="18.75" customHeight="1">
      <c r="A14" s="107"/>
      <c r="B14" s="108"/>
      <c r="C14" s="108"/>
      <c r="D14" s="109"/>
      <c r="E14" s="109"/>
      <c r="F14" s="110"/>
      <c r="G14" s="110"/>
      <c r="H14" s="111"/>
      <c r="I14" s="112" t="b">
        <v>0</v>
      </c>
    </row>
    <row r="15" ht="18.75" customHeight="1">
      <c r="A15" s="107"/>
      <c r="B15" s="108"/>
      <c r="C15" s="108"/>
      <c r="D15" s="109"/>
      <c r="E15" s="109"/>
      <c r="F15" s="110"/>
      <c r="G15" s="110"/>
      <c r="H15" s="111"/>
      <c r="I15" s="112" t="b">
        <v>0</v>
      </c>
    </row>
    <row r="16" ht="18.75" customHeight="1">
      <c r="A16" s="107"/>
      <c r="B16" s="108"/>
      <c r="C16" s="108"/>
      <c r="D16" s="109"/>
      <c r="E16" s="109"/>
      <c r="F16" s="110"/>
      <c r="G16" s="110"/>
      <c r="H16" s="111"/>
      <c r="I16" s="112" t="b">
        <v>0</v>
      </c>
    </row>
    <row r="17" ht="18.75" customHeight="1">
      <c r="A17" s="107"/>
      <c r="B17" s="108"/>
      <c r="C17" s="108"/>
      <c r="D17" s="109"/>
      <c r="E17" s="109"/>
      <c r="F17" s="110"/>
      <c r="G17" s="110"/>
      <c r="H17" s="111"/>
      <c r="I17" s="112" t="b">
        <v>0</v>
      </c>
    </row>
    <row r="18" ht="18.75" customHeight="1">
      <c r="A18" s="107"/>
      <c r="B18" s="108"/>
      <c r="C18" s="108"/>
      <c r="D18" s="109"/>
      <c r="E18" s="109"/>
      <c r="F18" s="110"/>
      <c r="G18" s="110"/>
      <c r="H18" s="111"/>
      <c r="I18" s="112" t="b">
        <v>0</v>
      </c>
    </row>
    <row r="19" ht="18.75" customHeight="1">
      <c r="A19" s="107"/>
      <c r="B19" s="108"/>
      <c r="C19" s="108"/>
      <c r="D19" s="109"/>
      <c r="E19" s="109"/>
      <c r="F19" s="110"/>
      <c r="G19" s="110"/>
      <c r="H19" s="111"/>
      <c r="I19" s="112" t="b">
        <v>0</v>
      </c>
    </row>
    <row r="20" ht="18.75" customHeight="1">
      <c r="A20" s="107"/>
      <c r="B20" s="108"/>
      <c r="C20" s="108"/>
      <c r="D20" s="109"/>
      <c r="E20" s="109"/>
      <c r="F20" s="110"/>
      <c r="G20" s="110"/>
      <c r="H20" s="111"/>
      <c r="I20" s="112" t="b">
        <v>0</v>
      </c>
    </row>
    <row r="21" ht="18.75" customHeight="1">
      <c r="A21" s="107"/>
      <c r="B21" s="108"/>
      <c r="C21" s="108"/>
      <c r="D21" s="109"/>
      <c r="E21" s="109"/>
      <c r="F21" s="110"/>
      <c r="G21" s="110"/>
      <c r="H21" s="111"/>
      <c r="I21" s="112" t="b">
        <v>0</v>
      </c>
    </row>
    <row r="22" ht="18.75" customHeight="1">
      <c r="A22" s="107"/>
      <c r="B22" s="108"/>
      <c r="C22" s="108"/>
      <c r="D22" s="109"/>
      <c r="E22" s="109"/>
      <c r="F22" s="110"/>
      <c r="G22" s="110"/>
      <c r="H22" s="111"/>
      <c r="I22" s="112" t="b">
        <v>0</v>
      </c>
    </row>
    <row r="23" ht="18.75" customHeight="1">
      <c r="A23" s="107"/>
      <c r="B23" s="108"/>
      <c r="C23" s="108"/>
      <c r="D23" s="109"/>
      <c r="E23" s="109"/>
      <c r="F23" s="110"/>
      <c r="G23" s="110"/>
      <c r="H23" s="111"/>
      <c r="I23" s="112" t="b">
        <v>0</v>
      </c>
    </row>
    <row r="24" ht="18.75" customHeight="1">
      <c r="A24" s="114"/>
      <c r="B24" s="108"/>
      <c r="C24" s="108"/>
      <c r="D24" s="109"/>
      <c r="E24" s="109"/>
      <c r="F24" s="110"/>
      <c r="G24" s="110"/>
      <c r="H24" s="111"/>
      <c r="I24" s="112" t="b">
        <v>0</v>
      </c>
    </row>
    <row r="25" ht="18.75" customHeight="1">
      <c r="A25" s="107"/>
      <c r="B25" s="108"/>
      <c r="C25" s="108"/>
      <c r="D25" s="109"/>
      <c r="E25" s="109"/>
      <c r="F25" s="110"/>
      <c r="G25" s="110"/>
      <c r="H25" s="111"/>
      <c r="I25" s="112" t="b">
        <v>0</v>
      </c>
    </row>
    <row r="26" ht="18.75" customHeight="1">
      <c r="A26" s="107"/>
      <c r="B26" s="108"/>
      <c r="C26" s="108"/>
      <c r="D26" s="109"/>
      <c r="E26" s="109"/>
      <c r="F26" s="110"/>
      <c r="G26" s="110"/>
      <c r="H26" s="111"/>
      <c r="I26" s="112" t="b">
        <v>0</v>
      </c>
    </row>
    <row r="27" ht="18.75" customHeight="1">
      <c r="A27" s="107"/>
      <c r="B27" s="108"/>
      <c r="C27" s="108"/>
      <c r="D27" s="109"/>
      <c r="E27" s="109"/>
      <c r="F27" s="110"/>
      <c r="G27" s="110"/>
      <c r="H27" s="111"/>
      <c r="I27" s="112" t="b">
        <v>0</v>
      </c>
    </row>
    <row r="28" ht="18.75" customHeight="1">
      <c r="A28" s="107"/>
      <c r="B28" s="108"/>
      <c r="C28" s="108"/>
      <c r="D28" s="109"/>
      <c r="E28" s="109"/>
      <c r="F28" s="115"/>
      <c r="G28" s="110"/>
      <c r="H28" s="111"/>
      <c r="I28" s="112" t="b">
        <v>0</v>
      </c>
    </row>
    <row r="29" ht="18.75" customHeight="1">
      <c r="A29" s="107"/>
      <c r="B29" s="108"/>
      <c r="C29" s="108"/>
      <c r="D29" s="109"/>
      <c r="E29" s="109"/>
      <c r="F29" s="110"/>
      <c r="G29" s="110"/>
      <c r="H29" s="111"/>
      <c r="I29" s="112" t="b">
        <v>0</v>
      </c>
    </row>
    <row r="30" ht="79.5" customHeight="1">
      <c r="A30" s="107"/>
      <c r="B30" s="108"/>
      <c r="C30" s="116"/>
      <c r="D30" s="117"/>
      <c r="E30" s="118"/>
      <c r="F30" s="110"/>
      <c r="G30" s="110"/>
      <c r="H30" s="110"/>
      <c r="I30" s="112" t="b">
        <v>0</v>
      </c>
    </row>
    <row r="31" ht="18.75" customHeight="1">
      <c r="A31" s="107"/>
      <c r="B31" s="108"/>
      <c r="C31" s="108"/>
      <c r="D31" s="109"/>
      <c r="E31" s="109"/>
      <c r="F31" s="110"/>
      <c r="G31" s="110"/>
      <c r="H31" s="111"/>
      <c r="I31" s="112" t="b">
        <v>0</v>
      </c>
    </row>
    <row r="32" ht="18.75" customHeight="1">
      <c r="A32" s="107"/>
      <c r="B32" s="108"/>
      <c r="C32" s="108"/>
      <c r="D32" s="109"/>
      <c r="E32" s="109"/>
      <c r="F32" s="110"/>
      <c r="G32" s="110"/>
      <c r="H32" s="111"/>
      <c r="I32" s="112" t="b">
        <v>0</v>
      </c>
    </row>
    <row r="33" ht="18.75" customHeight="1">
      <c r="A33" s="107"/>
      <c r="B33" s="108"/>
      <c r="C33" s="108"/>
      <c r="D33" s="109"/>
      <c r="E33" s="109"/>
      <c r="F33" s="110"/>
      <c r="G33" s="110"/>
      <c r="H33" s="111"/>
      <c r="I33" s="112" t="b">
        <v>0</v>
      </c>
    </row>
    <row r="34" ht="18.75" customHeight="1">
      <c r="A34" s="107"/>
      <c r="B34" s="108"/>
      <c r="C34" s="108"/>
      <c r="D34" s="109"/>
      <c r="E34" s="109"/>
      <c r="F34" s="110"/>
      <c r="G34" s="110"/>
      <c r="H34" s="111"/>
      <c r="I34" s="112" t="b">
        <v>0</v>
      </c>
    </row>
    <row r="35" ht="18.75" customHeight="1">
      <c r="A35" s="107"/>
      <c r="B35" s="108"/>
      <c r="C35" s="108"/>
      <c r="D35" s="109"/>
      <c r="E35" s="109"/>
      <c r="F35" s="110"/>
      <c r="G35" s="110"/>
      <c r="H35" s="111"/>
      <c r="I35" s="112" t="b">
        <v>0</v>
      </c>
    </row>
    <row r="36" ht="18.75" customHeight="1">
      <c r="A36" s="107"/>
      <c r="B36" s="108"/>
      <c r="C36" s="108"/>
      <c r="D36" s="109"/>
      <c r="E36" s="109"/>
      <c r="F36" s="110"/>
      <c r="G36" s="110"/>
      <c r="H36" s="111"/>
      <c r="I36" s="112" t="b">
        <v>0</v>
      </c>
    </row>
    <row r="37" ht="18.75" customHeight="1">
      <c r="A37" s="107"/>
      <c r="B37" s="108"/>
      <c r="C37" s="108"/>
      <c r="D37" s="109"/>
      <c r="E37" s="109"/>
      <c r="F37" s="110"/>
      <c r="G37" s="110"/>
      <c r="H37" s="111"/>
      <c r="I37" s="112" t="b">
        <v>0</v>
      </c>
    </row>
    <row r="38" ht="18.75" customHeight="1">
      <c r="A38" s="107"/>
      <c r="B38" s="108"/>
      <c r="C38" s="108"/>
      <c r="D38" s="109"/>
      <c r="E38" s="109"/>
      <c r="F38" s="110"/>
      <c r="G38" s="110"/>
      <c r="H38" s="111"/>
      <c r="I38" s="112" t="b">
        <v>0</v>
      </c>
    </row>
    <row r="39" ht="18.75" customHeight="1">
      <c r="A39" s="107"/>
      <c r="B39" s="108"/>
      <c r="C39" s="108"/>
      <c r="D39" s="109"/>
      <c r="E39" s="109"/>
      <c r="F39" s="110"/>
      <c r="G39" s="110"/>
      <c r="H39" s="111"/>
      <c r="I39" s="112" t="b">
        <v>0</v>
      </c>
    </row>
    <row r="40" ht="18.75" customHeight="1">
      <c r="A40" s="107"/>
      <c r="B40" s="108"/>
      <c r="C40" s="108"/>
      <c r="D40" s="109"/>
      <c r="E40" s="109"/>
      <c r="F40" s="110"/>
      <c r="G40" s="110"/>
      <c r="H40" s="111"/>
      <c r="I40" s="112" t="b">
        <v>0</v>
      </c>
    </row>
    <row r="41" ht="18.75" customHeight="1">
      <c r="A41" s="107"/>
      <c r="B41" s="108"/>
      <c r="C41" s="108"/>
      <c r="D41" s="108"/>
      <c r="E41" s="109"/>
      <c r="F41" s="110"/>
      <c r="G41" s="110"/>
      <c r="H41" s="111"/>
      <c r="I41" s="112" t="b">
        <v>0</v>
      </c>
    </row>
    <row r="42" ht="18.75" customHeight="1">
      <c r="A42" s="107"/>
      <c r="B42" s="108"/>
      <c r="C42" s="108"/>
      <c r="D42" s="108"/>
      <c r="E42" s="113"/>
      <c r="F42" s="110"/>
      <c r="G42" s="110"/>
      <c r="H42" s="111"/>
      <c r="I42" s="112" t="b">
        <v>0</v>
      </c>
    </row>
    <row r="43" ht="18.75" customHeight="1">
      <c r="A43" s="107"/>
      <c r="B43" s="108"/>
      <c r="C43" s="108"/>
      <c r="D43" s="108"/>
      <c r="E43" s="109"/>
      <c r="F43" s="110"/>
      <c r="G43" s="110"/>
      <c r="H43" s="111"/>
      <c r="I43" s="112" t="b">
        <v>0</v>
      </c>
    </row>
    <row r="44" ht="18.75" customHeight="1">
      <c r="A44" s="107"/>
      <c r="B44" s="108"/>
      <c r="C44" s="108"/>
      <c r="D44" s="108"/>
      <c r="E44" s="109"/>
      <c r="F44" s="110"/>
      <c r="G44" s="110"/>
      <c r="H44" s="111"/>
      <c r="I44" s="112" t="b">
        <v>0</v>
      </c>
    </row>
    <row r="45" ht="18.75" customHeight="1">
      <c r="A45" s="107"/>
      <c r="B45" s="108"/>
      <c r="C45" s="108"/>
      <c r="D45" s="108"/>
      <c r="E45" s="109"/>
      <c r="F45" s="110"/>
      <c r="G45" s="110"/>
      <c r="H45" s="111"/>
      <c r="I45" s="112" t="b">
        <v>0</v>
      </c>
    </row>
    <row r="46" ht="18.75" customHeight="1">
      <c r="A46" s="107"/>
      <c r="B46" s="108"/>
      <c r="C46" s="108"/>
      <c r="D46" s="108"/>
      <c r="E46" s="109"/>
      <c r="F46" s="110"/>
      <c r="G46" s="110"/>
      <c r="H46" s="111"/>
      <c r="I46" s="112" t="b">
        <v>0</v>
      </c>
    </row>
    <row r="47" ht="18.75" customHeight="1">
      <c r="A47" s="107"/>
      <c r="B47" s="108"/>
      <c r="C47" s="108"/>
      <c r="D47" s="108"/>
      <c r="E47" s="119"/>
      <c r="F47" s="110"/>
      <c r="G47" s="110"/>
      <c r="H47" s="111"/>
      <c r="I47" s="112" t="b">
        <v>0</v>
      </c>
    </row>
    <row r="48" ht="18.75" customHeight="1">
      <c r="A48" s="107"/>
      <c r="B48" s="108"/>
      <c r="C48" s="108"/>
      <c r="D48" s="108"/>
      <c r="E48" s="119"/>
      <c r="F48" s="110"/>
      <c r="G48" s="110"/>
      <c r="H48" s="111"/>
      <c r="I48" s="112" t="b">
        <v>0</v>
      </c>
    </row>
    <row r="49" ht="18.75" customHeight="1">
      <c r="A49" s="107"/>
      <c r="B49" s="108"/>
      <c r="C49" s="108"/>
      <c r="D49" s="108"/>
      <c r="E49" s="109"/>
      <c r="F49" s="110"/>
      <c r="G49" s="110"/>
      <c r="H49" s="111"/>
      <c r="I49" s="112" t="b">
        <v>0</v>
      </c>
    </row>
    <row r="50" ht="18.75" customHeight="1">
      <c r="A50" s="107"/>
      <c r="B50" s="108"/>
      <c r="C50" s="108"/>
      <c r="D50" s="108"/>
      <c r="E50" s="109"/>
      <c r="F50" s="110"/>
      <c r="G50" s="110"/>
      <c r="H50" s="111"/>
      <c r="I50" s="112" t="b">
        <v>0</v>
      </c>
    </row>
    <row r="51" ht="18.75" customHeight="1">
      <c r="A51" s="107"/>
      <c r="B51" s="108"/>
      <c r="C51" s="108"/>
      <c r="D51" s="108"/>
      <c r="E51" s="109"/>
      <c r="F51" s="110"/>
      <c r="G51" s="110"/>
      <c r="H51" s="111"/>
      <c r="I51" s="112" t="b">
        <v>0</v>
      </c>
    </row>
    <row r="52" ht="18.75" customHeight="1">
      <c r="A52" s="107"/>
      <c r="B52" s="108"/>
      <c r="C52" s="108"/>
      <c r="D52" s="108"/>
      <c r="E52" s="109"/>
      <c r="F52" s="110"/>
      <c r="G52" s="110"/>
      <c r="H52" s="111"/>
      <c r="I52" s="112" t="b">
        <v>0</v>
      </c>
    </row>
    <row r="53" ht="18.75" customHeight="1">
      <c r="A53" s="120"/>
      <c r="B53" s="121"/>
      <c r="C53" s="121"/>
      <c r="D53" s="121"/>
      <c r="E53" s="109"/>
      <c r="F53" s="110"/>
      <c r="G53" s="110"/>
      <c r="H53" s="111"/>
      <c r="I53" s="112" t="b">
        <v>0</v>
      </c>
    </row>
    <row r="54" ht="18.75" customHeight="1">
      <c r="A54" s="120"/>
      <c r="B54" s="121"/>
      <c r="C54" s="121"/>
      <c r="D54" s="121"/>
      <c r="E54" s="109"/>
      <c r="F54" s="110"/>
      <c r="G54" s="110"/>
      <c r="H54" s="111"/>
      <c r="I54" s="112" t="b">
        <v>0</v>
      </c>
    </row>
    <row r="55" ht="18.75" customHeight="1">
      <c r="A55" s="120"/>
      <c r="B55" s="121"/>
      <c r="C55" s="121"/>
      <c r="D55" s="121"/>
      <c r="E55" s="109"/>
      <c r="F55" s="110"/>
      <c r="G55" s="110"/>
      <c r="H55" s="111"/>
      <c r="I55" s="112" t="b">
        <v>0</v>
      </c>
    </row>
    <row r="56" ht="18.75" customHeight="1">
      <c r="A56" s="120"/>
      <c r="B56" s="121"/>
      <c r="C56" s="121"/>
      <c r="D56" s="121"/>
      <c r="E56" s="109"/>
      <c r="F56" s="110"/>
      <c r="G56" s="110"/>
      <c r="H56" s="111"/>
      <c r="I56" s="112" t="b">
        <v>0</v>
      </c>
    </row>
    <row r="57" ht="18.75" customHeight="1">
      <c r="A57" s="120"/>
      <c r="B57" s="121"/>
      <c r="C57" s="121"/>
      <c r="D57" s="121"/>
      <c r="E57" s="109"/>
      <c r="F57" s="110"/>
      <c r="G57" s="110"/>
      <c r="H57" s="111"/>
      <c r="I57" s="112" t="b">
        <v>0</v>
      </c>
    </row>
    <row r="58" ht="18.75" customHeight="1">
      <c r="A58" s="120"/>
      <c r="B58" s="121"/>
      <c r="C58" s="121"/>
      <c r="D58" s="121"/>
      <c r="E58" s="122"/>
      <c r="F58" s="110"/>
      <c r="G58" s="110"/>
      <c r="H58" s="111"/>
      <c r="I58" s="112" t="b">
        <v>0</v>
      </c>
    </row>
    <row r="59" ht="18.75" customHeight="1">
      <c r="A59" s="120"/>
      <c r="B59" s="121"/>
      <c r="C59" s="121"/>
      <c r="D59" s="121"/>
      <c r="E59" s="123"/>
      <c r="F59" s="110"/>
      <c r="G59" s="110"/>
      <c r="H59" s="111"/>
      <c r="I59" s="112" t="b">
        <v>0</v>
      </c>
    </row>
    <row r="60" ht="18.75" customHeight="1">
      <c r="A60" s="120"/>
      <c r="B60" s="121"/>
      <c r="C60" s="121"/>
      <c r="D60" s="121"/>
      <c r="E60" s="110"/>
      <c r="F60" s="110"/>
      <c r="G60" s="110"/>
      <c r="H60" s="111"/>
      <c r="I60" s="112" t="b">
        <v>0</v>
      </c>
    </row>
    <row r="61" ht="18.75" customHeight="1">
      <c r="A61" s="120"/>
      <c r="B61" s="121"/>
      <c r="C61" s="121"/>
      <c r="D61" s="121"/>
      <c r="E61" s="122"/>
      <c r="F61" s="110"/>
      <c r="G61" s="110"/>
      <c r="H61" s="111"/>
      <c r="I61" s="112" t="b">
        <v>0</v>
      </c>
    </row>
    <row r="62" ht="18.75" customHeight="1">
      <c r="A62" s="120"/>
      <c r="B62" s="121"/>
      <c r="C62" s="121"/>
      <c r="D62" s="121"/>
      <c r="E62" s="122"/>
      <c r="F62" s="110"/>
      <c r="G62" s="110"/>
      <c r="H62" s="111"/>
      <c r="I62" s="112" t="b">
        <v>0</v>
      </c>
    </row>
    <row r="63" ht="18.75" customHeight="1">
      <c r="A63" s="120"/>
      <c r="B63" s="121"/>
      <c r="C63" s="121"/>
      <c r="D63" s="121"/>
      <c r="E63" s="110"/>
      <c r="F63" s="110"/>
      <c r="G63" s="110"/>
      <c r="H63" s="111"/>
      <c r="I63" s="112" t="b">
        <v>0</v>
      </c>
    </row>
    <row r="64" ht="18.75" customHeight="1">
      <c r="A64" s="120"/>
      <c r="B64" s="121"/>
      <c r="C64" s="121"/>
      <c r="D64" s="121"/>
      <c r="E64" s="110"/>
      <c r="F64" s="110"/>
      <c r="G64" s="110"/>
      <c r="H64" s="111"/>
      <c r="I64" s="112" t="b">
        <v>0</v>
      </c>
    </row>
    <row r="65" ht="18.75" customHeight="1">
      <c r="A65" s="120"/>
      <c r="B65" s="121"/>
      <c r="C65" s="121"/>
      <c r="D65" s="121"/>
      <c r="E65" s="110"/>
      <c r="F65" s="110"/>
      <c r="G65" s="110"/>
      <c r="H65" s="111"/>
      <c r="I65" s="112" t="b">
        <v>0</v>
      </c>
    </row>
    <row r="66" ht="18.75" customHeight="1">
      <c r="A66" s="120"/>
      <c r="B66" s="121"/>
      <c r="C66" s="121"/>
      <c r="D66" s="121"/>
      <c r="E66" s="110"/>
      <c r="F66" s="110"/>
      <c r="G66" s="110"/>
      <c r="H66" s="111"/>
      <c r="I66" s="112" t="b">
        <v>0</v>
      </c>
    </row>
    <row r="67" ht="18.75" customHeight="1">
      <c r="A67" s="120"/>
      <c r="B67" s="121"/>
      <c r="C67" s="121"/>
      <c r="D67" s="121"/>
      <c r="E67" s="110"/>
      <c r="F67" s="110"/>
      <c r="G67" s="110"/>
      <c r="H67" s="111"/>
      <c r="I67" s="112" t="b">
        <v>0</v>
      </c>
    </row>
    <row r="68" ht="18.75" customHeight="1">
      <c r="A68" s="120"/>
      <c r="B68" s="121"/>
      <c r="C68" s="121"/>
      <c r="D68" s="121"/>
      <c r="E68" s="110"/>
      <c r="F68" s="110"/>
      <c r="G68" s="110"/>
      <c r="H68" s="111"/>
      <c r="I68" s="112" t="b">
        <v>0</v>
      </c>
    </row>
    <row r="69" ht="18.75" customHeight="1">
      <c r="A69" s="120"/>
      <c r="B69" s="121"/>
      <c r="C69" s="121"/>
      <c r="D69" s="121"/>
      <c r="E69" s="110"/>
      <c r="F69" s="110"/>
      <c r="G69" s="110"/>
      <c r="H69" s="111"/>
      <c r="I69" s="112" t="b">
        <v>0</v>
      </c>
    </row>
    <row r="70" ht="18.75" customHeight="1">
      <c r="A70" s="120"/>
      <c r="B70" s="121"/>
      <c r="C70" s="121"/>
      <c r="D70" s="121"/>
      <c r="E70" s="110"/>
      <c r="F70" s="110"/>
      <c r="G70" s="110"/>
      <c r="H70" s="111"/>
      <c r="I70" s="112" t="b">
        <v>0</v>
      </c>
    </row>
    <row r="71" ht="18.75" customHeight="1">
      <c r="A71" s="120"/>
      <c r="B71" s="121"/>
      <c r="C71" s="121"/>
      <c r="D71" s="121"/>
      <c r="E71" s="110"/>
      <c r="F71" s="110"/>
      <c r="G71" s="110"/>
      <c r="H71" s="111"/>
      <c r="I71" s="112" t="b">
        <v>0</v>
      </c>
    </row>
    <row r="72" ht="18.75" customHeight="1">
      <c r="A72" s="120"/>
      <c r="B72" s="121"/>
      <c r="C72" s="121"/>
      <c r="D72" s="121"/>
      <c r="E72" s="110"/>
      <c r="F72" s="110"/>
      <c r="G72" s="110"/>
      <c r="H72" s="111"/>
      <c r="I72" s="112" t="b">
        <v>0</v>
      </c>
    </row>
    <row r="73" ht="18.75" customHeight="1">
      <c r="A73" s="120"/>
      <c r="B73" s="121"/>
      <c r="C73" s="121"/>
      <c r="D73" s="121"/>
      <c r="E73" s="110"/>
      <c r="F73" s="110"/>
      <c r="G73" s="110"/>
      <c r="H73" s="111"/>
      <c r="I73" s="112" t="b">
        <v>0</v>
      </c>
    </row>
    <row r="74" ht="18.75" customHeight="1">
      <c r="A74" s="120"/>
      <c r="B74" s="121"/>
      <c r="C74" s="121"/>
      <c r="D74" s="121"/>
      <c r="E74" s="110"/>
      <c r="F74" s="110"/>
      <c r="G74" s="110"/>
      <c r="H74" s="111"/>
      <c r="I74" s="112" t="b">
        <v>0</v>
      </c>
    </row>
    <row r="75" ht="18.75" customHeight="1">
      <c r="A75" s="120"/>
      <c r="B75" s="121"/>
      <c r="C75" s="121"/>
      <c r="D75" s="121"/>
      <c r="E75" s="110"/>
      <c r="F75" s="110"/>
      <c r="G75" s="110"/>
      <c r="H75" s="111"/>
      <c r="I75" s="112" t="b">
        <v>0</v>
      </c>
    </row>
    <row r="76" ht="18.75" customHeight="1">
      <c r="A76" s="120"/>
      <c r="B76" s="121"/>
      <c r="C76" s="121"/>
      <c r="D76" s="121"/>
      <c r="E76" s="110"/>
      <c r="F76" s="110"/>
      <c r="G76" s="110"/>
      <c r="H76" s="111"/>
      <c r="I76" s="112" t="b">
        <v>0</v>
      </c>
    </row>
    <row r="77" ht="18.75" customHeight="1">
      <c r="A77" s="120"/>
      <c r="B77" s="121"/>
      <c r="C77" s="121"/>
      <c r="D77" s="121"/>
      <c r="E77" s="110"/>
      <c r="F77" s="110"/>
      <c r="G77" s="110"/>
      <c r="H77" s="111"/>
      <c r="I77" s="112" t="b">
        <v>0</v>
      </c>
    </row>
    <row r="78" ht="18.75" customHeight="1">
      <c r="A78" s="120"/>
      <c r="B78" s="121"/>
      <c r="C78" s="121"/>
      <c r="D78" s="121"/>
      <c r="E78" s="110"/>
      <c r="F78" s="110"/>
      <c r="G78" s="110"/>
      <c r="H78" s="111"/>
      <c r="I78" s="112" t="b">
        <v>0</v>
      </c>
    </row>
    <row r="79" ht="18.75" customHeight="1">
      <c r="A79" s="120"/>
      <c r="B79" s="121"/>
      <c r="C79" s="121"/>
      <c r="D79" s="121"/>
      <c r="E79" s="110"/>
      <c r="F79" s="110"/>
      <c r="G79" s="110"/>
      <c r="H79" s="111"/>
      <c r="I79" s="112" t="b">
        <v>0</v>
      </c>
    </row>
    <row r="80" ht="18.75" customHeight="1">
      <c r="A80" s="120"/>
      <c r="B80" s="121"/>
      <c r="C80" s="121"/>
      <c r="D80" s="121"/>
      <c r="E80" s="110"/>
      <c r="F80" s="110"/>
      <c r="G80" s="110"/>
      <c r="H80" s="111"/>
      <c r="I80" s="112" t="b">
        <v>0</v>
      </c>
    </row>
    <row r="81" ht="18.75" customHeight="1">
      <c r="A81" s="120"/>
      <c r="B81" s="121"/>
      <c r="C81" s="121"/>
      <c r="D81" s="121"/>
      <c r="E81" s="110"/>
      <c r="F81" s="110"/>
      <c r="G81" s="110"/>
      <c r="H81" s="111"/>
      <c r="I81" s="112" t="b">
        <v>0</v>
      </c>
    </row>
    <row r="82" ht="18.75" customHeight="1">
      <c r="A82" s="120"/>
      <c r="B82" s="121"/>
      <c r="C82" s="121"/>
      <c r="D82" s="121"/>
      <c r="E82" s="110"/>
      <c r="F82" s="110"/>
      <c r="G82" s="110"/>
      <c r="H82" s="111"/>
      <c r="I82" s="112" t="b">
        <v>0</v>
      </c>
    </row>
    <row r="83" ht="18.75" customHeight="1">
      <c r="A83" s="120"/>
      <c r="B83" s="121"/>
      <c r="C83" s="121"/>
      <c r="D83" s="121"/>
      <c r="E83" s="110"/>
      <c r="F83" s="110"/>
      <c r="G83" s="110"/>
      <c r="H83" s="111"/>
      <c r="I83" s="112" t="b">
        <v>0</v>
      </c>
    </row>
    <row r="84" ht="18.75" customHeight="1">
      <c r="A84" s="120"/>
      <c r="B84" s="121"/>
      <c r="C84" s="121"/>
      <c r="D84" s="121"/>
      <c r="E84" s="110"/>
      <c r="F84" s="110"/>
      <c r="G84" s="110"/>
      <c r="H84" s="111"/>
      <c r="I84" s="112" t="b">
        <v>0</v>
      </c>
    </row>
    <row r="85" ht="18.75" customHeight="1">
      <c r="A85" s="120"/>
      <c r="B85" s="121"/>
      <c r="C85" s="121"/>
      <c r="D85" s="121"/>
      <c r="E85" s="110"/>
      <c r="F85" s="110"/>
      <c r="G85" s="110"/>
      <c r="H85" s="111"/>
      <c r="I85" s="112" t="b">
        <v>0</v>
      </c>
    </row>
    <row r="86" ht="18.75" customHeight="1">
      <c r="A86" s="120"/>
      <c r="B86" s="121"/>
      <c r="C86" s="121"/>
      <c r="D86" s="121"/>
      <c r="E86" s="110"/>
      <c r="F86" s="110"/>
      <c r="G86" s="110"/>
      <c r="H86" s="111"/>
      <c r="I86" s="112" t="b">
        <v>0</v>
      </c>
    </row>
    <row r="87" ht="18.75" customHeight="1">
      <c r="A87" s="120"/>
      <c r="B87" s="121"/>
      <c r="C87" s="121"/>
      <c r="D87" s="121"/>
      <c r="E87" s="110"/>
      <c r="F87" s="110"/>
      <c r="G87" s="110"/>
      <c r="H87" s="111"/>
      <c r="I87" s="112" t="b">
        <v>0</v>
      </c>
    </row>
    <row r="88" ht="18.75" customHeight="1">
      <c r="A88" s="120"/>
      <c r="B88" s="121"/>
      <c r="C88" s="121"/>
      <c r="D88" s="121"/>
      <c r="E88" s="110"/>
      <c r="F88" s="110"/>
      <c r="G88" s="110"/>
      <c r="H88" s="111"/>
      <c r="I88" s="112" t="b">
        <v>0</v>
      </c>
    </row>
    <row r="89" ht="18.75" customHeight="1">
      <c r="A89" s="120"/>
      <c r="B89" s="121"/>
      <c r="C89" s="121"/>
      <c r="D89" s="121"/>
      <c r="E89" s="110"/>
      <c r="F89" s="110"/>
      <c r="G89" s="110"/>
      <c r="H89" s="111"/>
      <c r="I89" s="112" t="b">
        <v>0</v>
      </c>
    </row>
    <row r="90" ht="18.75" customHeight="1">
      <c r="A90" s="120"/>
      <c r="B90" s="121"/>
      <c r="C90" s="121"/>
      <c r="D90" s="121"/>
      <c r="E90" s="110"/>
      <c r="F90" s="110"/>
      <c r="G90" s="110"/>
      <c r="H90" s="111"/>
      <c r="I90" s="112" t="b">
        <v>0</v>
      </c>
    </row>
    <row r="91" ht="18.75" customHeight="1">
      <c r="A91" s="107"/>
      <c r="B91" s="108"/>
      <c r="C91" s="108"/>
      <c r="D91" s="108"/>
      <c r="E91" s="124"/>
      <c r="F91" s="124"/>
      <c r="G91" s="110"/>
      <c r="H91" s="125"/>
      <c r="I91" s="112" t="b">
        <v>0</v>
      </c>
    </row>
    <row r="92" ht="18.75" customHeight="1">
      <c r="A92" s="120"/>
      <c r="B92" s="121"/>
      <c r="C92" s="121"/>
      <c r="D92" s="121"/>
      <c r="E92" s="110"/>
      <c r="F92" s="110"/>
      <c r="G92" s="110"/>
      <c r="H92" s="125"/>
      <c r="I92" s="112" t="b">
        <v>0</v>
      </c>
    </row>
    <row r="93" ht="18.75" customHeight="1">
      <c r="A93" s="120"/>
      <c r="B93" s="121"/>
      <c r="C93" s="121"/>
      <c r="D93" s="121"/>
      <c r="E93" s="110"/>
      <c r="F93" s="110"/>
      <c r="G93" s="110"/>
      <c r="H93" s="125"/>
      <c r="I93" s="112" t="b">
        <v>0</v>
      </c>
    </row>
    <row r="94" ht="18.75" customHeight="1">
      <c r="A94" s="120"/>
      <c r="B94" s="121"/>
      <c r="C94" s="121"/>
      <c r="D94" s="121"/>
      <c r="E94" s="110"/>
      <c r="F94" s="110"/>
      <c r="G94" s="110"/>
      <c r="H94" s="125"/>
      <c r="I94" s="112" t="b">
        <v>0</v>
      </c>
    </row>
    <row r="95" ht="18.75" customHeight="1">
      <c r="A95" s="120"/>
      <c r="B95" s="121"/>
      <c r="C95" s="121"/>
      <c r="D95" s="121"/>
      <c r="E95" s="110"/>
      <c r="F95" s="110"/>
      <c r="G95" s="110"/>
      <c r="H95" s="125"/>
      <c r="I95" s="112" t="b">
        <v>0</v>
      </c>
    </row>
    <row r="96" ht="18.75" customHeight="1">
      <c r="A96" s="120"/>
      <c r="B96" s="121"/>
      <c r="C96" s="121"/>
      <c r="D96" s="121"/>
      <c r="E96" s="110"/>
      <c r="F96" s="110"/>
      <c r="G96" s="110"/>
      <c r="H96" s="125"/>
      <c r="I96" s="112" t="b">
        <v>0</v>
      </c>
    </row>
    <row r="97" ht="18.75" customHeight="1">
      <c r="A97" s="120"/>
      <c r="B97" s="121"/>
      <c r="C97" s="121"/>
      <c r="D97" s="121"/>
      <c r="E97" s="110"/>
      <c r="F97" s="110"/>
      <c r="G97" s="110"/>
      <c r="H97" s="125"/>
      <c r="I97" s="112" t="b">
        <v>0</v>
      </c>
    </row>
    <row r="98" ht="18.75" customHeight="1">
      <c r="A98" s="120"/>
      <c r="B98" s="121"/>
      <c r="C98" s="121"/>
      <c r="D98" s="121"/>
      <c r="E98" s="110"/>
      <c r="F98" s="110"/>
      <c r="G98" s="110"/>
      <c r="H98" s="125"/>
      <c r="I98" s="112" t="b">
        <v>0</v>
      </c>
    </row>
    <row r="99" ht="18.75" customHeight="1">
      <c r="A99" s="120"/>
      <c r="B99" s="121"/>
      <c r="C99" s="121"/>
      <c r="D99" s="121"/>
      <c r="E99" s="110"/>
      <c r="F99" s="110"/>
      <c r="G99" s="110"/>
      <c r="H99" s="125"/>
      <c r="I99" s="112" t="b">
        <v>0</v>
      </c>
    </row>
    <row r="100" ht="18.75" customHeight="1">
      <c r="A100" s="120"/>
      <c r="B100" s="121"/>
      <c r="C100" s="121"/>
      <c r="D100" s="121"/>
      <c r="E100" s="110"/>
      <c r="F100" s="110"/>
      <c r="G100" s="110"/>
      <c r="H100" s="125"/>
      <c r="I100" s="112" t="b">
        <v>0</v>
      </c>
    </row>
    <row r="101" ht="18.75" customHeight="1">
      <c r="A101" s="120"/>
      <c r="B101" s="121"/>
      <c r="C101" s="121"/>
      <c r="D101" s="121"/>
      <c r="E101" s="110"/>
      <c r="F101" s="110"/>
      <c r="G101" s="110"/>
      <c r="H101" s="125"/>
      <c r="I101" s="112" t="b">
        <v>0</v>
      </c>
    </row>
    <row r="102" ht="18.75" customHeight="1">
      <c r="A102" s="120"/>
      <c r="B102" s="121"/>
      <c r="C102" s="121"/>
      <c r="D102" s="121"/>
      <c r="E102" s="110"/>
      <c r="F102" s="110"/>
      <c r="G102" s="110"/>
      <c r="H102" s="125"/>
      <c r="I102" s="112" t="b">
        <v>0</v>
      </c>
    </row>
    <row r="103" ht="18.75" customHeight="1">
      <c r="A103" s="120"/>
      <c r="B103" s="121"/>
      <c r="C103" s="121"/>
      <c r="D103" s="121"/>
      <c r="E103" s="110"/>
      <c r="F103" s="110"/>
      <c r="G103" s="110"/>
      <c r="H103" s="125"/>
      <c r="I103" s="112" t="b">
        <v>0</v>
      </c>
    </row>
    <row r="104" ht="18.75" customHeight="1">
      <c r="A104" s="120"/>
      <c r="B104" s="121"/>
      <c r="C104" s="121"/>
      <c r="D104" s="121"/>
      <c r="E104" s="110"/>
      <c r="F104" s="110"/>
      <c r="G104" s="110"/>
      <c r="H104" s="125"/>
      <c r="I104" s="112" t="b">
        <v>0</v>
      </c>
    </row>
    <row r="105" ht="18.75" customHeight="1">
      <c r="A105" s="120"/>
      <c r="B105" s="121"/>
      <c r="C105" s="121"/>
      <c r="D105" s="121"/>
      <c r="E105" s="110"/>
      <c r="F105" s="110"/>
      <c r="G105" s="110"/>
      <c r="H105" s="125"/>
      <c r="I105" s="112" t="b">
        <v>0</v>
      </c>
    </row>
    <row r="106" ht="18.75" customHeight="1">
      <c r="A106" s="120"/>
      <c r="B106" s="121"/>
      <c r="C106" s="121"/>
      <c r="D106" s="121"/>
      <c r="E106" s="110"/>
      <c r="F106" s="110"/>
      <c r="G106" s="110"/>
      <c r="H106" s="125"/>
      <c r="I106" s="112" t="b">
        <v>0</v>
      </c>
    </row>
    <row r="107" ht="18.75" customHeight="1">
      <c r="A107" s="120"/>
      <c r="B107" s="121"/>
      <c r="C107" s="121"/>
      <c r="D107" s="121"/>
      <c r="E107" s="110"/>
      <c r="F107" s="110"/>
      <c r="G107" s="110"/>
      <c r="H107" s="125"/>
      <c r="I107" s="112" t="b">
        <v>0</v>
      </c>
    </row>
    <row r="108" ht="18.75" customHeight="1">
      <c r="A108" s="120"/>
      <c r="B108" s="121"/>
      <c r="C108" s="121"/>
      <c r="D108" s="121"/>
      <c r="E108" s="110"/>
      <c r="F108" s="110"/>
      <c r="G108" s="110"/>
      <c r="H108" s="125"/>
      <c r="I108" s="112" t="b">
        <v>0</v>
      </c>
    </row>
    <row r="109" ht="18.75" customHeight="1">
      <c r="A109" s="120"/>
      <c r="B109" s="121"/>
      <c r="C109" s="121"/>
      <c r="D109" s="121"/>
      <c r="E109" s="110"/>
      <c r="F109" s="110"/>
      <c r="G109" s="110"/>
      <c r="H109" s="125"/>
      <c r="I109" s="112" t="b">
        <v>0</v>
      </c>
    </row>
    <row r="110" ht="18.75" customHeight="1">
      <c r="A110" s="120"/>
      <c r="B110" s="126"/>
      <c r="C110" s="126"/>
      <c r="D110" s="126"/>
      <c r="E110" s="110"/>
      <c r="F110" s="110"/>
      <c r="G110" s="110"/>
      <c r="H110" s="125"/>
      <c r="I110" s="112" t="b">
        <v>0</v>
      </c>
    </row>
    <row r="111" ht="18.75" customHeight="1">
      <c r="A111" s="120"/>
      <c r="B111" s="126"/>
      <c r="C111" s="126"/>
      <c r="D111" s="126"/>
      <c r="E111" s="110"/>
      <c r="F111" s="110"/>
      <c r="G111" s="110"/>
      <c r="H111" s="125"/>
      <c r="I111" s="112" t="b">
        <v>0</v>
      </c>
    </row>
    <row r="112" ht="18.75" customHeight="1">
      <c r="A112" s="120"/>
      <c r="B112" s="121"/>
      <c r="C112" s="121"/>
      <c r="D112" s="121"/>
      <c r="E112" s="110"/>
      <c r="F112" s="110"/>
      <c r="G112" s="110"/>
      <c r="H112" s="125"/>
      <c r="I112" s="112" t="b">
        <v>0</v>
      </c>
    </row>
    <row r="113" ht="18.75" customHeight="1">
      <c r="A113" s="120"/>
      <c r="B113" s="121"/>
      <c r="C113" s="121"/>
      <c r="D113" s="121"/>
      <c r="E113" s="110"/>
      <c r="F113" s="110"/>
      <c r="G113" s="110"/>
      <c r="H113" s="125"/>
      <c r="I113" s="112" t="b">
        <v>0</v>
      </c>
    </row>
    <row r="114" ht="18.75" customHeight="1">
      <c r="A114" s="120"/>
      <c r="B114" s="121"/>
      <c r="C114" s="121"/>
      <c r="D114" s="121"/>
      <c r="E114" s="110"/>
      <c r="F114" s="110"/>
      <c r="G114" s="110"/>
      <c r="H114" s="125"/>
      <c r="I114" s="112" t="b">
        <v>0</v>
      </c>
    </row>
    <row r="115" ht="18.75" customHeight="1">
      <c r="A115" s="120"/>
      <c r="B115" s="121"/>
      <c r="C115" s="121"/>
      <c r="D115" s="121"/>
      <c r="E115" s="110"/>
      <c r="F115" s="110"/>
      <c r="G115" s="110"/>
      <c r="H115" s="125"/>
      <c r="I115" s="112" t="b">
        <v>0</v>
      </c>
    </row>
    <row r="116" ht="18.75" customHeight="1">
      <c r="A116" s="120"/>
      <c r="B116" s="121"/>
      <c r="C116" s="121"/>
      <c r="D116" s="121"/>
      <c r="E116" s="127"/>
      <c r="F116" s="110"/>
      <c r="G116" s="110"/>
      <c r="H116" s="125"/>
      <c r="I116" s="112" t="b">
        <v>0</v>
      </c>
    </row>
    <row r="117" ht="18.75" customHeight="1">
      <c r="A117" s="120"/>
      <c r="B117" s="121"/>
      <c r="C117" s="121"/>
      <c r="D117" s="121"/>
      <c r="E117" s="110"/>
      <c r="F117" s="110"/>
      <c r="G117" s="110"/>
      <c r="H117" s="125"/>
      <c r="I117" s="112" t="b">
        <v>0</v>
      </c>
    </row>
    <row r="118" ht="18.75" customHeight="1">
      <c r="A118" s="120"/>
      <c r="B118" s="121"/>
      <c r="C118" s="121"/>
      <c r="D118" s="121"/>
      <c r="E118" s="110"/>
      <c r="F118" s="110"/>
      <c r="G118" s="110"/>
      <c r="H118" s="125"/>
      <c r="I118" s="112" t="b">
        <v>0</v>
      </c>
    </row>
    <row r="119" ht="18.75" customHeight="1">
      <c r="A119" s="120"/>
      <c r="B119" s="121"/>
      <c r="C119" s="121"/>
      <c r="D119" s="121"/>
      <c r="E119" s="110"/>
      <c r="F119" s="110"/>
      <c r="G119" s="110"/>
      <c r="H119" s="125"/>
      <c r="I119" s="112" t="b">
        <v>0</v>
      </c>
    </row>
    <row r="120" ht="18.75" customHeight="1">
      <c r="A120" s="120"/>
      <c r="B120" s="109"/>
      <c r="C120" s="109"/>
      <c r="D120" s="121"/>
      <c r="E120" s="110"/>
      <c r="F120" s="110"/>
      <c r="G120" s="110"/>
      <c r="H120" s="125"/>
      <c r="I120" s="112" t="b">
        <v>0</v>
      </c>
    </row>
    <row r="121" ht="18.75" customHeight="1">
      <c r="A121" s="120"/>
      <c r="B121" s="121"/>
      <c r="C121" s="121"/>
      <c r="D121" s="121"/>
      <c r="E121" s="110"/>
      <c r="F121" s="110"/>
      <c r="G121" s="110"/>
      <c r="H121" s="125"/>
      <c r="I121" s="112" t="b">
        <v>0</v>
      </c>
    </row>
    <row r="122" ht="18.75" customHeight="1">
      <c r="A122" s="120"/>
      <c r="B122" s="121"/>
      <c r="C122" s="121"/>
      <c r="D122" s="121"/>
      <c r="E122" s="110"/>
      <c r="F122" s="110"/>
      <c r="G122" s="110"/>
      <c r="H122" s="125"/>
      <c r="I122" s="112" t="b">
        <v>0</v>
      </c>
    </row>
    <row r="123" ht="18.75" customHeight="1">
      <c r="A123" s="120"/>
      <c r="B123" s="121"/>
      <c r="C123" s="121"/>
      <c r="D123" s="121"/>
      <c r="E123" s="110"/>
      <c r="F123" s="110"/>
      <c r="G123" s="110"/>
      <c r="H123" s="125"/>
      <c r="I123" s="112" t="b">
        <v>0</v>
      </c>
    </row>
    <row r="124" ht="18.75" customHeight="1">
      <c r="A124" s="120"/>
      <c r="B124" s="121"/>
      <c r="C124" s="121"/>
      <c r="D124" s="121"/>
      <c r="E124" s="110"/>
      <c r="F124" s="110"/>
      <c r="G124" s="110"/>
      <c r="H124" s="125"/>
      <c r="I124" s="112" t="b">
        <v>0</v>
      </c>
    </row>
    <row r="125" ht="18.75" customHeight="1">
      <c r="A125" s="120"/>
      <c r="B125" s="121"/>
      <c r="C125" s="121"/>
      <c r="D125" s="121"/>
      <c r="E125" s="110"/>
      <c r="F125" s="110"/>
      <c r="G125" s="110"/>
      <c r="H125" s="125"/>
      <c r="I125" s="112" t="b">
        <v>0</v>
      </c>
    </row>
    <row r="126" ht="18.75" customHeight="1">
      <c r="A126" s="120"/>
      <c r="B126" s="121"/>
      <c r="C126" s="121"/>
      <c r="D126" s="121"/>
      <c r="E126" s="110"/>
      <c r="F126" s="110"/>
      <c r="G126" s="110"/>
      <c r="H126" s="125"/>
      <c r="I126" s="112" t="b">
        <v>0</v>
      </c>
    </row>
    <row r="127" ht="18.75" customHeight="1">
      <c r="A127" s="120"/>
      <c r="B127" s="121"/>
      <c r="C127" s="121"/>
      <c r="D127" s="121"/>
      <c r="E127" s="110"/>
      <c r="F127" s="110"/>
      <c r="G127" s="110"/>
      <c r="H127" s="125"/>
      <c r="I127" s="112" t="b">
        <v>0</v>
      </c>
    </row>
    <row r="128" ht="18.75" customHeight="1">
      <c r="A128" s="120"/>
      <c r="B128" s="121"/>
      <c r="C128" s="121"/>
      <c r="D128" s="121"/>
      <c r="E128" s="110"/>
      <c r="F128" s="110"/>
      <c r="G128" s="110"/>
      <c r="H128" s="125"/>
      <c r="I128" s="112" t="b">
        <v>0</v>
      </c>
    </row>
    <row r="129" ht="18.75" customHeight="1">
      <c r="A129" s="120"/>
      <c r="B129" s="121"/>
      <c r="C129" s="121"/>
      <c r="D129" s="121"/>
      <c r="E129" s="110"/>
      <c r="F129" s="110"/>
      <c r="G129" s="110"/>
      <c r="H129" s="125"/>
      <c r="I129" s="112" t="b">
        <v>0</v>
      </c>
    </row>
  </sheetData>
  <mergeCells count="1">
    <mergeCell ref="A1:I1"/>
  </mergeCells>
  <conditionalFormatting sqref="A3:I129">
    <cfRule type="expression" dxfId="0" priority="1">
      <formula>$I3=TRUE</formula>
    </cfRule>
  </conditionalFormatting>
  <dataValidations>
    <dataValidation type="custom" allowBlank="1" showDropDown="1" showInputMessage="1" prompt="Immetti una data valida" sqref="A3:A129">
      <formula1>OR(NOT(ISERROR(DATEVALUE(A3))), AND(ISNUMBER(A3), LEFT(CELL("format", A3))="D"))</formula1>
    </dataValidation>
    <dataValidation type="list" allowBlank="1" showErrorMessage="1" sqref="B3:B129">
      <formula1>elenchi!$B$2:$B$10</formula1>
    </dataValidation>
    <dataValidation type="list" allowBlank="1" showErrorMessage="1" sqref="F3:G129">
      <formula1>elenchi!$A$2:$A$1345</formula1>
    </dataValidation>
  </dataValidations>
  <printOptions/>
  <pageMargins bottom="0.25" footer="0.0" header="0.0" left="0.25" right="0.25" top="0.25"/>
  <pageSetup scale="96" orientation="landscape"/>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8.63"/>
    <col customWidth="1" min="3" max="3" width="25.38"/>
    <col customWidth="1" min="4" max="4" width="43.75"/>
    <col customWidth="1" min="5" max="5" width="38.75"/>
    <col customWidth="1" min="6" max="6" width="25.25"/>
    <col customWidth="1" min="7" max="8" width="17.0"/>
  </cols>
  <sheetData>
    <row r="1" ht="27.0" customHeight="1">
      <c r="A1" s="128" t="s">
        <v>620</v>
      </c>
      <c r="B1" s="3"/>
      <c r="C1" s="3"/>
      <c r="D1" s="3"/>
      <c r="E1" s="3"/>
      <c r="F1" s="3"/>
      <c r="G1" s="3"/>
      <c r="H1" s="4"/>
    </row>
    <row r="2" ht="22.5" customHeight="1">
      <c r="A2" s="5" t="s">
        <v>2</v>
      </c>
      <c r="B2" s="6" t="s">
        <v>3</v>
      </c>
      <c r="C2" s="6" t="s">
        <v>4</v>
      </c>
      <c r="D2" s="6" t="s">
        <v>5</v>
      </c>
      <c r="E2" s="6" t="s">
        <v>6</v>
      </c>
      <c r="F2" s="6" t="s">
        <v>7</v>
      </c>
      <c r="G2" s="6" t="s">
        <v>8</v>
      </c>
      <c r="H2" s="6" t="s">
        <v>9</v>
      </c>
    </row>
    <row r="3">
      <c r="A3" s="37">
        <v>45546.0</v>
      </c>
      <c r="B3" s="38" t="s">
        <v>18</v>
      </c>
      <c r="C3" s="39" t="s">
        <v>14</v>
      </c>
      <c r="D3" s="40" t="s">
        <v>301</v>
      </c>
      <c r="E3" s="41" t="s">
        <v>16</v>
      </c>
      <c r="F3" s="129" t="s">
        <v>621</v>
      </c>
      <c r="G3" s="29" t="b">
        <v>1</v>
      </c>
      <c r="H3" s="29" t="b">
        <v>0</v>
      </c>
    </row>
    <row r="4">
      <c r="A4" s="130">
        <v>45548.0</v>
      </c>
      <c r="B4" s="38" t="s">
        <v>18</v>
      </c>
      <c r="C4" s="39" t="s">
        <v>11</v>
      </c>
      <c r="D4" s="40" t="s">
        <v>622</v>
      </c>
      <c r="E4" s="41" t="s">
        <v>623</v>
      </c>
      <c r="F4" s="131"/>
      <c r="G4" s="29" t="b">
        <v>1</v>
      </c>
      <c r="H4" s="29" t="b">
        <v>0</v>
      </c>
    </row>
    <row r="5">
      <c r="A5" s="37">
        <v>45552.0</v>
      </c>
      <c r="B5" s="38" t="s">
        <v>18</v>
      </c>
      <c r="C5" s="39" t="s">
        <v>128</v>
      </c>
      <c r="D5" s="40" t="s">
        <v>624</v>
      </c>
      <c r="E5" s="41" t="s">
        <v>625</v>
      </c>
      <c r="F5" s="129"/>
      <c r="G5" s="29" t="b">
        <v>1</v>
      </c>
      <c r="H5" s="29" t="b">
        <v>0</v>
      </c>
    </row>
    <row r="6">
      <c r="A6" s="37">
        <v>45552.0</v>
      </c>
      <c r="B6" s="38" t="s">
        <v>18</v>
      </c>
      <c r="C6" s="39" t="s">
        <v>202</v>
      </c>
      <c r="D6" s="40" t="s">
        <v>626</v>
      </c>
      <c r="E6" s="83" t="s">
        <v>16</v>
      </c>
      <c r="F6" s="88" t="s">
        <v>627</v>
      </c>
      <c r="G6" s="29" t="b">
        <v>1</v>
      </c>
      <c r="H6" s="29" t="b">
        <v>0</v>
      </c>
    </row>
    <row r="7">
      <c r="A7" s="37">
        <v>45552.0</v>
      </c>
      <c r="B7" s="38" t="s">
        <v>59</v>
      </c>
      <c r="C7" s="39" t="s">
        <v>19</v>
      </c>
      <c r="D7" s="40" t="s">
        <v>628</v>
      </c>
      <c r="E7" s="83" t="s">
        <v>62</v>
      </c>
      <c r="F7" s="129"/>
      <c r="G7" s="29" t="b">
        <v>0</v>
      </c>
      <c r="H7" s="29" t="b">
        <v>0</v>
      </c>
    </row>
    <row r="8">
      <c r="A8" s="37">
        <v>45553.0</v>
      </c>
      <c r="B8" s="38" t="s">
        <v>18</v>
      </c>
      <c r="C8" s="39" t="s">
        <v>14</v>
      </c>
      <c r="D8" s="40" t="s">
        <v>301</v>
      </c>
      <c r="E8" s="83" t="s">
        <v>47</v>
      </c>
      <c r="F8" s="129"/>
      <c r="G8" s="29" t="b">
        <v>0</v>
      </c>
      <c r="H8" s="29" t="b">
        <v>0</v>
      </c>
    </row>
    <row r="9">
      <c r="A9" s="37">
        <v>45553.0</v>
      </c>
      <c r="B9" s="38" t="s">
        <v>10</v>
      </c>
      <c r="C9" s="39" t="s">
        <v>19</v>
      </c>
      <c r="D9" s="40" t="s">
        <v>629</v>
      </c>
      <c r="E9" s="83" t="s">
        <v>62</v>
      </c>
      <c r="F9" s="129"/>
      <c r="G9" s="29" t="b">
        <v>0</v>
      </c>
      <c r="H9" s="29" t="b">
        <v>0</v>
      </c>
    </row>
    <row r="10">
      <c r="A10" s="37">
        <v>45554.0</v>
      </c>
      <c r="B10" s="38" t="s">
        <v>10</v>
      </c>
      <c r="C10" s="39" t="s">
        <v>630</v>
      </c>
      <c r="D10" s="40" t="s">
        <v>631</v>
      </c>
      <c r="E10" s="83" t="s">
        <v>632</v>
      </c>
      <c r="F10" s="88"/>
      <c r="G10" s="29" t="b">
        <v>0</v>
      </c>
      <c r="H10" s="29" t="b">
        <v>0</v>
      </c>
    </row>
    <row r="11">
      <c r="A11" s="37">
        <v>45554.0</v>
      </c>
      <c r="B11" s="38" t="s">
        <v>18</v>
      </c>
      <c r="C11" s="39" t="s">
        <v>630</v>
      </c>
      <c r="D11" s="40" t="s">
        <v>240</v>
      </c>
      <c r="E11" s="83" t="s">
        <v>633</v>
      </c>
      <c r="F11" s="88" t="s">
        <v>634</v>
      </c>
      <c r="G11" s="29" t="b">
        <v>0</v>
      </c>
      <c r="H11" s="29" t="b">
        <v>0</v>
      </c>
    </row>
    <row r="12" ht="25.5" customHeight="1">
      <c r="A12" s="37">
        <v>45555.0</v>
      </c>
      <c r="B12" s="38" t="s">
        <v>18</v>
      </c>
      <c r="C12" s="39" t="s">
        <v>54</v>
      </c>
      <c r="D12" s="40" t="s">
        <v>635</v>
      </c>
      <c r="E12" s="83" t="s">
        <v>16</v>
      </c>
      <c r="F12" s="129" t="s">
        <v>636</v>
      </c>
      <c r="G12" s="29" t="b">
        <v>1</v>
      </c>
      <c r="H12" s="29" t="b">
        <v>0</v>
      </c>
    </row>
    <row r="13">
      <c r="A13" s="37">
        <v>45555.0</v>
      </c>
      <c r="B13" s="38" t="s">
        <v>59</v>
      </c>
      <c r="C13" s="39" t="s">
        <v>60</v>
      </c>
      <c r="D13" s="40" t="s">
        <v>637</v>
      </c>
      <c r="E13" s="83"/>
      <c r="F13" s="129" t="s">
        <v>638</v>
      </c>
      <c r="G13" s="29" t="b">
        <v>1</v>
      </c>
      <c r="H13" s="29" t="b">
        <v>0</v>
      </c>
    </row>
    <row r="14">
      <c r="A14" s="37">
        <v>45555.0</v>
      </c>
      <c r="B14" s="38" t="s">
        <v>10</v>
      </c>
      <c r="C14" s="39" t="s">
        <v>19</v>
      </c>
      <c r="D14" s="40" t="s">
        <v>639</v>
      </c>
      <c r="E14" s="83" t="s">
        <v>16</v>
      </c>
      <c r="F14" s="129"/>
      <c r="G14" s="29" t="b">
        <v>0</v>
      </c>
      <c r="H14" s="29" t="b">
        <v>0</v>
      </c>
    </row>
    <row r="15">
      <c r="A15" s="37">
        <v>45556.0</v>
      </c>
      <c r="B15" s="38" t="s">
        <v>18</v>
      </c>
      <c r="C15" s="39" t="s">
        <v>189</v>
      </c>
      <c r="D15" s="40" t="s">
        <v>640</v>
      </c>
      <c r="E15" s="83" t="s">
        <v>641</v>
      </c>
      <c r="F15" s="88" t="s">
        <v>642</v>
      </c>
      <c r="G15" s="29" t="b">
        <v>0</v>
      </c>
      <c r="H15" s="29" t="b">
        <v>0</v>
      </c>
    </row>
    <row r="16">
      <c r="A16" s="37">
        <v>45556.0</v>
      </c>
      <c r="B16" s="38" t="s">
        <v>18</v>
      </c>
      <c r="C16" s="39" t="s">
        <v>125</v>
      </c>
      <c r="D16" s="40" t="s">
        <v>422</v>
      </c>
      <c r="E16" s="83" t="s">
        <v>16</v>
      </c>
      <c r="F16" s="129" t="s">
        <v>643</v>
      </c>
      <c r="G16" s="29" t="b">
        <v>1</v>
      </c>
      <c r="H16" s="29" t="b">
        <v>0</v>
      </c>
    </row>
    <row r="17">
      <c r="A17" s="37">
        <v>45558.0</v>
      </c>
      <c r="B17" s="38" t="s">
        <v>10</v>
      </c>
      <c r="C17" s="39" t="s">
        <v>63</v>
      </c>
      <c r="D17" s="40" t="s">
        <v>644</v>
      </c>
      <c r="E17" s="83"/>
      <c r="F17" s="132"/>
      <c r="G17" s="29" t="b">
        <v>0</v>
      </c>
      <c r="H17" s="29" t="b">
        <v>0</v>
      </c>
    </row>
    <row r="18">
      <c r="A18" s="37">
        <v>45558.0</v>
      </c>
      <c r="B18" s="38" t="s">
        <v>10</v>
      </c>
      <c r="C18" s="39" t="s">
        <v>645</v>
      </c>
      <c r="D18" s="40" t="s">
        <v>646</v>
      </c>
      <c r="E18" s="83" t="s">
        <v>647</v>
      </c>
      <c r="F18" s="132"/>
      <c r="G18" s="29" t="b">
        <v>0</v>
      </c>
      <c r="H18" s="29" t="b">
        <v>0</v>
      </c>
    </row>
    <row r="19">
      <c r="A19" s="37">
        <v>45558.0</v>
      </c>
      <c r="B19" s="38" t="s">
        <v>10</v>
      </c>
      <c r="C19" s="39" t="s">
        <v>648</v>
      </c>
      <c r="D19" s="40" t="s">
        <v>646</v>
      </c>
      <c r="E19" s="83" t="s">
        <v>647</v>
      </c>
      <c r="F19" s="132"/>
      <c r="G19" s="29" t="b">
        <v>0</v>
      </c>
      <c r="H19" s="29" t="b">
        <v>0</v>
      </c>
    </row>
    <row r="20">
      <c r="A20" s="37">
        <v>45558.0</v>
      </c>
      <c r="B20" s="38" t="s">
        <v>10</v>
      </c>
      <c r="C20" s="39" t="s">
        <v>587</v>
      </c>
      <c r="D20" s="40" t="s">
        <v>644</v>
      </c>
      <c r="E20" s="83"/>
      <c r="F20" s="132"/>
      <c r="G20" s="29" t="b">
        <v>0</v>
      </c>
      <c r="H20" s="29" t="b">
        <v>0</v>
      </c>
    </row>
    <row r="21">
      <c r="A21" s="37">
        <v>45560.0</v>
      </c>
      <c r="B21" s="38" t="s">
        <v>10</v>
      </c>
      <c r="C21" s="39" t="s">
        <v>47</v>
      </c>
      <c r="D21" s="40" t="s">
        <v>649</v>
      </c>
      <c r="E21" s="83"/>
      <c r="F21" s="129"/>
      <c r="G21" s="29" t="b">
        <v>0</v>
      </c>
      <c r="H21" s="29" t="b">
        <v>0</v>
      </c>
    </row>
    <row r="22">
      <c r="A22" s="37">
        <v>45560.0</v>
      </c>
      <c r="B22" s="38" t="s">
        <v>10</v>
      </c>
      <c r="C22" s="39" t="s">
        <v>650</v>
      </c>
      <c r="D22" s="40" t="s">
        <v>651</v>
      </c>
      <c r="E22" s="83"/>
      <c r="F22" s="129"/>
      <c r="G22" s="29" t="b">
        <v>0</v>
      </c>
      <c r="H22" s="29" t="b">
        <v>0</v>
      </c>
    </row>
    <row r="23">
      <c r="A23" s="37">
        <v>45560.0</v>
      </c>
      <c r="B23" s="38" t="s">
        <v>18</v>
      </c>
      <c r="C23" s="39" t="s">
        <v>14</v>
      </c>
      <c r="D23" s="40" t="s">
        <v>301</v>
      </c>
      <c r="E23" s="83" t="s">
        <v>47</v>
      </c>
      <c r="F23" s="132"/>
      <c r="G23" s="29" t="b">
        <v>0</v>
      </c>
      <c r="H23" s="29" t="b">
        <v>0</v>
      </c>
    </row>
    <row r="24">
      <c r="A24" s="37">
        <v>45560.0</v>
      </c>
      <c r="B24" s="38" t="s">
        <v>10</v>
      </c>
      <c r="C24" s="39" t="s">
        <v>79</v>
      </c>
      <c r="D24" s="40" t="s">
        <v>652</v>
      </c>
      <c r="E24" s="83"/>
      <c r="F24" s="129"/>
      <c r="G24" s="29" t="b">
        <v>0</v>
      </c>
      <c r="H24" s="29" t="b">
        <v>0</v>
      </c>
    </row>
    <row r="25">
      <c r="A25" s="37">
        <v>45561.0</v>
      </c>
      <c r="B25" s="38" t="s">
        <v>10</v>
      </c>
      <c r="C25" s="39" t="s">
        <v>197</v>
      </c>
      <c r="D25" s="40" t="s">
        <v>653</v>
      </c>
      <c r="E25" s="83"/>
      <c r="F25" s="132"/>
      <c r="G25" s="29" t="b">
        <v>0</v>
      </c>
      <c r="H25" s="29" t="b">
        <v>0</v>
      </c>
    </row>
    <row r="26">
      <c r="A26" s="37">
        <v>45561.0</v>
      </c>
      <c r="B26" s="38" t="s">
        <v>10</v>
      </c>
      <c r="C26" s="39" t="s">
        <v>19</v>
      </c>
      <c r="D26" s="40" t="s">
        <v>654</v>
      </c>
      <c r="E26" s="83" t="s">
        <v>647</v>
      </c>
      <c r="F26" s="132"/>
      <c r="G26" s="29" t="b">
        <v>0</v>
      </c>
      <c r="H26" s="29" t="b">
        <v>0</v>
      </c>
    </row>
    <row r="27">
      <c r="A27" s="37">
        <v>45561.0</v>
      </c>
      <c r="B27" s="38" t="s">
        <v>10</v>
      </c>
      <c r="C27" s="39" t="s">
        <v>655</v>
      </c>
      <c r="D27" s="40" t="s">
        <v>656</v>
      </c>
      <c r="E27" s="83"/>
      <c r="F27" s="132"/>
      <c r="G27" s="29" t="b">
        <v>0</v>
      </c>
      <c r="H27" s="29" t="b">
        <v>0</v>
      </c>
    </row>
    <row r="28">
      <c r="A28" s="37">
        <v>45562.0</v>
      </c>
      <c r="B28" s="38" t="s">
        <v>10</v>
      </c>
      <c r="C28" s="39" t="s">
        <v>49</v>
      </c>
      <c r="D28" s="40" t="s">
        <v>657</v>
      </c>
      <c r="E28" s="83" t="s">
        <v>647</v>
      </c>
      <c r="F28" s="129"/>
      <c r="G28" s="29" t="b">
        <v>0</v>
      </c>
      <c r="H28" s="29" t="b">
        <v>0</v>
      </c>
    </row>
    <row r="29">
      <c r="A29" s="37">
        <v>45562.0</v>
      </c>
      <c r="B29" s="38" t="s">
        <v>10</v>
      </c>
      <c r="C29" s="39" t="s">
        <v>19</v>
      </c>
      <c r="D29" s="40" t="s">
        <v>658</v>
      </c>
      <c r="E29" s="83" t="s">
        <v>16</v>
      </c>
      <c r="F29" s="129"/>
      <c r="G29" s="29" t="b">
        <v>0</v>
      </c>
      <c r="H29" s="29" t="b">
        <v>0</v>
      </c>
    </row>
    <row r="30">
      <c r="A30" s="37">
        <v>45563.0</v>
      </c>
      <c r="B30" s="38" t="s">
        <v>10</v>
      </c>
      <c r="C30" s="39" t="s">
        <v>189</v>
      </c>
      <c r="D30" s="40" t="s">
        <v>659</v>
      </c>
      <c r="E30" s="83" t="s">
        <v>660</v>
      </c>
      <c r="F30" s="129"/>
      <c r="G30" s="29" t="b">
        <v>0</v>
      </c>
      <c r="H30" s="29" t="b">
        <v>0</v>
      </c>
    </row>
    <row r="31">
      <c r="A31" s="37">
        <v>45563.0</v>
      </c>
      <c r="B31" s="38" t="s">
        <v>246</v>
      </c>
      <c r="C31" s="39" t="s">
        <v>202</v>
      </c>
      <c r="D31" s="40" t="s">
        <v>659</v>
      </c>
      <c r="E31" s="83" t="s">
        <v>661</v>
      </c>
      <c r="F31" s="129"/>
      <c r="G31" s="29" t="b">
        <v>0</v>
      </c>
      <c r="H31" s="29" t="b">
        <v>0</v>
      </c>
    </row>
    <row r="32">
      <c r="A32" s="13">
        <v>45566.0</v>
      </c>
      <c r="B32" s="14" t="s">
        <v>10</v>
      </c>
      <c r="C32" s="133" t="s">
        <v>662</v>
      </c>
      <c r="D32" s="134" t="s">
        <v>663</v>
      </c>
      <c r="E32" s="135"/>
      <c r="F32" s="26"/>
      <c r="G32" s="29" t="b">
        <v>0</v>
      </c>
      <c r="H32" s="79" t="b">
        <v>0</v>
      </c>
    </row>
    <row r="33">
      <c r="A33" s="13">
        <v>45566.0</v>
      </c>
      <c r="B33" s="14" t="s">
        <v>10</v>
      </c>
      <c r="C33" s="133" t="s">
        <v>664</v>
      </c>
      <c r="D33" s="134" t="s">
        <v>663</v>
      </c>
      <c r="E33" s="135"/>
      <c r="F33" s="26"/>
      <c r="G33" s="29" t="b">
        <v>0</v>
      </c>
      <c r="H33" s="79" t="b">
        <v>0</v>
      </c>
    </row>
    <row r="34">
      <c r="A34" s="13">
        <v>45567.0</v>
      </c>
      <c r="B34" s="14" t="s">
        <v>18</v>
      </c>
      <c r="C34" s="15" t="s">
        <v>11</v>
      </c>
      <c r="D34" s="136" t="s">
        <v>45</v>
      </c>
      <c r="E34" s="17" t="s">
        <v>623</v>
      </c>
      <c r="F34" s="26"/>
      <c r="G34" s="29" t="b">
        <v>0</v>
      </c>
      <c r="H34" s="29" t="b">
        <v>0</v>
      </c>
    </row>
    <row r="35">
      <c r="A35" s="13">
        <v>45567.0</v>
      </c>
      <c r="B35" s="14" t="s">
        <v>10</v>
      </c>
      <c r="C35" s="15" t="s">
        <v>40</v>
      </c>
      <c r="D35" s="16" t="s">
        <v>665</v>
      </c>
      <c r="E35" s="17"/>
      <c r="F35" s="26" t="s">
        <v>666</v>
      </c>
      <c r="G35" s="29" t="b">
        <v>0</v>
      </c>
      <c r="H35" s="29" t="b">
        <v>0</v>
      </c>
    </row>
    <row r="36">
      <c r="A36" s="13">
        <v>45568.0</v>
      </c>
      <c r="B36" s="14" t="s">
        <v>10</v>
      </c>
      <c r="C36" s="15" t="s">
        <v>667</v>
      </c>
      <c r="D36" s="136" t="s">
        <v>668</v>
      </c>
      <c r="E36" s="137"/>
      <c r="F36" s="26"/>
      <c r="G36" s="29" t="b">
        <v>0</v>
      </c>
      <c r="H36" s="29" t="b">
        <v>0</v>
      </c>
    </row>
    <row r="37">
      <c r="A37" s="13">
        <v>45568.0</v>
      </c>
      <c r="B37" s="14" t="s">
        <v>10</v>
      </c>
      <c r="C37" s="15" t="s">
        <v>655</v>
      </c>
      <c r="D37" s="136" t="s">
        <v>669</v>
      </c>
      <c r="E37" s="137" t="s">
        <v>647</v>
      </c>
      <c r="F37" s="26"/>
      <c r="G37" s="29" t="b">
        <v>0</v>
      </c>
      <c r="H37" s="29" t="b">
        <v>0</v>
      </c>
    </row>
    <row r="38">
      <c r="A38" s="13">
        <v>45568.0</v>
      </c>
      <c r="B38" s="14" t="s">
        <v>10</v>
      </c>
      <c r="C38" s="15" t="s">
        <v>655</v>
      </c>
      <c r="D38" s="136" t="s">
        <v>654</v>
      </c>
      <c r="E38" s="137" t="s">
        <v>647</v>
      </c>
      <c r="F38" s="26"/>
      <c r="G38" s="29" t="b">
        <v>0</v>
      </c>
      <c r="H38" s="29" t="b">
        <v>0</v>
      </c>
    </row>
    <row r="39">
      <c r="A39" s="13">
        <v>45569.0</v>
      </c>
      <c r="B39" s="14" t="s">
        <v>18</v>
      </c>
      <c r="C39" s="15" t="s">
        <v>156</v>
      </c>
      <c r="D39" s="136" t="s">
        <v>50</v>
      </c>
      <c r="E39" s="137" t="s">
        <v>16</v>
      </c>
      <c r="F39" s="26" t="s">
        <v>670</v>
      </c>
      <c r="G39" s="29" t="b">
        <v>1</v>
      </c>
      <c r="H39" s="29" t="b">
        <v>0</v>
      </c>
    </row>
    <row r="40">
      <c r="A40" s="13">
        <v>45569.0</v>
      </c>
      <c r="B40" s="14" t="s">
        <v>59</v>
      </c>
      <c r="C40" s="15" t="s">
        <v>11</v>
      </c>
      <c r="D40" s="136" t="s">
        <v>671</v>
      </c>
      <c r="E40" s="137"/>
      <c r="F40" s="26" t="s">
        <v>670</v>
      </c>
      <c r="G40" s="29" t="b">
        <v>1</v>
      </c>
      <c r="H40" s="29" t="b">
        <v>0</v>
      </c>
    </row>
    <row r="41">
      <c r="A41" s="13">
        <v>45569.0</v>
      </c>
      <c r="B41" s="14" t="s">
        <v>10</v>
      </c>
      <c r="C41" s="15" t="s">
        <v>19</v>
      </c>
      <c r="D41" s="136" t="s">
        <v>658</v>
      </c>
      <c r="E41" s="137" t="s">
        <v>16</v>
      </c>
      <c r="F41" s="26"/>
      <c r="G41" s="29" t="b">
        <v>0</v>
      </c>
      <c r="H41" s="29" t="b">
        <v>0</v>
      </c>
    </row>
    <row r="42">
      <c r="A42" s="13">
        <v>45570.0</v>
      </c>
      <c r="B42" s="14" t="s">
        <v>10</v>
      </c>
      <c r="C42" s="15" t="s">
        <v>84</v>
      </c>
      <c r="D42" s="16" t="s">
        <v>672</v>
      </c>
      <c r="E42" s="17" t="s">
        <v>42</v>
      </c>
      <c r="F42" s="138"/>
      <c r="G42" s="29" t="b">
        <v>0</v>
      </c>
      <c r="H42" s="29" t="b">
        <v>0</v>
      </c>
    </row>
    <row r="43">
      <c r="A43" s="13">
        <v>45570.0</v>
      </c>
      <c r="B43" s="14" t="s">
        <v>18</v>
      </c>
      <c r="C43" s="15" t="s">
        <v>156</v>
      </c>
      <c r="D43" s="136" t="s">
        <v>673</v>
      </c>
      <c r="E43" s="137" t="s">
        <v>16</v>
      </c>
      <c r="F43" s="26" t="s">
        <v>670</v>
      </c>
      <c r="G43" s="29" t="b">
        <v>0</v>
      </c>
      <c r="H43" s="29" t="b">
        <v>0</v>
      </c>
    </row>
    <row r="44">
      <c r="A44" s="13">
        <v>45570.0</v>
      </c>
      <c r="B44" s="14" t="s">
        <v>10</v>
      </c>
      <c r="C44" s="15" t="s">
        <v>202</v>
      </c>
      <c r="D44" s="16" t="s">
        <v>674</v>
      </c>
      <c r="E44" s="17" t="s">
        <v>675</v>
      </c>
      <c r="F44" s="138"/>
      <c r="G44" s="29" t="b">
        <v>0</v>
      </c>
      <c r="H44" s="29" t="b">
        <v>0</v>
      </c>
    </row>
    <row r="45">
      <c r="A45" s="13">
        <v>45572.0</v>
      </c>
      <c r="B45" s="14" t="s">
        <v>18</v>
      </c>
      <c r="C45" s="15" t="s">
        <v>645</v>
      </c>
      <c r="D45" s="136" t="s">
        <v>676</v>
      </c>
      <c r="E45" s="17"/>
      <c r="F45" s="26" t="s">
        <v>677</v>
      </c>
      <c r="G45" s="29" t="b">
        <v>0</v>
      </c>
      <c r="H45" s="29" t="b">
        <v>0</v>
      </c>
    </row>
    <row r="46">
      <c r="A46" s="13">
        <v>45572.0</v>
      </c>
      <c r="B46" s="14" t="s">
        <v>18</v>
      </c>
      <c r="C46" s="15" t="s">
        <v>70</v>
      </c>
      <c r="D46" s="16" t="s">
        <v>678</v>
      </c>
      <c r="E46" s="17"/>
      <c r="F46" s="138" t="s">
        <v>679</v>
      </c>
      <c r="G46" s="29" t="b">
        <v>0</v>
      </c>
      <c r="H46" s="29" t="b">
        <v>0</v>
      </c>
    </row>
    <row r="47">
      <c r="A47" s="13">
        <v>45573.0</v>
      </c>
      <c r="B47" s="14" t="s">
        <v>18</v>
      </c>
      <c r="C47" s="139" t="s">
        <v>125</v>
      </c>
      <c r="D47" s="16" t="s">
        <v>680</v>
      </c>
      <c r="E47" s="17"/>
      <c r="F47" s="26" t="s">
        <v>681</v>
      </c>
      <c r="G47" s="29" t="b">
        <v>1</v>
      </c>
      <c r="H47" s="29" t="b">
        <v>0</v>
      </c>
    </row>
    <row r="48">
      <c r="A48" s="13">
        <v>45574.0</v>
      </c>
      <c r="B48" s="14" t="s">
        <v>18</v>
      </c>
      <c r="C48" s="15" t="s">
        <v>66</v>
      </c>
      <c r="D48" s="16" t="s">
        <v>348</v>
      </c>
      <c r="E48" s="17"/>
      <c r="F48" s="26" t="s">
        <v>679</v>
      </c>
      <c r="G48" s="29" t="b">
        <v>0</v>
      </c>
      <c r="H48" s="29" t="b">
        <v>0</v>
      </c>
    </row>
    <row r="49">
      <c r="A49" s="13">
        <v>45575.0</v>
      </c>
      <c r="B49" s="14" t="s">
        <v>10</v>
      </c>
      <c r="C49" s="15" t="s">
        <v>54</v>
      </c>
      <c r="D49" s="16" t="s">
        <v>682</v>
      </c>
      <c r="E49" s="17" t="s">
        <v>683</v>
      </c>
      <c r="F49" s="20" t="s">
        <v>684</v>
      </c>
      <c r="G49" s="29" t="b">
        <v>0</v>
      </c>
      <c r="H49" s="29" t="b">
        <v>0</v>
      </c>
    </row>
    <row r="50">
      <c r="A50" s="13">
        <v>45575.0</v>
      </c>
      <c r="B50" s="14" t="s">
        <v>10</v>
      </c>
      <c r="C50" s="15" t="s">
        <v>667</v>
      </c>
      <c r="D50" s="16" t="s">
        <v>140</v>
      </c>
      <c r="E50" s="17" t="s">
        <v>683</v>
      </c>
      <c r="F50" s="20" t="s">
        <v>685</v>
      </c>
      <c r="G50" s="29" t="b">
        <v>0</v>
      </c>
      <c r="H50" s="29" t="b">
        <v>0</v>
      </c>
    </row>
    <row r="51">
      <c r="A51" s="13">
        <v>45575.0</v>
      </c>
      <c r="B51" s="14" t="s">
        <v>10</v>
      </c>
      <c r="C51" s="15" t="s">
        <v>85</v>
      </c>
      <c r="D51" s="136" t="s">
        <v>141</v>
      </c>
      <c r="E51" s="17" t="s">
        <v>647</v>
      </c>
      <c r="F51" s="26"/>
      <c r="G51" s="29" t="b">
        <v>0</v>
      </c>
      <c r="H51" s="29" t="b">
        <v>0</v>
      </c>
    </row>
    <row r="52">
      <c r="A52" s="13">
        <v>45579.0</v>
      </c>
      <c r="B52" s="14" t="s">
        <v>10</v>
      </c>
      <c r="C52" s="15" t="s">
        <v>648</v>
      </c>
      <c r="D52" s="16" t="s">
        <v>686</v>
      </c>
      <c r="E52" s="17"/>
      <c r="F52" s="20" t="s">
        <v>687</v>
      </c>
      <c r="G52" s="29" t="b">
        <v>0</v>
      </c>
      <c r="H52" s="29" t="b">
        <v>0</v>
      </c>
    </row>
    <row r="53">
      <c r="A53" s="13">
        <v>45579.0</v>
      </c>
      <c r="B53" s="14" t="s">
        <v>355</v>
      </c>
      <c r="C53" s="139" t="s">
        <v>350</v>
      </c>
      <c r="D53" s="16" t="s">
        <v>688</v>
      </c>
      <c r="E53" s="17" t="s">
        <v>16</v>
      </c>
      <c r="F53" s="26"/>
      <c r="G53" s="29" t="b">
        <v>0</v>
      </c>
      <c r="H53" s="29" t="b">
        <v>0</v>
      </c>
    </row>
    <row r="54">
      <c r="A54" s="13">
        <v>45582.0</v>
      </c>
      <c r="B54" s="14" t="s">
        <v>18</v>
      </c>
      <c r="C54" s="15" t="s">
        <v>19</v>
      </c>
      <c r="D54" s="16" t="s">
        <v>134</v>
      </c>
      <c r="E54" s="17"/>
      <c r="F54" s="26" t="s">
        <v>689</v>
      </c>
      <c r="G54" s="29" t="b">
        <v>0</v>
      </c>
      <c r="H54" s="29" t="b">
        <v>0</v>
      </c>
    </row>
    <row r="55">
      <c r="A55" s="13">
        <v>45582.0</v>
      </c>
      <c r="B55" s="14" t="s">
        <v>18</v>
      </c>
      <c r="C55" s="15" t="s">
        <v>131</v>
      </c>
      <c r="D55" s="136" t="s">
        <v>690</v>
      </c>
      <c r="E55" s="17" t="s">
        <v>49</v>
      </c>
      <c r="F55" s="140"/>
      <c r="G55" s="29" t="b">
        <v>0</v>
      </c>
      <c r="H55" s="29" t="b">
        <v>0</v>
      </c>
    </row>
    <row r="56">
      <c r="A56" s="37">
        <v>45583.0</v>
      </c>
      <c r="B56" s="38" t="s">
        <v>59</v>
      </c>
      <c r="C56" s="39" t="s">
        <v>60</v>
      </c>
      <c r="D56" s="95" t="s">
        <v>691</v>
      </c>
      <c r="E56" s="83"/>
      <c r="F56" s="141" t="s">
        <v>692</v>
      </c>
      <c r="G56" s="29" t="b">
        <v>1</v>
      </c>
      <c r="H56" s="29" t="b">
        <v>0</v>
      </c>
    </row>
    <row r="57">
      <c r="A57" s="37">
        <v>45583.0</v>
      </c>
      <c r="B57" s="38" t="s">
        <v>355</v>
      </c>
      <c r="C57" s="39" t="s">
        <v>19</v>
      </c>
      <c r="D57" s="95" t="s">
        <v>693</v>
      </c>
      <c r="E57" s="83" t="s">
        <v>16</v>
      </c>
      <c r="F57" s="141" t="s">
        <v>694</v>
      </c>
      <c r="G57" s="29" t="b">
        <v>1</v>
      </c>
      <c r="H57" s="29" t="b">
        <v>0</v>
      </c>
    </row>
    <row r="58">
      <c r="A58" s="13">
        <v>45586.0</v>
      </c>
      <c r="B58" s="14" t="s">
        <v>18</v>
      </c>
      <c r="C58" s="139" t="s">
        <v>60</v>
      </c>
      <c r="D58" s="16" t="s">
        <v>88</v>
      </c>
      <c r="E58" s="17"/>
      <c r="F58" s="26" t="s">
        <v>695</v>
      </c>
      <c r="G58" s="29" t="b">
        <v>0</v>
      </c>
      <c r="H58" s="29" t="b">
        <v>0</v>
      </c>
    </row>
    <row r="59">
      <c r="A59" s="13">
        <v>45586.0</v>
      </c>
      <c r="B59" s="14" t="s">
        <v>18</v>
      </c>
      <c r="C59" s="15" t="s">
        <v>70</v>
      </c>
      <c r="D59" s="16" t="s">
        <v>678</v>
      </c>
      <c r="E59" s="17"/>
      <c r="F59" s="138" t="s">
        <v>696</v>
      </c>
      <c r="G59" s="29" t="b">
        <v>0</v>
      </c>
      <c r="H59" s="29" t="b">
        <v>0</v>
      </c>
    </row>
    <row r="60">
      <c r="A60" s="13">
        <v>45586.0</v>
      </c>
      <c r="B60" s="14" t="s">
        <v>18</v>
      </c>
      <c r="C60" s="15" t="s">
        <v>144</v>
      </c>
      <c r="D60" s="16" t="s">
        <v>697</v>
      </c>
      <c r="E60" s="17" t="s">
        <v>84</v>
      </c>
      <c r="F60" s="26"/>
      <c r="G60" s="29" t="b">
        <v>0</v>
      </c>
      <c r="H60" s="29" t="b">
        <v>0</v>
      </c>
    </row>
    <row r="61">
      <c r="A61" s="13">
        <v>45586.0</v>
      </c>
      <c r="B61" s="14" t="s">
        <v>18</v>
      </c>
      <c r="C61" s="15" t="s">
        <v>144</v>
      </c>
      <c r="D61" s="16" t="s">
        <v>698</v>
      </c>
      <c r="E61" s="17" t="s">
        <v>84</v>
      </c>
      <c r="F61" s="26"/>
      <c r="G61" s="29" t="b">
        <v>0</v>
      </c>
      <c r="H61" s="29" t="b">
        <v>0</v>
      </c>
    </row>
    <row r="62">
      <c r="A62" s="57">
        <v>45588.0</v>
      </c>
      <c r="B62" s="58" t="s">
        <v>18</v>
      </c>
      <c r="C62" s="59" t="s">
        <v>14</v>
      </c>
      <c r="D62" s="60" t="s">
        <v>45</v>
      </c>
      <c r="E62" s="142"/>
      <c r="F62" s="143" t="s">
        <v>699</v>
      </c>
      <c r="G62" s="30" t="b">
        <v>0</v>
      </c>
      <c r="H62" s="30" t="b">
        <v>0</v>
      </c>
    </row>
    <row r="63">
      <c r="A63" s="13">
        <v>45590.0</v>
      </c>
      <c r="B63" s="14" t="s">
        <v>59</v>
      </c>
      <c r="C63" s="15" t="s">
        <v>19</v>
      </c>
      <c r="D63" s="16" t="s">
        <v>700</v>
      </c>
      <c r="E63" s="23"/>
      <c r="F63" s="138" t="s">
        <v>701</v>
      </c>
      <c r="G63" s="29" t="b">
        <v>0</v>
      </c>
      <c r="H63" s="29" t="b">
        <v>0</v>
      </c>
    </row>
    <row r="64">
      <c r="A64" s="37">
        <v>45591.0</v>
      </c>
      <c r="B64" s="38" t="s">
        <v>26</v>
      </c>
      <c r="C64" s="39" t="s">
        <v>275</v>
      </c>
      <c r="D64" s="40" t="s">
        <v>702</v>
      </c>
      <c r="E64" s="83" t="s">
        <v>16</v>
      </c>
      <c r="F64" s="144" t="s">
        <v>703</v>
      </c>
      <c r="G64" s="29" t="b">
        <v>1</v>
      </c>
      <c r="H64" s="29" t="b">
        <v>0</v>
      </c>
    </row>
    <row r="65">
      <c r="A65" s="37">
        <v>45591.0</v>
      </c>
      <c r="B65" s="38" t="s">
        <v>18</v>
      </c>
      <c r="C65" s="39" t="s">
        <v>704</v>
      </c>
      <c r="D65" s="40" t="s">
        <v>705</v>
      </c>
      <c r="E65" s="145"/>
      <c r="F65" s="144" t="s">
        <v>706</v>
      </c>
      <c r="G65" s="29" t="b">
        <v>1</v>
      </c>
      <c r="H65" s="29" t="b">
        <v>0</v>
      </c>
    </row>
    <row r="66">
      <c r="A66" s="37">
        <v>45593.0</v>
      </c>
      <c r="B66" s="38" t="s">
        <v>18</v>
      </c>
      <c r="C66" s="39" t="s">
        <v>19</v>
      </c>
      <c r="D66" s="40" t="s">
        <v>515</v>
      </c>
      <c r="E66" s="83" t="s">
        <v>16</v>
      </c>
      <c r="F66" s="88" t="s">
        <v>627</v>
      </c>
      <c r="G66" s="29" t="b">
        <v>1</v>
      </c>
      <c r="H66" s="29" t="b">
        <v>0</v>
      </c>
    </row>
    <row r="67">
      <c r="A67" s="13">
        <v>45593.0</v>
      </c>
      <c r="B67" s="14" t="s">
        <v>18</v>
      </c>
      <c r="C67" s="15" t="s">
        <v>19</v>
      </c>
      <c r="D67" s="16" t="s">
        <v>678</v>
      </c>
      <c r="E67" s="17" t="s">
        <v>16</v>
      </c>
      <c r="F67" s="26" t="s">
        <v>707</v>
      </c>
      <c r="G67" s="29" t="b">
        <v>0</v>
      </c>
      <c r="H67" s="29" t="b">
        <v>0</v>
      </c>
    </row>
    <row r="68">
      <c r="A68" s="13">
        <v>45593.0</v>
      </c>
      <c r="B68" s="14" t="s">
        <v>18</v>
      </c>
      <c r="C68" s="15" t="s">
        <v>19</v>
      </c>
      <c r="D68" s="16" t="s">
        <v>230</v>
      </c>
      <c r="E68" s="17" t="s">
        <v>16</v>
      </c>
      <c r="F68" s="26" t="s">
        <v>198</v>
      </c>
      <c r="G68" s="29" t="b">
        <v>0</v>
      </c>
      <c r="H68" s="29" t="b">
        <v>0</v>
      </c>
    </row>
    <row r="69">
      <c r="A69" s="13">
        <v>45593.0</v>
      </c>
      <c r="B69" s="14" t="s">
        <v>18</v>
      </c>
      <c r="C69" s="15" t="s">
        <v>19</v>
      </c>
      <c r="D69" s="16" t="s">
        <v>231</v>
      </c>
      <c r="E69" s="17" t="s">
        <v>70</v>
      </c>
      <c r="F69" s="26"/>
      <c r="G69" s="29" t="b">
        <v>0</v>
      </c>
      <c r="H69" s="29" t="b">
        <v>0</v>
      </c>
    </row>
    <row r="70">
      <c r="A70" s="13">
        <v>45595.0</v>
      </c>
      <c r="B70" s="14" t="s">
        <v>18</v>
      </c>
      <c r="C70" s="139" t="s">
        <v>56</v>
      </c>
      <c r="D70" s="133" t="s">
        <v>708</v>
      </c>
      <c r="E70" s="17" t="s">
        <v>709</v>
      </c>
      <c r="F70" s="26" t="s">
        <v>710</v>
      </c>
      <c r="G70" s="29" t="b">
        <v>0</v>
      </c>
      <c r="H70" s="29" t="b">
        <v>0</v>
      </c>
    </row>
    <row r="71">
      <c r="A71" s="13">
        <v>45595.0</v>
      </c>
      <c r="B71" s="14" t="s">
        <v>18</v>
      </c>
      <c r="C71" s="15" t="s">
        <v>144</v>
      </c>
      <c r="D71" s="16" t="s">
        <v>711</v>
      </c>
      <c r="E71" s="17" t="s">
        <v>47</v>
      </c>
      <c r="F71" s="26"/>
      <c r="G71" s="29" t="b">
        <v>0</v>
      </c>
      <c r="H71" s="29" t="b">
        <v>0</v>
      </c>
    </row>
    <row r="72">
      <c r="A72" s="13">
        <v>45596.0</v>
      </c>
      <c r="B72" s="14" t="s">
        <v>18</v>
      </c>
      <c r="C72" s="15" t="s">
        <v>47</v>
      </c>
      <c r="D72" s="16" t="s">
        <v>359</v>
      </c>
      <c r="E72" s="17" t="s">
        <v>16</v>
      </c>
      <c r="F72" s="26" t="s">
        <v>712</v>
      </c>
      <c r="G72" s="29" t="b">
        <v>0</v>
      </c>
      <c r="H72" s="29" t="b">
        <v>0</v>
      </c>
    </row>
    <row r="73">
      <c r="A73" s="146">
        <v>45596.0</v>
      </c>
      <c r="B73" s="8" t="s">
        <v>18</v>
      </c>
      <c r="C73" s="147" t="s">
        <v>60</v>
      </c>
      <c r="D73" s="16" t="s">
        <v>713</v>
      </c>
      <c r="E73" s="148" t="s">
        <v>30</v>
      </c>
      <c r="F73" s="138"/>
      <c r="G73" s="149" t="b">
        <v>0</v>
      </c>
      <c r="H73" s="149" t="b">
        <v>0</v>
      </c>
    </row>
    <row r="74">
      <c r="A74" s="13">
        <v>45596.0</v>
      </c>
      <c r="B74" s="14" t="s">
        <v>18</v>
      </c>
      <c r="C74" s="139" t="s">
        <v>60</v>
      </c>
      <c r="D74" s="16" t="s">
        <v>714</v>
      </c>
      <c r="E74" s="17" t="s">
        <v>30</v>
      </c>
      <c r="F74" s="26"/>
      <c r="G74" s="29" t="b">
        <v>0</v>
      </c>
      <c r="H74" s="29" t="b">
        <v>0</v>
      </c>
    </row>
    <row r="75">
      <c r="A75" s="13">
        <v>45596.0</v>
      </c>
      <c r="B75" s="14" t="s">
        <v>18</v>
      </c>
      <c r="C75" s="139" t="s">
        <v>60</v>
      </c>
      <c r="D75" s="16" t="s">
        <v>715</v>
      </c>
      <c r="E75" s="17" t="s">
        <v>16</v>
      </c>
      <c r="F75" s="26" t="s">
        <v>716</v>
      </c>
      <c r="G75" s="29" t="b">
        <v>0</v>
      </c>
      <c r="H75" s="29" t="b">
        <v>0</v>
      </c>
    </row>
    <row r="76">
      <c r="A76" s="13">
        <v>45596.0</v>
      </c>
      <c r="B76" s="14" t="s">
        <v>18</v>
      </c>
      <c r="C76" s="15" t="s">
        <v>717</v>
      </c>
      <c r="D76" s="136" t="s">
        <v>134</v>
      </c>
      <c r="E76" s="17" t="s">
        <v>718</v>
      </c>
      <c r="F76" s="26" t="s">
        <v>719</v>
      </c>
      <c r="G76" s="29" t="b">
        <v>0</v>
      </c>
      <c r="H76" s="29" t="b">
        <v>0</v>
      </c>
    </row>
    <row r="77">
      <c r="A77" s="146">
        <v>45596.0</v>
      </c>
      <c r="B77" s="8" t="s">
        <v>18</v>
      </c>
      <c r="C77" s="21" t="s">
        <v>80</v>
      </c>
      <c r="D77" s="150" t="s">
        <v>720</v>
      </c>
      <c r="E77" s="17" t="s">
        <v>62</v>
      </c>
      <c r="F77" s="26"/>
      <c r="G77" s="29" t="b">
        <v>0</v>
      </c>
      <c r="H77" s="29" t="b">
        <v>0</v>
      </c>
    </row>
    <row r="78">
      <c r="A78" s="13">
        <v>45596.0</v>
      </c>
      <c r="B78" s="14" t="s">
        <v>18</v>
      </c>
      <c r="C78" s="15" t="s">
        <v>80</v>
      </c>
      <c r="D78" s="150" t="s">
        <v>721</v>
      </c>
      <c r="E78" s="17" t="s">
        <v>722</v>
      </c>
      <c r="F78" s="26" t="s">
        <v>723</v>
      </c>
      <c r="G78" s="29" t="b">
        <v>0</v>
      </c>
      <c r="H78" s="29" t="b">
        <v>0</v>
      </c>
    </row>
    <row r="79">
      <c r="A79" s="13">
        <v>45596.0</v>
      </c>
      <c r="B79" s="14" t="s">
        <v>18</v>
      </c>
      <c r="C79" s="139" t="s">
        <v>499</v>
      </c>
      <c r="D79" s="16" t="s">
        <v>724</v>
      </c>
      <c r="E79" s="17" t="s">
        <v>131</v>
      </c>
      <c r="F79" s="26"/>
      <c r="G79" s="29" t="b">
        <v>0</v>
      </c>
      <c r="H79" s="29" t="b">
        <v>0</v>
      </c>
    </row>
    <row r="80">
      <c r="A80" s="13">
        <v>45596.0</v>
      </c>
      <c r="B80" s="14" t="s">
        <v>10</v>
      </c>
      <c r="C80" s="15" t="s">
        <v>623</v>
      </c>
      <c r="D80" s="16" t="s">
        <v>654</v>
      </c>
      <c r="E80" s="17" t="s">
        <v>62</v>
      </c>
      <c r="F80" s="26"/>
      <c r="G80" s="29" t="b">
        <v>0</v>
      </c>
      <c r="H80" s="151" t="b">
        <v>0</v>
      </c>
    </row>
    <row r="81">
      <c r="A81" s="13">
        <v>45600.0</v>
      </c>
      <c r="B81" s="14" t="s">
        <v>18</v>
      </c>
      <c r="C81" s="15" t="s">
        <v>30</v>
      </c>
      <c r="D81" s="16" t="s">
        <v>725</v>
      </c>
      <c r="E81" s="17" t="s">
        <v>726</v>
      </c>
      <c r="F81" s="26"/>
      <c r="G81" s="29" t="b">
        <v>0</v>
      </c>
      <c r="H81" s="151" t="b">
        <v>0</v>
      </c>
    </row>
    <row r="82">
      <c r="A82" s="13">
        <v>45600.0</v>
      </c>
      <c r="B82" s="14" t="s">
        <v>18</v>
      </c>
      <c r="C82" s="133" t="s">
        <v>131</v>
      </c>
      <c r="D82" s="133" t="s">
        <v>727</v>
      </c>
      <c r="E82" s="135" t="s">
        <v>311</v>
      </c>
      <c r="F82" s="152"/>
      <c r="G82" s="29" t="b">
        <v>0</v>
      </c>
      <c r="H82" s="79" t="b">
        <v>0</v>
      </c>
    </row>
    <row r="83">
      <c r="A83" s="13">
        <v>45600.0</v>
      </c>
      <c r="B83" s="14" t="s">
        <v>18</v>
      </c>
      <c r="C83" s="15" t="s">
        <v>114</v>
      </c>
      <c r="D83" s="16" t="s">
        <v>678</v>
      </c>
      <c r="E83" s="17" t="s">
        <v>728</v>
      </c>
      <c r="F83" s="26"/>
      <c r="G83" s="29" t="b">
        <v>0</v>
      </c>
      <c r="H83" s="151" t="b">
        <v>0</v>
      </c>
    </row>
    <row r="84">
      <c r="A84" s="13">
        <v>45601.0</v>
      </c>
      <c r="B84" s="14" t="s">
        <v>18</v>
      </c>
      <c r="C84" s="133" t="s">
        <v>30</v>
      </c>
      <c r="D84" s="133" t="s">
        <v>729</v>
      </c>
      <c r="E84" s="135" t="s">
        <v>730</v>
      </c>
      <c r="F84" s="26"/>
      <c r="G84" s="29" t="b">
        <v>0</v>
      </c>
      <c r="H84" s="153" t="b">
        <v>0</v>
      </c>
    </row>
    <row r="85">
      <c r="A85" s="13">
        <v>45602.0</v>
      </c>
      <c r="B85" s="14" t="s">
        <v>18</v>
      </c>
      <c r="C85" s="139" t="s">
        <v>56</v>
      </c>
      <c r="D85" s="16" t="s">
        <v>708</v>
      </c>
      <c r="E85" s="17" t="s">
        <v>731</v>
      </c>
      <c r="F85" s="26" t="s">
        <v>710</v>
      </c>
      <c r="G85" s="29" t="b">
        <v>0</v>
      </c>
      <c r="H85" s="29" t="b">
        <v>0</v>
      </c>
    </row>
    <row r="86">
      <c r="A86" s="13">
        <v>45603.0</v>
      </c>
      <c r="B86" s="14" t="s">
        <v>10</v>
      </c>
      <c r="C86" s="139" t="s">
        <v>85</v>
      </c>
      <c r="D86" s="16" t="s">
        <v>732</v>
      </c>
      <c r="E86" s="17" t="s">
        <v>733</v>
      </c>
      <c r="F86" s="26"/>
      <c r="G86" s="29" t="b">
        <v>0</v>
      </c>
      <c r="H86" s="29" t="b">
        <v>0</v>
      </c>
    </row>
    <row r="87">
      <c r="A87" s="13">
        <v>45604.0</v>
      </c>
      <c r="B87" s="14" t="s">
        <v>18</v>
      </c>
      <c r="C87" s="139" t="s">
        <v>56</v>
      </c>
      <c r="D87" s="16" t="s">
        <v>261</v>
      </c>
      <c r="E87" s="17" t="s">
        <v>734</v>
      </c>
      <c r="F87" s="26" t="s">
        <v>710</v>
      </c>
      <c r="G87" s="29" t="b">
        <v>0</v>
      </c>
      <c r="H87" s="29" t="b">
        <v>0</v>
      </c>
    </row>
    <row r="88">
      <c r="A88" s="13">
        <v>45604.0</v>
      </c>
      <c r="B88" s="14" t="s">
        <v>18</v>
      </c>
      <c r="C88" s="139" t="s">
        <v>110</v>
      </c>
      <c r="D88" s="16" t="s">
        <v>20</v>
      </c>
      <c r="E88" s="140" t="s">
        <v>16</v>
      </c>
      <c r="F88" s="26" t="s">
        <v>735</v>
      </c>
      <c r="G88" s="29" t="b">
        <v>0</v>
      </c>
      <c r="H88" s="29" t="b">
        <v>0</v>
      </c>
    </row>
    <row r="89">
      <c r="A89" s="13">
        <v>45605.0</v>
      </c>
      <c r="B89" s="14" t="s">
        <v>18</v>
      </c>
      <c r="C89" s="139" t="s">
        <v>56</v>
      </c>
      <c r="D89" s="16" t="s">
        <v>736</v>
      </c>
      <c r="E89" s="17" t="s">
        <v>731</v>
      </c>
      <c r="F89" s="26" t="s">
        <v>710</v>
      </c>
      <c r="G89" s="29" t="b">
        <v>0</v>
      </c>
      <c r="H89" s="29" t="b">
        <v>0</v>
      </c>
    </row>
    <row r="90">
      <c r="A90" s="13">
        <v>45605.0</v>
      </c>
      <c r="B90" s="14" t="s">
        <v>18</v>
      </c>
      <c r="C90" s="139" t="s">
        <v>56</v>
      </c>
      <c r="D90" s="16" t="s">
        <v>737</v>
      </c>
      <c r="E90" s="17" t="s">
        <v>734</v>
      </c>
      <c r="F90" s="26" t="s">
        <v>710</v>
      </c>
      <c r="G90" s="29" t="b">
        <v>0</v>
      </c>
      <c r="H90" s="29" t="b">
        <v>0</v>
      </c>
    </row>
    <row r="91">
      <c r="A91" s="13">
        <v>45605.0</v>
      </c>
      <c r="B91" s="14" t="s">
        <v>18</v>
      </c>
      <c r="C91" s="15" t="s">
        <v>202</v>
      </c>
      <c r="D91" s="16" t="s">
        <v>674</v>
      </c>
      <c r="E91" s="17" t="s">
        <v>16</v>
      </c>
      <c r="F91" s="26" t="s">
        <v>738</v>
      </c>
      <c r="G91" s="29" t="b">
        <v>0</v>
      </c>
      <c r="H91" s="29" t="b">
        <v>0</v>
      </c>
    </row>
    <row r="92">
      <c r="A92" s="13">
        <v>45605.0</v>
      </c>
      <c r="B92" s="14" t="s">
        <v>18</v>
      </c>
      <c r="C92" s="15" t="s">
        <v>84</v>
      </c>
      <c r="D92" s="16" t="s">
        <v>366</v>
      </c>
      <c r="E92" s="17" t="s">
        <v>739</v>
      </c>
      <c r="F92" s="26"/>
      <c r="G92" s="29" t="b">
        <v>0</v>
      </c>
      <c r="H92" s="29" t="b">
        <v>0</v>
      </c>
    </row>
    <row r="93">
      <c r="A93" s="13">
        <v>45607.0</v>
      </c>
      <c r="B93" s="14" t="s">
        <v>18</v>
      </c>
      <c r="C93" s="15" t="s">
        <v>49</v>
      </c>
      <c r="D93" s="16" t="s">
        <v>740</v>
      </c>
      <c r="E93" s="17"/>
      <c r="F93" s="26" t="s">
        <v>741</v>
      </c>
      <c r="G93" s="29" t="b">
        <v>0</v>
      </c>
      <c r="H93" s="29" t="b">
        <v>0</v>
      </c>
    </row>
    <row r="94">
      <c r="A94" s="13">
        <v>45607.0</v>
      </c>
      <c r="B94" s="14" t="s">
        <v>26</v>
      </c>
      <c r="C94" s="15" t="s">
        <v>85</v>
      </c>
      <c r="D94" s="16" t="s">
        <v>742</v>
      </c>
      <c r="E94" s="20"/>
      <c r="F94" s="26" t="s">
        <v>743</v>
      </c>
      <c r="G94" s="29" t="b">
        <v>0</v>
      </c>
      <c r="H94" s="29" t="b">
        <v>0</v>
      </c>
    </row>
    <row r="95">
      <c r="A95" s="13">
        <v>45607.0</v>
      </c>
      <c r="B95" s="14" t="s">
        <v>18</v>
      </c>
      <c r="C95" s="15" t="s">
        <v>197</v>
      </c>
      <c r="D95" s="16" t="s">
        <v>382</v>
      </c>
      <c r="E95" s="17" t="s">
        <v>16</v>
      </c>
      <c r="F95" s="26" t="s">
        <v>744</v>
      </c>
      <c r="G95" s="29" t="b">
        <v>0</v>
      </c>
      <c r="H95" s="29" t="b">
        <v>0</v>
      </c>
    </row>
    <row r="96">
      <c r="A96" s="13">
        <v>45609.0</v>
      </c>
      <c r="B96" s="14" t="s">
        <v>26</v>
      </c>
      <c r="C96" s="15" t="s">
        <v>60</v>
      </c>
      <c r="D96" s="16" t="s">
        <v>745</v>
      </c>
      <c r="E96" s="17" t="s">
        <v>16</v>
      </c>
      <c r="F96" s="26" t="s">
        <v>746</v>
      </c>
      <c r="G96" s="29" t="b">
        <v>1</v>
      </c>
      <c r="H96" s="29" t="b">
        <v>0</v>
      </c>
    </row>
    <row r="97">
      <c r="A97" s="13">
        <v>45609.0</v>
      </c>
      <c r="B97" s="14" t="s">
        <v>18</v>
      </c>
      <c r="C97" s="15" t="s">
        <v>139</v>
      </c>
      <c r="D97" s="16" t="s">
        <v>348</v>
      </c>
      <c r="E97" s="17" t="s">
        <v>16</v>
      </c>
      <c r="F97" s="26" t="s">
        <v>97</v>
      </c>
      <c r="G97" s="29" t="b">
        <v>0</v>
      </c>
      <c r="H97" s="29" t="b">
        <v>0</v>
      </c>
    </row>
    <row r="98">
      <c r="A98" s="13">
        <v>45609.0</v>
      </c>
      <c r="B98" s="14" t="s">
        <v>18</v>
      </c>
      <c r="C98" s="15" t="s">
        <v>204</v>
      </c>
      <c r="D98" s="16" t="s">
        <v>747</v>
      </c>
      <c r="E98" s="17" t="s">
        <v>16</v>
      </c>
      <c r="F98" s="26" t="s">
        <v>748</v>
      </c>
      <c r="G98" s="29" t="b">
        <v>1</v>
      </c>
      <c r="H98" s="29" t="b">
        <v>0</v>
      </c>
    </row>
    <row r="99">
      <c r="A99" s="13">
        <v>45610.0</v>
      </c>
      <c r="B99" s="14" t="s">
        <v>18</v>
      </c>
      <c r="C99" s="15" t="s">
        <v>630</v>
      </c>
      <c r="D99" s="16" t="s">
        <v>749</v>
      </c>
      <c r="E99" s="17" t="s">
        <v>750</v>
      </c>
      <c r="F99" s="26" t="s">
        <v>634</v>
      </c>
      <c r="G99" s="29" t="b">
        <v>0</v>
      </c>
      <c r="H99" s="29" t="b">
        <v>0</v>
      </c>
    </row>
    <row r="100">
      <c r="A100" s="13">
        <v>45610.0</v>
      </c>
      <c r="B100" s="14" t="s">
        <v>59</v>
      </c>
      <c r="C100" s="15" t="s">
        <v>60</v>
      </c>
      <c r="D100" s="16" t="s">
        <v>751</v>
      </c>
      <c r="E100" s="17"/>
      <c r="F100" s="26" t="s">
        <v>746</v>
      </c>
      <c r="G100" s="29" t="b">
        <v>1</v>
      </c>
      <c r="H100" s="29" t="b">
        <v>0</v>
      </c>
    </row>
    <row r="101">
      <c r="A101" s="13">
        <v>45611.0</v>
      </c>
      <c r="B101" s="14" t="s">
        <v>18</v>
      </c>
      <c r="C101" s="15" t="s">
        <v>54</v>
      </c>
      <c r="D101" s="16" t="s">
        <v>20</v>
      </c>
      <c r="E101" s="17" t="s">
        <v>56</v>
      </c>
      <c r="F101" s="26"/>
      <c r="G101" s="29" t="b">
        <v>0</v>
      </c>
      <c r="H101" s="29" t="b">
        <v>0</v>
      </c>
    </row>
    <row r="102">
      <c r="A102" s="13">
        <v>45611.0</v>
      </c>
      <c r="B102" s="14" t="s">
        <v>10</v>
      </c>
      <c r="C102" s="15" t="s">
        <v>19</v>
      </c>
      <c r="D102" s="136" t="s">
        <v>658</v>
      </c>
      <c r="E102" s="17"/>
      <c r="F102" s="26" t="s">
        <v>752</v>
      </c>
      <c r="G102" s="29" t="b">
        <v>0</v>
      </c>
      <c r="H102" s="29" t="b">
        <v>0</v>
      </c>
    </row>
    <row r="103">
      <c r="A103" s="13">
        <v>45611.0</v>
      </c>
      <c r="B103" s="14" t="s">
        <v>59</v>
      </c>
      <c r="C103" s="15" t="s">
        <v>84</v>
      </c>
      <c r="D103" s="136" t="s">
        <v>157</v>
      </c>
      <c r="E103" s="17"/>
      <c r="F103" s="26" t="s">
        <v>753</v>
      </c>
      <c r="G103" s="29" t="b">
        <v>1</v>
      </c>
      <c r="H103" s="29" t="b">
        <v>0</v>
      </c>
    </row>
    <row r="104">
      <c r="A104" s="13">
        <v>45612.0</v>
      </c>
      <c r="B104" s="14" t="s">
        <v>355</v>
      </c>
      <c r="C104" s="15" t="s">
        <v>66</v>
      </c>
      <c r="D104" s="136" t="s">
        <v>157</v>
      </c>
      <c r="E104" s="17" t="s">
        <v>65</v>
      </c>
      <c r="F104" s="26" t="s">
        <v>754</v>
      </c>
      <c r="G104" s="29" t="b">
        <v>1</v>
      </c>
      <c r="H104" s="29" t="b">
        <v>0</v>
      </c>
    </row>
    <row r="105">
      <c r="A105" s="13">
        <v>45612.0</v>
      </c>
      <c r="B105" s="14" t="s">
        <v>355</v>
      </c>
      <c r="C105" s="133" t="s">
        <v>311</v>
      </c>
      <c r="D105" s="134" t="s">
        <v>157</v>
      </c>
      <c r="E105" s="135" t="s">
        <v>16</v>
      </c>
      <c r="F105" s="26" t="s">
        <v>753</v>
      </c>
      <c r="G105" s="29" t="b">
        <v>1</v>
      </c>
      <c r="H105" s="79" t="b">
        <v>0</v>
      </c>
    </row>
    <row r="106">
      <c r="A106" s="13">
        <v>45614.0</v>
      </c>
      <c r="B106" s="14" t="s">
        <v>18</v>
      </c>
      <c r="C106" s="133" t="s">
        <v>70</v>
      </c>
      <c r="D106" s="133" t="s">
        <v>755</v>
      </c>
      <c r="E106" s="135" t="s">
        <v>16</v>
      </c>
      <c r="F106" s="154" t="s">
        <v>198</v>
      </c>
      <c r="G106" s="29" t="b">
        <v>0</v>
      </c>
      <c r="H106" s="79" t="b">
        <v>0</v>
      </c>
    </row>
    <row r="107">
      <c r="A107" s="13">
        <v>45614.0</v>
      </c>
      <c r="B107" s="14" t="s">
        <v>18</v>
      </c>
      <c r="C107" s="133" t="s">
        <v>125</v>
      </c>
      <c r="D107" s="134" t="s">
        <v>88</v>
      </c>
      <c r="E107" s="135" t="s">
        <v>16</v>
      </c>
      <c r="F107" s="26" t="s">
        <v>756</v>
      </c>
      <c r="G107" s="32" t="b">
        <v>1</v>
      </c>
      <c r="H107" s="94" t="b">
        <v>0</v>
      </c>
    </row>
    <row r="108">
      <c r="A108" s="13">
        <v>45616.0</v>
      </c>
      <c r="B108" s="14" t="s">
        <v>355</v>
      </c>
      <c r="C108" s="133" t="s">
        <v>350</v>
      </c>
      <c r="D108" s="134" t="s">
        <v>757</v>
      </c>
      <c r="E108" s="135" t="s">
        <v>16</v>
      </c>
      <c r="F108" s="26" t="s">
        <v>758</v>
      </c>
      <c r="G108" s="32" t="b">
        <v>1</v>
      </c>
      <c r="H108" s="94" t="b">
        <v>0</v>
      </c>
    </row>
    <row r="109">
      <c r="A109" s="13">
        <v>45616.0</v>
      </c>
      <c r="B109" s="14" t="s">
        <v>59</v>
      </c>
      <c r="C109" s="133" t="s">
        <v>60</v>
      </c>
      <c r="D109" s="133" t="s">
        <v>759</v>
      </c>
      <c r="E109" s="135"/>
      <c r="F109" s="26" t="s">
        <v>753</v>
      </c>
      <c r="G109" s="29" t="b">
        <v>1</v>
      </c>
      <c r="H109" s="79" t="b">
        <v>0</v>
      </c>
    </row>
    <row r="110">
      <c r="A110" s="13">
        <v>45616.0</v>
      </c>
      <c r="B110" s="14" t="s">
        <v>10</v>
      </c>
      <c r="C110" s="133" t="s">
        <v>739</v>
      </c>
      <c r="D110" s="133" t="s">
        <v>760</v>
      </c>
      <c r="E110" s="135"/>
      <c r="F110" s="26" t="s">
        <v>761</v>
      </c>
      <c r="G110" s="29" t="b">
        <v>0</v>
      </c>
      <c r="H110" s="79" t="b">
        <v>0</v>
      </c>
    </row>
    <row r="111">
      <c r="A111" s="13">
        <v>45616.0</v>
      </c>
      <c r="B111" s="14" t="s">
        <v>10</v>
      </c>
      <c r="C111" s="133" t="s">
        <v>350</v>
      </c>
      <c r="D111" s="133" t="s">
        <v>285</v>
      </c>
      <c r="E111" s="135"/>
      <c r="F111" s="26" t="s">
        <v>761</v>
      </c>
      <c r="G111" s="29" t="b">
        <v>0</v>
      </c>
      <c r="H111" s="79" t="b">
        <v>0</v>
      </c>
    </row>
    <row r="112">
      <c r="A112" s="13">
        <v>45616.0</v>
      </c>
      <c r="B112" s="14" t="s">
        <v>10</v>
      </c>
      <c r="C112" s="133" t="s">
        <v>667</v>
      </c>
      <c r="D112" s="133" t="s">
        <v>285</v>
      </c>
      <c r="E112" s="135"/>
      <c r="F112" s="26" t="s">
        <v>761</v>
      </c>
      <c r="G112" s="29" t="b">
        <v>0</v>
      </c>
      <c r="H112" s="79" t="b">
        <v>0</v>
      </c>
    </row>
    <row r="113">
      <c r="A113" s="13">
        <v>45616.0</v>
      </c>
      <c r="B113" s="14" t="s">
        <v>18</v>
      </c>
      <c r="C113" s="133" t="s">
        <v>204</v>
      </c>
      <c r="D113" s="133" t="s">
        <v>711</v>
      </c>
      <c r="E113" s="135" t="s">
        <v>47</v>
      </c>
      <c r="F113" s="152"/>
      <c r="G113" s="29" t="b">
        <v>0</v>
      </c>
      <c r="H113" s="79" t="b">
        <v>0</v>
      </c>
    </row>
    <row r="114">
      <c r="A114" s="13">
        <v>45616.0</v>
      </c>
      <c r="B114" s="14" t="s">
        <v>18</v>
      </c>
      <c r="C114" s="133" t="s">
        <v>204</v>
      </c>
      <c r="D114" s="133" t="s">
        <v>708</v>
      </c>
      <c r="E114" s="135" t="s">
        <v>739</v>
      </c>
      <c r="F114" s="152"/>
      <c r="G114" s="29" t="b">
        <v>0</v>
      </c>
      <c r="H114" s="79" t="b">
        <v>0</v>
      </c>
    </row>
    <row r="115">
      <c r="A115" s="13">
        <v>45616.0</v>
      </c>
      <c r="B115" s="14" t="s">
        <v>18</v>
      </c>
      <c r="C115" s="133" t="s">
        <v>204</v>
      </c>
      <c r="D115" s="133" t="s">
        <v>105</v>
      </c>
      <c r="E115" s="135" t="s">
        <v>762</v>
      </c>
      <c r="F115" s="138" t="s">
        <v>763</v>
      </c>
      <c r="G115" s="29" t="b">
        <v>0</v>
      </c>
      <c r="H115" s="79" t="b">
        <v>0</v>
      </c>
    </row>
    <row r="116">
      <c r="A116" s="13">
        <v>45617.0</v>
      </c>
      <c r="B116" s="14" t="s">
        <v>18</v>
      </c>
      <c r="C116" s="133" t="s">
        <v>630</v>
      </c>
      <c r="D116" s="133" t="s">
        <v>749</v>
      </c>
      <c r="E116" s="135" t="s">
        <v>750</v>
      </c>
      <c r="F116" s="26" t="s">
        <v>634</v>
      </c>
      <c r="G116" s="29" t="b">
        <v>0</v>
      </c>
      <c r="H116" s="79" t="b">
        <v>0</v>
      </c>
    </row>
    <row r="117">
      <c r="A117" s="13">
        <v>45618.0</v>
      </c>
      <c r="B117" s="14" t="s">
        <v>18</v>
      </c>
      <c r="C117" s="133" t="s">
        <v>49</v>
      </c>
      <c r="D117" s="133" t="s">
        <v>764</v>
      </c>
      <c r="E117" s="135" t="s">
        <v>144</v>
      </c>
      <c r="F117" s="26"/>
      <c r="G117" s="29" t="b">
        <v>0</v>
      </c>
      <c r="H117" s="79" t="b">
        <v>0</v>
      </c>
    </row>
    <row r="118">
      <c r="A118" s="13">
        <v>45618.0</v>
      </c>
      <c r="B118" s="14" t="s">
        <v>18</v>
      </c>
      <c r="C118" s="133" t="s">
        <v>49</v>
      </c>
      <c r="D118" s="133" t="s">
        <v>765</v>
      </c>
      <c r="E118" s="135" t="s">
        <v>56</v>
      </c>
      <c r="F118" s="26"/>
      <c r="G118" s="29" t="b">
        <v>0</v>
      </c>
      <c r="H118" s="79" t="b">
        <v>0</v>
      </c>
    </row>
    <row r="119">
      <c r="A119" s="13">
        <v>45618.0</v>
      </c>
      <c r="B119" s="14" t="s">
        <v>18</v>
      </c>
      <c r="C119" s="133" t="s">
        <v>49</v>
      </c>
      <c r="D119" s="133" t="s">
        <v>766</v>
      </c>
      <c r="E119" s="135" t="s">
        <v>16</v>
      </c>
      <c r="F119" s="26" t="s">
        <v>767</v>
      </c>
      <c r="G119" s="29" t="b">
        <v>0</v>
      </c>
      <c r="H119" s="79" t="b">
        <v>0</v>
      </c>
    </row>
    <row r="120">
      <c r="A120" s="13">
        <v>45619.0</v>
      </c>
      <c r="B120" s="14" t="s">
        <v>18</v>
      </c>
      <c r="C120" s="15" t="s">
        <v>202</v>
      </c>
      <c r="D120" s="16" t="s">
        <v>768</v>
      </c>
      <c r="E120" s="17" t="s">
        <v>16</v>
      </c>
      <c r="F120" s="26" t="s">
        <v>769</v>
      </c>
      <c r="G120" s="29" t="b">
        <v>1</v>
      </c>
      <c r="H120" s="29" t="b">
        <v>0</v>
      </c>
    </row>
    <row r="121">
      <c r="A121" s="13">
        <v>45621.0</v>
      </c>
      <c r="B121" s="14" t="s">
        <v>18</v>
      </c>
      <c r="C121" s="15" t="s">
        <v>49</v>
      </c>
      <c r="D121" s="16" t="s">
        <v>740</v>
      </c>
      <c r="E121" s="17" t="s">
        <v>56</v>
      </c>
      <c r="F121" s="26"/>
      <c r="G121" s="29" t="b">
        <v>0</v>
      </c>
      <c r="H121" s="29" t="b">
        <v>0</v>
      </c>
    </row>
    <row r="122">
      <c r="A122" s="13">
        <v>45621.0</v>
      </c>
      <c r="B122" s="14" t="s">
        <v>18</v>
      </c>
      <c r="C122" s="15" t="s">
        <v>67</v>
      </c>
      <c r="D122" s="16" t="s">
        <v>770</v>
      </c>
      <c r="E122" s="17" t="s">
        <v>311</v>
      </c>
      <c r="F122" s="26"/>
      <c r="G122" s="29" t="b">
        <v>0</v>
      </c>
      <c r="H122" s="29" t="b">
        <v>0</v>
      </c>
    </row>
    <row r="123">
      <c r="A123" s="13">
        <v>45621.0</v>
      </c>
      <c r="B123" s="14" t="s">
        <v>18</v>
      </c>
      <c r="C123" s="15" t="s">
        <v>67</v>
      </c>
      <c r="D123" s="16" t="s">
        <v>230</v>
      </c>
      <c r="E123" s="17" t="s">
        <v>16</v>
      </c>
      <c r="F123" s="26" t="s">
        <v>771</v>
      </c>
      <c r="G123" s="29" t="b">
        <v>1</v>
      </c>
      <c r="H123" s="29" t="b">
        <v>0</v>
      </c>
    </row>
    <row r="124">
      <c r="A124" s="13">
        <v>45621.0</v>
      </c>
      <c r="B124" s="14" t="s">
        <v>26</v>
      </c>
      <c r="C124" s="15" t="s">
        <v>19</v>
      </c>
      <c r="D124" s="16" t="s">
        <v>772</v>
      </c>
      <c r="E124" s="17" t="s">
        <v>65</v>
      </c>
      <c r="F124" s="26" t="s">
        <v>769</v>
      </c>
      <c r="G124" s="29" t="b">
        <v>1</v>
      </c>
      <c r="H124" s="29" t="b">
        <v>0</v>
      </c>
    </row>
    <row r="125">
      <c r="A125" s="13">
        <v>45621.0</v>
      </c>
      <c r="B125" s="14" t="s">
        <v>26</v>
      </c>
      <c r="C125" s="15" t="s">
        <v>338</v>
      </c>
      <c r="D125" s="16" t="s">
        <v>773</v>
      </c>
      <c r="E125" s="17" t="s">
        <v>16</v>
      </c>
      <c r="F125" s="26" t="s">
        <v>774</v>
      </c>
      <c r="G125" s="29" t="b">
        <v>1</v>
      </c>
      <c r="H125" s="29" t="b">
        <v>0</v>
      </c>
    </row>
    <row r="126">
      <c r="A126" s="51">
        <v>45622.0</v>
      </c>
      <c r="B126" s="52" t="s">
        <v>59</v>
      </c>
      <c r="C126" s="53" t="s">
        <v>338</v>
      </c>
      <c r="D126" s="54" t="s">
        <v>775</v>
      </c>
      <c r="E126" s="96"/>
      <c r="F126" s="26" t="s">
        <v>769</v>
      </c>
      <c r="G126" s="32" t="b">
        <v>1</v>
      </c>
      <c r="H126" s="32" t="b">
        <v>0</v>
      </c>
    </row>
    <row r="127">
      <c r="A127" s="13">
        <v>45623.0</v>
      </c>
      <c r="B127" s="14" t="s">
        <v>18</v>
      </c>
      <c r="C127" s="15" t="s">
        <v>204</v>
      </c>
      <c r="D127" s="16" t="s">
        <v>776</v>
      </c>
      <c r="E127" s="17" t="s">
        <v>47</v>
      </c>
      <c r="F127" s="26"/>
      <c r="G127" s="29" t="b">
        <v>0</v>
      </c>
      <c r="H127" s="29" t="b">
        <v>0</v>
      </c>
    </row>
    <row r="128">
      <c r="A128" s="13">
        <v>45623.0</v>
      </c>
      <c r="B128" s="8" t="s">
        <v>18</v>
      </c>
      <c r="C128" s="21" t="s">
        <v>204</v>
      </c>
      <c r="D128" s="16" t="s">
        <v>777</v>
      </c>
      <c r="E128" s="17" t="s">
        <v>739</v>
      </c>
      <c r="F128" s="155"/>
      <c r="G128" s="29" t="b">
        <v>0</v>
      </c>
      <c r="H128" s="29" t="b">
        <v>0</v>
      </c>
    </row>
    <row r="129">
      <c r="A129" s="13">
        <v>45623.0</v>
      </c>
      <c r="B129" s="14" t="s">
        <v>18</v>
      </c>
      <c r="C129" s="15" t="s">
        <v>204</v>
      </c>
      <c r="D129" s="16" t="s">
        <v>105</v>
      </c>
      <c r="E129" s="135" t="s">
        <v>762</v>
      </c>
      <c r="F129" s="138" t="s">
        <v>763</v>
      </c>
      <c r="G129" s="29" t="b">
        <v>0</v>
      </c>
      <c r="H129" s="29" t="b">
        <v>0</v>
      </c>
    </row>
    <row r="130">
      <c r="A130" s="13">
        <v>45623.0</v>
      </c>
      <c r="B130" s="14" t="s">
        <v>18</v>
      </c>
      <c r="C130" s="133" t="s">
        <v>11</v>
      </c>
      <c r="D130" s="133" t="s">
        <v>301</v>
      </c>
      <c r="E130" s="135" t="s">
        <v>114</v>
      </c>
      <c r="F130" s="26" t="s">
        <v>117</v>
      </c>
      <c r="G130" s="29" t="b">
        <v>0</v>
      </c>
      <c r="H130" s="79" t="b">
        <v>0</v>
      </c>
    </row>
    <row r="131">
      <c r="A131" s="13">
        <v>45623.0</v>
      </c>
      <c r="B131" s="14" t="s">
        <v>18</v>
      </c>
      <c r="C131" s="133" t="s">
        <v>338</v>
      </c>
      <c r="D131" s="16" t="s">
        <v>778</v>
      </c>
      <c r="E131" s="17" t="s">
        <v>70</v>
      </c>
      <c r="F131" s="26"/>
      <c r="G131" s="29" t="b">
        <v>0</v>
      </c>
      <c r="H131" s="29" t="b">
        <v>0</v>
      </c>
    </row>
    <row r="132">
      <c r="A132" s="13">
        <v>45625.0</v>
      </c>
      <c r="B132" s="14" t="s">
        <v>18</v>
      </c>
      <c r="C132" s="133" t="s">
        <v>49</v>
      </c>
      <c r="D132" s="16" t="s">
        <v>764</v>
      </c>
      <c r="E132" s="17" t="s">
        <v>144</v>
      </c>
      <c r="F132" s="26"/>
      <c r="G132" s="29" t="b">
        <v>0</v>
      </c>
      <c r="H132" s="29" t="b">
        <v>0</v>
      </c>
    </row>
    <row r="133">
      <c r="A133" s="13">
        <v>45625.0</v>
      </c>
      <c r="B133" s="14" t="s">
        <v>18</v>
      </c>
      <c r="C133" s="133" t="s">
        <v>49</v>
      </c>
      <c r="D133" s="16" t="s">
        <v>765</v>
      </c>
      <c r="E133" s="17" t="s">
        <v>56</v>
      </c>
      <c r="F133" s="26"/>
      <c r="G133" s="29" t="b">
        <v>0</v>
      </c>
      <c r="H133" s="29" t="b">
        <v>0</v>
      </c>
    </row>
    <row r="134">
      <c r="A134" s="13">
        <v>45625.0</v>
      </c>
      <c r="B134" s="14" t="s">
        <v>18</v>
      </c>
      <c r="C134" s="133" t="s">
        <v>49</v>
      </c>
      <c r="D134" s="16" t="s">
        <v>766</v>
      </c>
      <c r="E134" s="17" t="s">
        <v>16</v>
      </c>
      <c r="F134" s="26" t="s">
        <v>767</v>
      </c>
      <c r="G134" s="29" t="b">
        <v>0</v>
      </c>
      <c r="H134" s="29" t="b">
        <v>0</v>
      </c>
    </row>
    <row r="135">
      <c r="A135" s="13">
        <v>45628.0</v>
      </c>
      <c r="B135" s="14" t="s">
        <v>18</v>
      </c>
      <c r="C135" s="133" t="s">
        <v>67</v>
      </c>
      <c r="D135" s="16" t="s">
        <v>770</v>
      </c>
      <c r="E135" s="17" t="s">
        <v>311</v>
      </c>
      <c r="F135" s="26"/>
      <c r="G135" s="29" t="b">
        <v>0</v>
      </c>
      <c r="H135" s="29" t="b">
        <v>0</v>
      </c>
    </row>
    <row r="136">
      <c r="A136" s="146">
        <v>45628.0</v>
      </c>
      <c r="B136" s="8" t="s">
        <v>18</v>
      </c>
      <c r="C136" s="9" t="s">
        <v>67</v>
      </c>
      <c r="D136" s="16" t="s">
        <v>230</v>
      </c>
      <c r="E136" s="17" t="s">
        <v>65</v>
      </c>
      <c r="F136" s="26" t="s">
        <v>779</v>
      </c>
      <c r="G136" s="29" t="b">
        <v>1</v>
      </c>
      <c r="H136" s="29" t="b">
        <v>0</v>
      </c>
    </row>
    <row r="137">
      <c r="A137" s="146">
        <v>45628.0</v>
      </c>
      <c r="B137" s="8" t="s">
        <v>18</v>
      </c>
      <c r="C137" s="133" t="s">
        <v>114</v>
      </c>
      <c r="D137" s="16" t="s">
        <v>515</v>
      </c>
      <c r="E137" s="17" t="s">
        <v>734</v>
      </c>
      <c r="F137" s="26" t="s">
        <v>780</v>
      </c>
      <c r="G137" s="29" t="b">
        <v>0</v>
      </c>
      <c r="H137" s="29" t="b">
        <v>0</v>
      </c>
    </row>
    <row r="138">
      <c r="A138" s="13">
        <v>45628.0</v>
      </c>
      <c r="B138" s="14" t="s">
        <v>26</v>
      </c>
      <c r="C138" s="133" t="s">
        <v>125</v>
      </c>
      <c r="D138" s="16" t="s">
        <v>413</v>
      </c>
      <c r="E138" s="17" t="s">
        <v>781</v>
      </c>
      <c r="F138" s="26" t="s">
        <v>782</v>
      </c>
      <c r="G138" s="29" t="b">
        <v>1</v>
      </c>
      <c r="H138" s="29" t="b">
        <v>0</v>
      </c>
    </row>
    <row r="139">
      <c r="A139" s="13">
        <v>45629.0</v>
      </c>
      <c r="B139" s="14" t="s">
        <v>18</v>
      </c>
      <c r="C139" s="133" t="s">
        <v>204</v>
      </c>
      <c r="D139" s="16" t="s">
        <v>168</v>
      </c>
      <c r="E139" s="17" t="s">
        <v>739</v>
      </c>
      <c r="F139" s="26"/>
      <c r="G139" s="29" t="b">
        <v>0</v>
      </c>
      <c r="H139" s="29" t="b">
        <v>0</v>
      </c>
    </row>
    <row r="140">
      <c r="A140" s="13">
        <v>45629.0</v>
      </c>
      <c r="B140" s="14" t="s">
        <v>355</v>
      </c>
      <c r="C140" s="133" t="s">
        <v>125</v>
      </c>
      <c r="D140" s="133" t="s">
        <v>783</v>
      </c>
      <c r="E140" s="135" t="s">
        <v>16</v>
      </c>
      <c r="F140" s="26" t="s">
        <v>784</v>
      </c>
      <c r="G140" s="29" t="b">
        <v>1</v>
      </c>
      <c r="H140" s="79" t="b">
        <v>0</v>
      </c>
    </row>
    <row r="141">
      <c r="A141" s="13">
        <v>45630.0</v>
      </c>
      <c r="B141" s="14" t="s">
        <v>18</v>
      </c>
      <c r="C141" s="133" t="s">
        <v>204</v>
      </c>
      <c r="D141" s="133" t="s">
        <v>776</v>
      </c>
      <c r="E141" s="135" t="s">
        <v>762</v>
      </c>
      <c r="F141" s="138" t="s">
        <v>763</v>
      </c>
      <c r="G141" s="29" t="b">
        <v>0</v>
      </c>
      <c r="H141" s="79" t="b">
        <v>0</v>
      </c>
    </row>
    <row r="142">
      <c r="A142" s="13">
        <v>45630.0</v>
      </c>
      <c r="B142" s="14" t="s">
        <v>18</v>
      </c>
      <c r="C142" s="133" t="s">
        <v>66</v>
      </c>
      <c r="D142" s="133" t="s">
        <v>348</v>
      </c>
      <c r="E142" s="135" t="s">
        <v>198</v>
      </c>
      <c r="F142" s="138"/>
      <c r="G142" s="29" t="b">
        <v>0</v>
      </c>
      <c r="H142" s="79" t="b">
        <v>0</v>
      </c>
    </row>
    <row r="143">
      <c r="A143" s="146">
        <v>45630.0</v>
      </c>
      <c r="B143" s="8" t="s">
        <v>18</v>
      </c>
      <c r="C143" s="9" t="s">
        <v>204</v>
      </c>
      <c r="D143" s="16" t="s">
        <v>777</v>
      </c>
      <c r="E143" s="135" t="s">
        <v>739</v>
      </c>
      <c r="F143" s="155"/>
      <c r="G143" s="29" t="b">
        <v>0</v>
      </c>
      <c r="H143" s="29" t="b">
        <v>0</v>
      </c>
    </row>
    <row r="144">
      <c r="A144" s="13">
        <v>45630.0</v>
      </c>
      <c r="B144" s="14" t="s">
        <v>18</v>
      </c>
      <c r="C144" s="133" t="s">
        <v>47</v>
      </c>
      <c r="D144" s="133" t="s">
        <v>427</v>
      </c>
      <c r="E144" s="135" t="s">
        <v>30</v>
      </c>
      <c r="F144" s="26"/>
      <c r="G144" s="29" t="b">
        <v>0</v>
      </c>
      <c r="H144" s="79" t="b">
        <v>0</v>
      </c>
    </row>
    <row r="145">
      <c r="A145" s="13">
        <v>45630.0</v>
      </c>
      <c r="B145" s="14" t="s">
        <v>18</v>
      </c>
      <c r="C145" s="133" t="s">
        <v>204</v>
      </c>
      <c r="D145" s="133" t="s">
        <v>105</v>
      </c>
      <c r="E145" s="135" t="s">
        <v>762</v>
      </c>
      <c r="F145" s="138" t="s">
        <v>763</v>
      </c>
      <c r="G145" s="29" t="b">
        <v>0</v>
      </c>
      <c r="H145" s="79" t="b">
        <v>0</v>
      </c>
    </row>
    <row r="146">
      <c r="A146" s="13">
        <v>45630.0</v>
      </c>
      <c r="B146" s="14" t="s">
        <v>18</v>
      </c>
      <c r="C146" s="133" t="s">
        <v>352</v>
      </c>
      <c r="D146" s="133" t="s">
        <v>105</v>
      </c>
      <c r="E146" s="135"/>
      <c r="F146" s="138" t="s">
        <v>97</v>
      </c>
      <c r="G146" s="29" t="b">
        <v>0</v>
      </c>
      <c r="H146" s="79" t="b">
        <v>0</v>
      </c>
    </row>
    <row r="147">
      <c r="A147" s="13">
        <v>45630.0</v>
      </c>
      <c r="B147" s="14" t="s">
        <v>18</v>
      </c>
      <c r="C147" s="133" t="s">
        <v>386</v>
      </c>
      <c r="D147" s="133" t="s">
        <v>785</v>
      </c>
      <c r="E147" s="135" t="s">
        <v>65</v>
      </c>
      <c r="F147" s="138" t="s">
        <v>786</v>
      </c>
      <c r="G147" s="29" t="b">
        <v>0</v>
      </c>
      <c r="H147" s="79" t="b">
        <v>0</v>
      </c>
    </row>
    <row r="148">
      <c r="A148" s="13">
        <v>45630.0</v>
      </c>
      <c r="B148" s="14" t="s">
        <v>18</v>
      </c>
      <c r="C148" s="133" t="s">
        <v>386</v>
      </c>
      <c r="D148" s="133" t="s">
        <v>787</v>
      </c>
      <c r="E148" s="135" t="s">
        <v>65</v>
      </c>
      <c r="F148" s="138" t="s">
        <v>786</v>
      </c>
      <c r="G148" s="29" t="b">
        <v>0</v>
      </c>
      <c r="H148" s="79" t="b">
        <v>0</v>
      </c>
    </row>
    <row r="149">
      <c r="A149" s="13">
        <v>45630.0</v>
      </c>
      <c r="B149" s="14" t="s">
        <v>18</v>
      </c>
      <c r="C149" s="133" t="s">
        <v>352</v>
      </c>
      <c r="D149" s="133" t="s">
        <v>496</v>
      </c>
      <c r="E149" s="135" t="s">
        <v>16</v>
      </c>
      <c r="F149" s="138" t="s">
        <v>786</v>
      </c>
      <c r="G149" s="29" t="b">
        <v>0</v>
      </c>
      <c r="H149" s="79" t="b">
        <v>0</v>
      </c>
    </row>
    <row r="150">
      <c r="A150" s="13">
        <v>45630.0</v>
      </c>
      <c r="B150" s="14" t="s">
        <v>18</v>
      </c>
      <c r="C150" s="133" t="s">
        <v>352</v>
      </c>
      <c r="D150" s="133" t="s">
        <v>787</v>
      </c>
      <c r="E150" s="135" t="s">
        <v>16</v>
      </c>
      <c r="F150" s="138" t="s">
        <v>786</v>
      </c>
      <c r="G150" s="29" t="b">
        <v>0</v>
      </c>
      <c r="H150" s="79" t="b">
        <v>0</v>
      </c>
    </row>
    <row r="151">
      <c r="A151" s="13">
        <v>45630.0</v>
      </c>
      <c r="B151" s="14" t="s">
        <v>18</v>
      </c>
      <c r="C151" s="133" t="s">
        <v>650</v>
      </c>
      <c r="D151" s="133" t="s">
        <v>348</v>
      </c>
      <c r="E151" s="135" t="s">
        <v>788</v>
      </c>
      <c r="F151" s="138" t="s">
        <v>789</v>
      </c>
      <c r="G151" s="29" t="b">
        <v>0</v>
      </c>
      <c r="H151" s="79" t="b">
        <v>0</v>
      </c>
    </row>
    <row r="152">
      <c r="A152" s="13">
        <v>45631.0</v>
      </c>
      <c r="B152" s="14" t="s">
        <v>18</v>
      </c>
      <c r="C152" s="133" t="s">
        <v>623</v>
      </c>
      <c r="D152" s="133" t="s">
        <v>790</v>
      </c>
      <c r="E152" s="135" t="s">
        <v>791</v>
      </c>
      <c r="F152" s="152" t="s">
        <v>792</v>
      </c>
      <c r="G152" s="29" t="b">
        <v>0</v>
      </c>
      <c r="H152" s="79" t="b">
        <v>0</v>
      </c>
    </row>
    <row r="153">
      <c r="A153" s="13">
        <v>45631.0</v>
      </c>
      <c r="B153" s="14" t="s">
        <v>18</v>
      </c>
      <c r="C153" s="133" t="s">
        <v>630</v>
      </c>
      <c r="D153" s="133" t="s">
        <v>240</v>
      </c>
      <c r="E153" s="135" t="s">
        <v>16</v>
      </c>
      <c r="F153" s="152" t="s">
        <v>793</v>
      </c>
      <c r="G153" s="29" t="b">
        <v>0</v>
      </c>
      <c r="H153" s="79" t="b">
        <v>0</v>
      </c>
    </row>
    <row r="154">
      <c r="A154" s="13">
        <v>45631.0</v>
      </c>
      <c r="B154" s="14" t="s">
        <v>18</v>
      </c>
      <c r="C154" s="133" t="s">
        <v>623</v>
      </c>
      <c r="D154" s="133" t="s">
        <v>794</v>
      </c>
      <c r="E154" s="135" t="s">
        <v>791</v>
      </c>
      <c r="F154" s="152" t="s">
        <v>792</v>
      </c>
      <c r="G154" s="29" t="b">
        <v>0</v>
      </c>
      <c r="H154" s="79" t="b">
        <v>0</v>
      </c>
    </row>
    <row r="155">
      <c r="A155" s="13">
        <v>45631.0</v>
      </c>
      <c r="B155" s="14" t="s">
        <v>18</v>
      </c>
      <c r="C155" s="133" t="s">
        <v>623</v>
      </c>
      <c r="D155" s="133" t="s">
        <v>795</v>
      </c>
      <c r="E155" s="135" t="s">
        <v>791</v>
      </c>
      <c r="F155" s="152" t="s">
        <v>792</v>
      </c>
      <c r="G155" s="29" t="b">
        <v>0</v>
      </c>
      <c r="H155" s="79" t="b">
        <v>0</v>
      </c>
    </row>
    <row r="156">
      <c r="A156" s="13">
        <v>45632.0</v>
      </c>
      <c r="B156" s="14" t="s">
        <v>18</v>
      </c>
      <c r="C156" s="133" t="s">
        <v>796</v>
      </c>
      <c r="D156" s="133" t="s">
        <v>261</v>
      </c>
      <c r="E156" s="135" t="s">
        <v>97</v>
      </c>
      <c r="F156" s="152" t="s">
        <v>797</v>
      </c>
      <c r="G156" s="29" t="b">
        <v>0</v>
      </c>
      <c r="H156" s="79" t="b">
        <v>0</v>
      </c>
    </row>
    <row r="157">
      <c r="A157" s="13">
        <v>45632.0</v>
      </c>
      <c r="B157" s="14" t="s">
        <v>18</v>
      </c>
      <c r="C157" s="133" t="s">
        <v>19</v>
      </c>
      <c r="D157" s="133" t="s">
        <v>798</v>
      </c>
      <c r="E157" s="135" t="s">
        <v>799</v>
      </c>
      <c r="F157" s="152" t="s">
        <v>800</v>
      </c>
      <c r="G157" s="29" t="b">
        <v>0</v>
      </c>
      <c r="H157" s="79" t="b">
        <v>0</v>
      </c>
    </row>
    <row r="158">
      <c r="A158" s="13">
        <v>45632.0</v>
      </c>
      <c r="B158" s="14" t="s">
        <v>18</v>
      </c>
      <c r="C158" s="133" t="s">
        <v>19</v>
      </c>
      <c r="D158" s="133" t="s">
        <v>801</v>
      </c>
      <c r="E158" s="135" t="s">
        <v>802</v>
      </c>
      <c r="F158" s="152" t="s">
        <v>793</v>
      </c>
      <c r="G158" s="29" t="b">
        <v>1</v>
      </c>
      <c r="H158" s="79" t="b">
        <v>0</v>
      </c>
    </row>
    <row r="159">
      <c r="A159" s="13">
        <v>45635.0</v>
      </c>
      <c r="B159" s="14" t="s">
        <v>18</v>
      </c>
      <c r="C159" s="133" t="s">
        <v>131</v>
      </c>
      <c r="D159" s="133" t="s">
        <v>803</v>
      </c>
      <c r="E159" s="135" t="s">
        <v>56</v>
      </c>
      <c r="F159" s="152"/>
      <c r="G159" s="29" t="b">
        <v>0</v>
      </c>
      <c r="H159" s="79" t="b">
        <v>0</v>
      </c>
    </row>
    <row r="160">
      <c r="A160" s="13">
        <v>45637.0</v>
      </c>
      <c r="B160" s="14" t="s">
        <v>18</v>
      </c>
      <c r="C160" s="133" t="s">
        <v>131</v>
      </c>
      <c r="D160" s="133" t="s">
        <v>804</v>
      </c>
      <c r="E160" s="135" t="s">
        <v>56</v>
      </c>
      <c r="F160" s="152"/>
      <c r="G160" s="29" t="b">
        <v>0</v>
      </c>
      <c r="H160" s="79" t="b">
        <v>0</v>
      </c>
    </row>
    <row r="161">
      <c r="A161" s="13">
        <v>45637.0</v>
      </c>
      <c r="B161" s="14" t="s">
        <v>18</v>
      </c>
      <c r="C161" s="133" t="s">
        <v>131</v>
      </c>
      <c r="D161" s="133" t="s">
        <v>805</v>
      </c>
      <c r="E161" s="135" t="s">
        <v>345</v>
      </c>
      <c r="F161" s="152"/>
      <c r="G161" s="29" t="b">
        <v>0</v>
      </c>
      <c r="H161" s="79" t="b">
        <v>0</v>
      </c>
    </row>
    <row r="162">
      <c r="A162" s="13">
        <v>45638.0</v>
      </c>
      <c r="B162" s="14" t="s">
        <v>18</v>
      </c>
      <c r="C162" s="133" t="s">
        <v>131</v>
      </c>
      <c r="D162" s="133" t="s">
        <v>806</v>
      </c>
      <c r="E162" s="135" t="s">
        <v>56</v>
      </c>
      <c r="F162" s="152"/>
      <c r="G162" s="29" t="b">
        <v>0</v>
      </c>
      <c r="H162" s="79" t="b">
        <v>0</v>
      </c>
    </row>
    <row r="163">
      <c r="A163" s="13">
        <v>45638.0</v>
      </c>
      <c r="B163" s="14" t="s">
        <v>26</v>
      </c>
      <c r="C163" s="133" t="s">
        <v>85</v>
      </c>
      <c r="D163" s="133" t="s">
        <v>807</v>
      </c>
      <c r="E163" s="135" t="s">
        <v>16</v>
      </c>
      <c r="F163" s="152" t="s">
        <v>808</v>
      </c>
      <c r="G163" s="29" t="b">
        <v>1</v>
      </c>
      <c r="H163" s="79" t="b">
        <v>0</v>
      </c>
    </row>
    <row r="164">
      <c r="A164" s="13">
        <v>45639.0</v>
      </c>
      <c r="B164" s="14" t="s">
        <v>18</v>
      </c>
      <c r="C164" s="133" t="s">
        <v>60</v>
      </c>
      <c r="D164" s="133" t="s">
        <v>809</v>
      </c>
      <c r="E164" s="135" t="s">
        <v>16</v>
      </c>
      <c r="F164" s="26" t="s">
        <v>810</v>
      </c>
      <c r="G164" s="29" t="b">
        <v>1</v>
      </c>
      <c r="H164" s="79" t="b">
        <v>0</v>
      </c>
    </row>
    <row r="165">
      <c r="A165" s="146">
        <v>45639.0</v>
      </c>
      <c r="B165" s="8" t="s">
        <v>18</v>
      </c>
      <c r="C165" s="133" t="s">
        <v>60</v>
      </c>
      <c r="D165" s="133" t="s">
        <v>811</v>
      </c>
      <c r="E165" s="135" t="s">
        <v>812</v>
      </c>
      <c r="F165" s="26"/>
      <c r="G165" s="29" t="b">
        <v>1</v>
      </c>
      <c r="H165" s="79" t="b">
        <v>0</v>
      </c>
    </row>
    <row r="166">
      <c r="A166" s="13">
        <v>45639.0</v>
      </c>
      <c r="B166" s="14" t="s">
        <v>18</v>
      </c>
      <c r="C166" s="133" t="s">
        <v>11</v>
      </c>
      <c r="D166" s="133" t="s">
        <v>813</v>
      </c>
      <c r="E166" s="135" t="s">
        <v>814</v>
      </c>
      <c r="F166" s="26" t="s">
        <v>815</v>
      </c>
      <c r="G166" s="29" t="b">
        <v>0</v>
      </c>
      <c r="H166" s="79" t="b">
        <v>0</v>
      </c>
    </row>
    <row r="167">
      <c r="A167" s="13">
        <v>45639.0</v>
      </c>
      <c r="B167" s="14" t="s">
        <v>18</v>
      </c>
      <c r="C167" s="133" t="s">
        <v>11</v>
      </c>
      <c r="D167" s="133" t="s">
        <v>816</v>
      </c>
      <c r="E167" s="135" t="s">
        <v>817</v>
      </c>
      <c r="F167" s="26" t="s">
        <v>818</v>
      </c>
      <c r="G167" s="29" t="b">
        <v>0</v>
      </c>
      <c r="H167" s="79" t="b">
        <v>0</v>
      </c>
    </row>
    <row r="168">
      <c r="A168" s="13">
        <v>45639.0</v>
      </c>
      <c r="B168" s="14" t="s">
        <v>18</v>
      </c>
      <c r="C168" s="133" t="s">
        <v>49</v>
      </c>
      <c r="D168" s="133" t="s">
        <v>764</v>
      </c>
      <c r="E168" s="135" t="s">
        <v>144</v>
      </c>
      <c r="F168" s="26"/>
      <c r="G168" s="29" t="b">
        <v>0</v>
      </c>
      <c r="H168" s="79" t="b">
        <v>0</v>
      </c>
    </row>
    <row r="169">
      <c r="A169" s="13">
        <v>45639.0</v>
      </c>
      <c r="B169" s="14" t="s">
        <v>18</v>
      </c>
      <c r="C169" s="133" t="s">
        <v>49</v>
      </c>
      <c r="D169" s="16" t="s">
        <v>765</v>
      </c>
      <c r="E169" s="17" t="s">
        <v>56</v>
      </c>
      <c r="F169" s="26"/>
      <c r="G169" s="29" t="b">
        <v>0</v>
      </c>
      <c r="H169" s="79" t="b">
        <v>0</v>
      </c>
    </row>
    <row r="170">
      <c r="A170" s="13">
        <v>45639.0</v>
      </c>
      <c r="B170" s="14" t="s">
        <v>18</v>
      </c>
      <c r="C170" s="133" t="s">
        <v>49</v>
      </c>
      <c r="D170" s="16" t="s">
        <v>766</v>
      </c>
      <c r="E170" s="17" t="s">
        <v>16</v>
      </c>
      <c r="F170" s="26" t="s">
        <v>767</v>
      </c>
      <c r="G170" s="29" t="b">
        <v>0</v>
      </c>
      <c r="H170" s="79" t="b">
        <v>0</v>
      </c>
    </row>
    <row r="171">
      <c r="A171" s="13">
        <v>45640.0</v>
      </c>
      <c r="B171" s="14" t="s">
        <v>26</v>
      </c>
      <c r="C171" s="133" t="s">
        <v>275</v>
      </c>
      <c r="D171" s="133" t="s">
        <v>819</v>
      </c>
      <c r="E171" s="135" t="s">
        <v>820</v>
      </c>
      <c r="F171" s="26"/>
      <c r="G171" s="29" t="b">
        <v>0</v>
      </c>
      <c r="H171" s="79" t="b">
        <v>0</v>
      </c>
    </row>
    <row r="172">
      <c r="A172" s="13">
        <v>45642.0</v>
      </c>
      <c r="B172" s="14" t="s">
        <v>18</v>
      </c>
      <c r="C172" s="133" t="s">
        <v>70</v>
      </c>
      <c r="D172" s="133" t="s">
        <v>755</v>
      </c>
      <c r="E172" s="135" t="s">
        <v>104</v>
      </c>
      <c r="F172" s="152"/>
      <c r="G172" s="29" t="b">
        <v>0</v>
      </c>
      <c r="H172" s="79" t="b">
        <v>0</v>
      </c>
    </row>
    <row r="173">
      <c r="A173" s="13">
        <v>45642.0</v>
      </c>
      <c r="B173" s="14" t="s">
        <v>59</v>
      </c>
      <c r="C173" s="133" t="s">
        <v>47</v>
      </c>
      <c r="D173" s="133" t="s">
        <v>821</v>
      </c>
      <c r="E173" s="135" t="s">
        <v>30</v>
      </c>
      <c r="F173" s="152"/>
      <c r="G173" s="29" t="b">
        <v>0</v>
      </c>
      <c r="H173" s="79" t="b">
        <v>0</v>
      </c>
    </row>
    <row r="174">
      <c r="A174" s="13">
        <v>45642.0</v>
      </c>
      <c r="B174" s="14" t="s">
        <v>26</v>
      </c>
      <c r="C174" s="133" t="s">
        <v>60</v>
      </c>
      <c r="D174" s="133" t="s">
        <v>145</v>
      </c>
      <c r="E174" s="135" t="s">
        <v>16</v>
      </c>
      <c r="F174" s="152" t="s">
        <v>822</v>
      </c>
      <c r="G174" s="29" t="b">
        <v>1</v>
      </c>
      <c r="H174" s="79" t="b">
        <v>0</v>
      </c>
    </row>
    <row r="175">
      <c r="A175" s="13">
        <v>45645.0</v>
      </c>
      <c r="B175" s="14" t="s">
        <v>18</v>
      </c>
      <c r="C175" s="133" t="s">
        <v>131</v>
      </c>
      <c r="D175" s="133" t="s">
        <v>240</v>
      </c>
      <c r="E175" s="135" t="s">
        <v>56</v>
      </c>
      <c r="F175" s="152"/>
      <c r="G175" s="29" t="b">
        <v>0</v>
      </c>
      <c r="H175" s="79" t="b">
        <v>0</v>
      </c>
    </row>
    <row r="176">
      <c r="A176" s="13">
        <v>45645.0</v>
      </c>
      <c r="B176" s="14" t="s">
        <v>26</v>
      </c>
      <c r="C176" s="133" t="s">
        <v>107</v>
      </c>
      <c r="D176" s="133" t="s">
        <v>823</v>
      </c>
      <c r="E176" s="135" t="s">
        <v>16</v>
      </c>
      <c r="F176" s="152" t="s">
        <v>824</v>
      </c>
      <c r="G176" s="29" t="b">
        <v>0</v>
      </c>
      <c r="H176" s="79" t="b">
        <v>0</v>
      </c>
    </row>
    <row r="177">
      <c r="A177" s="13">
        <v>45645.0</v>
      </c>
      <c r="B177" s="14" t="s">
        <v>59</v>
      </c>
      <c r="C177" s="133" t="s">
        <v>80</v>
      </c>
      <c r="D177" s="133" t="s">
        <v>825</v>
      </c>
      <c r="E177" s="135" t="s">
        <v>84</v>
      </c>
      <c r="F177" s="152"/>
      <c r="G177" s="29" t="b">
        <v>0</v>
      </c>
      <c r="H177" s="79" t="b">
        <v>0</v>
      </c>
    </row>
    <row r="178">
      <c r="A178" s="13">
        <v>45645.0</v>
      </c>
      <c r="B178" s="14" t="s">
        <v>18</v>
      </c>
      <c r="C178" s="133" t="s">
        <v>85</v>
      </c>
      <c r="D178" s="133" t="s">
        <v>134</v>
      </c>
      <c r="E178" s="135" t="s">
        <v>826</v>
      </c>
      <c r="F178" s="152" t="s">
        <v>827</v>
      </c>
      <c r="G178" s="29" t="b">
        <v>0</v>
      </c>
      <c r="H178" s="79" t="b">
        <v>0</v>
      </c>
    </row>
    <row r="179">
      <c r="A179" s="13">
        <v>45646.0</v>
      </c>
      <c r="B179" s="14" t="s">
        <v>26</v>
      </c>
      <c r="C179" s="133" t="s">
        <v>19</v>
      </c>
      <c r="D179" s="133" t="s">
        <v>828</v>
      </c>
      <c r="E179" s="135" t="s">
        <v>65</v>
      </c>
      <c r="F179" s="156" t="s">
        <v>829</v>
      </c>
      <c r="G179" s="29" t="b">
        <v>1</v>
      </c>
      <c r="H179" s="79" t="b">
        <v>0</v>
      </c>
    </row>
    <row r="180">
      <c r="A180" s="13">
        <v>45646.0</v>
      </c>
      <c r="B180" s="14" t="s">
        <v>18</v>
      </c>
      <c r="C180" s="133" t="s">
        <v>104</v>
      </c>
      <c r="D180" s="133" t="s">
        <v>177</v>
      </c>
      <c r="E180" s="135" t="s">
        <v>65</v>
      </c>
      <c r="F180" s="152" t="s">
        <v>824</v>
      </c>
      <c r="G180" s="29" t="b">
        <v>0</v>
      </c>
      <c r="H180" s="79" t="b">
        <v>0</v>
      </c>
    </row>
    <row r="181">
      <c r="A181" s="13">
        <v>45646.0</v>
      </c>
      <c r="B181" s="14" t="s">
        <v>18</v>
      </c>
      <c r="C181" s="133" t="s">
        <v>259</v>
      </c>
      <c r="D181" s="133" t="s">
        <v>830</v>
      </c>
      <c r="E181" s="135"/>
      <c r="F181" s="152"/>
      <c r="G181" s="18" t="b">
        <v>0</v>
      </c>
      <c r="H181" s="157" t="b">
        <v>0</v>
      </c>
    </row>
    <row r="182">
      <c r="A182" s="13">
        <v>45646.0</v>
      </c>
      <c r="B182" s="14" t="s">
        <v>10</v>
      </c>
      <c r="C182" s="133" t="s">
        <v>796</v>
      </c>
      <c r="D182" s="133" t="s">
        <v>831</v>
      </c>
      <c r="E182" s="135" t="s">
        <v>16</v>
      </c>
      <c r="F182" s="152"/>
      <c r="G182" s="18" t="b">
        <v>0</v>
      </c>
      <c r="H182" s="157" t="b">
        <v>0</v>
      </c>
    </row>
    <row r="183">
      <c r="A183" s="13">
        <v>45646.0</v>
      </c>
      <c r="B183" s="14" t="s">
        <v>10</v>
      </c>
      <c r="C183" s="133" t="s">
        <v>284</v>
      </c>
      <c r="D183" s="133" t="s">
        <v>831</v>
      </c>
      <c r="E183" s="135" t="s">
        <v>16</v>
      </c>
      <c r="F183" s="152"/>
      <c r="G183" s="18" t="b">
        <v>0</v>
      </c>
      <c r="H183" s="157" t="b">
        <v>0</v>
      </c>
    </row>
    <row r="184" ht="17.25" customHeight="1">
      <c r="A184" s="158"/>
      <c r="B184" s="159"/>
      <c r="C184" s="160"/>
      <c r="D184" s="160" t="s">
        <v>603</v>
      </c>
      <c r="E184" s="161"/>
      <c r="F184" s="162"/>
      <c r="G184" s="163" t="b">
        <v>0</v>
      </c>
      <c r="H184" s="164" t="b">
        <v>0</v>
      </c>
    </row>
    <row r="185" ht="17.25" customHeight="1">
      <c r="A185" s="13">
        <v>45664.0</v>
      </c>
      <c r="B185" s="14" t="s">
        <v>246</v>
      </c>
      <c r="C185" s="133" t="s">
        <v>47</v>
      </c>
      <c r="D185" s="133" t="s">
        <v>832</v>
      </c>
      <c r="E185" s="135" t="s">
        <v>30</v>
      </c>
      <c r="F185" s="152"/>
      <c r="G185" s="29" t="b">
        <v>0</v>
      </c>
      <c r="H185" s="79" t="b">
        <v>0</v>
      </c>
    </row>
    <row r="186" ht="17.25" customHeight="1">
      <c r="A186" s="13">
        <v>45664.0</v>
      </c>
      <c r="B186" s="14" t="s">
        <v>18</v>
      </c>
      <c r="C186" s="133" t="s">
        <v>573</v>
      </c>
      <c r="D186" s="133" t="s">
        <v>833</v>
      </c>
      <c r="E186" s="135" t="s">
        <v>104</v>
      </c>
      <c r="F186" s="152"/>
      <c r="G186" s="29" t="b">
        <v>0</v>
      </c>
      <c r="H186" s="79" t="b">
        <v>0</v>
      </c>
    </row>
    <row r="187" ht="17.25" customHeight="1">
      <c r="A187" s="13">
        <v>45664.0</v>
      </c>
      <c r="B187" s="14" t="s">
        <v>18</v>
      </c>
      <c r="C187" s="133" t="s">
        <v>84</v>
      </c>
      <c r="D187" s="133" t="s">
        <v>783</v>
      </c>
      <c r="E187" s="135" t="s">
        <v>739</v>
      </c>
      <c r="F187" s="152"/>
      <c r="G187" s="29" t="b">
        <v>0</v>
      </c>
      <c r="H187" s="79" t="b">
        <v>0</v>
      </c>
    </row>
    <row r="188">
      <c r="A188" s="13">
        <v>45665.0</v>
      </c>
      <c r="B188" s="14" t="s">
        <v>10</v>
      </c>
      <c r="C188" s="133" t="s">
        <v>23</v>
      </c>
      <c r="D188" s="133" t="s">
        <v>834</v>
      </c>
      <c r="E188" s="135"/>
      <c r="F188" s="27" t="s">
        <v>835</v>
      </c>
      <c r="G188" s="29" t="b">
        <v>0</v>
      </c>
      <c r="H188" s="79" t="b">
        <v>0</v>
      </c>
    </row>
    <row r="189">
      <c r="A189" s="13">
        <v>45665.0</v>
      </c>
      <c r="B189" s="14" t="s">
        <v>10</v>
      </c>
      <c r="C189" s="133" t="s">
        <v>14</v>
      </c>
      <c r="D189" s="133" t="s">
        <v>836</v>
      </c>
      <c r="E189" s="135"/>
      <c r="F189" s="152" t="s">
        <v>837</v>
      </c>
      <c r="G189" s="29" t="b">
        <v>0</v>
      </c>
      <c r="H189" s="79" t="b">
        <v>0</v>
      </c>
    </row>
    <row r="190">
      <c r="A190" s="13">
        <v>45666.0</v>
      </c>
      <c r="B190" s="14" t="s">
        <v>18</v>
      </c>
      <c r="C190" s="133" t="s">
        <v>47</v>
      </c>
      <c r="D190" s="133" t="s">
        <v>838</v>
      </c>
      <c r="E190" s="135" t="s">
        <v>839</v>
      </c>
      <c r="F190" s="152" t="s">
        <v>840</v>
      </c>
      <c r="G190" s="29" t="b">
        <v>0</v>
      </c>
      <c r="H190" s="79" t="b">
        <v>0</v>
      </c>
    </row>
    <row r="191">
      <c r="A191" s="13">
        <v>45666.0</v>
      </c>
      <c r="B191" s="14" t="s">
        <v>10</v>
      </c>
      <c r="C191" s="133" t="s">
        <v>85</v>
      </c>
      <c r="D191" s="133" t="s">
        <v>841</v>
      </c>
      <c r="E191" s="135" t="s">
        <v>16</v>
      </c>
      <c r="F191" s="152" t="s">
        <v>842</v>
      </c>
      <c r="G191" s="29" t="b">
        <v>0</v>
      </c>
      <c r="H191" s="79" t="b">
        <v>0</v>
      </c>
    </row>
    <row r="192">
      <c r="A192" s="13">
        <v>45667.0</v>
      </c>
      <c r="B192" s="14" t="s">
        <v>10</v>
      </c>
      <c r="C192" s="133" t="s">
        <v>66</v>
      </c>
      <c r="D192" s="133" t="s">
        <v>658</v>
      </c>
      <c r="E192" s="135" t="s">
        <v>16</v>
      </c>
      <c r="F192" s="152"/>
      <c r="G192" s="29" t="b">
        <v>0</v>
      </c>
      <c r="H192" s="79" t="b">
        <v>0</v>
      </c>
    </row>
    <row r="193">
      <c r="A193" s="13">
        <v>45667.0</v>
      </c>
      <c r="B193" s="14" t="s">
        <v>10</v>
      </c>
      <c r="C193" s="133" t="s">
        <v>66</v>
      </c>
      <c r="D193" s="133" t="s">
        <v>831</v>
      </c>
      <c r="E193" s="135" t="s">
        <v>104</v>
      </c>
      <c r="F193" s="27"/>
      <c r="G193" s="29" t="b">
        <v>0</v>
      </c>
      <c r="H193" s="79" t="b">
        <v>0</v>
      </c>
    </row>
    <row r="194">
      <c r="A194" s="13">
        <v>45667.0</v>
      </c>
      <c r="B194" s="14" t="s">
        <v>10</v>
      </c>
      <c r="C194" s="133" t="s">
        <v>27</v>
      </c>
      <c r="D194" s="133" t="s">
        <v>658</v>
      </c>
      <c r="E194" s="135"/>
      <c r="F194" s="27" t="s">
        <v>843</v>
      </c>
      <c r="G194" s="29" t="b">
        <v>0</v>
      </c>
      <c r="H194" s="79" t="b">
        <v>0</v>
      </c>
    </row>
    <row r="195">
      <c r="A195" s="13">
        <v>45670.0</v>
      </c>
      <c r="B195" s="14" t="s">
        <v>246</v>
      </c>
      <c r="C195" s="133" t="s">
        <v>253</v>
      </c>
      <c r="D195" s="133" t="s">
        <v>844</v>
      </c>
      <c r="E195" s="135"/>
      <c r="F195" s="27" t="s">
        <v>845</v>
      </c>
      <c r="G195" s="29" t="b">
        <v>0</v>
      </c>
      <c r="H195" s="79" t="b">
        <v>0</v>
      </c>
    </row>
    <row r="196">
      <c r="A196" s="13">
        <v>45670.0</v>
      </c>
      <c r="B196" s="14" t="s">
        <v>10</v>
      </c>
      <c r="C196" s="133" t="s">
        <v>846</v>
      </c>
      <c r="D196" s="133" t="s">
        <v>844</v>
      </c>
      <c r="E196" s="135"/>
      <c r="F196" s="27" t="s">
        <v>845</v>
      </c>
      <c r="G196" s="29" t="b">
        <v>0</v>
      </c>
      <c r="H196" s="79" t="b">
        <v>0</v>
      </c>
    </row>
    <row r="197">
      <c r="A197" s="13">
        <v>45670.0</v>
      </c>
      <c r="B197" s="14" t="s">
        <v>18</v>
      </c>
      <c r="C197" s="133" t="s">
        <v>70</v>
      </c>
      <c r="D197" s="133" t="s">
        <v>755</v>
      </c>
      <c r="E197" s="135" t="s">
        <v>104</v>
      </c>
      <c r="F197" s="152"/>
      <c r="G197" s="29" t="b">
        <v>0</v>
      </c>
      <c r="H197" s="79" t="b">
        <v>0</v>
      </c>
    </row>
    <row r="198">
      <c r="A198" s="13">
        <v>45670.0</v>
      </c>
      <c r="B198" s="14" t="s">
        <v>26</v>
      </c>
      <c r="C198" s="133" t="s">
        <v>60</v>
      </c>
      <c r="D198" s="133" t="s">
        <v>847</v>
      </c>
      <c r="E198" s="135" t="s">
        <v>16</v>
      </c>
      <c r="F198" s="152" t="s">
        <v>848</v>
      </c>
      <c r="G198" s="29" t="b">
        <v>1</v>
      </c>
      <c r="H198" s="79" t="b">
        <v>0</v>
      </c>
    </row>
    <row r="199">
      <c r="A199" s="13">
        <v>45670.0</v>
      </c>
      <c r="B199" s="14" t="s">
        <v>26</v>
      </c>
      <c r="C199" s="133" t="s">
        <v>19</v>
      </c>
      <c r="D199" s="133" t="s">
        <v>849</v>
      </c>
      <c r="E199" s="135" t="s">
        <v>16</v>
      </c>
      <c r="F199" s="152" t="s">
        <v>848</v>
      </c>
      <c r="G199" s="29" t="b">
        <v>1</v>
      </c>
      <c r="H199" s="79" t="b">
        <v>0</v>
      </c>
    </row>
    <row r="200">
      <c r="A200" s="13">
        <v>45670.0</v>
      </c>
      <c r="B200" s="14" t="s">
        <v>18</v>
      </c>
      <c r="C200" s="133" t="s">
        <v>19</v>
      </c>
      <c r="D200" s="133" t="s">
        <v>382</v>
      </c>
      <c r="E200" s="135" t="s">
        <v>104</v>
      </c>
      <c r="F200" s="152"/>
      <c r="G200" s="29" t="b">
        <v>0</v>
      </c>
      <c r="H200" s="79" t="b">
        <v>0</v>
      </c>
    </row>
    <row r="201">
      <c r="A201" s="13">
        <v>45672.0</v>
      </c>
      <c r="B201" s="14" t="s">
        <v>246</v>
      </c>
      <c r="C201" s="133" t="s">
        <v>79</v>
      </c>
      <c r="D201" s="133" t="s">
        <v>850</v>
      </c>
      <c r="E201" s="135"/>
      <c r="F201" s="152" t="s">
        <v>851</v>
      </c>
      <c r="G201" s="29" t="b">
        <v>0</v>
      </c>
      <c r="H201" s="79" t="b">
        <v>0</v>
      </c>
    </row>
    <row r="202">
      <c r="A202" s="13">
        <v>45672.0</v>
      </c>
      <c r="B202" s="14" t="s">
        <v>246</v>
      </c>
      <c r="C202" s="133" t="s">
        <v>352</v>
      </c>
      <c r="D202" s="133" t="s">
        <v>850</v>
      </c>
      <c r="E202" s="135"/>
      <c r="F202" s="152" t="s">
        <v>851</v>
      </c>
      <c r="G202" s="29" t="b">
        <v>0</v>
      </c>
      <c r="H202" s="79" t="b">
        <v>0</v>
      </c>
    </row>
    <row r="203">
      <c r="A203" s="13">
        <v>45672.0</v>
      </c>
      <c r="B203" s="14" t="s">
        <v>10</v>
      </c>
      <c r="C203" s="133" t="s">
        <v>386</v>
      </c>
      <c r="D203" s="133" t="s">
        <v>850</v>
      </c>
      <c r="E203" s="135"/>
      <c r="F203" s="152" t="s">
        <v>851</v>
      </c>
      <c r="G203" s="29" t="b">
        <v>0</v>
      </c>
      <c r="H203" s="79" t="b">
        <v>0</v>
      </c>
    </row>
    <row r="204">
      <c r="A204" s="13">
        <v>45672.0</v>
      </c>
      <c r="B204" s="14" t="s">
        <v>246</v>
      </c>
      <c r="C204" s="133" t="s">
        <v>189</v>
      </c>
      <c r="D204" s="133" t="s">
        <v>850</v>
      </c>
      <c r="E204" s="135"/>
      <c r="F204" s="152" t="s">
        <v>851</v>
      </c>
      <c r="G204" s="29" t="b">
        <v>0</v>
      </c>
      <c r="H204" s="79" t="b">
        <v>0</v>
      </c>
    </row>
    <row r="205">
      <c r="A205" s="13">
        <v>45672.0</v>
      </c>
      <c r="B205" s="14" t="s">
        <v>10</v>
      </c>
      <c r="C205" s="133" t="s">
        <v>350</v>
      </c>
      <c r="D205" s="133" t="s">
        <v>852</v>
      </c>
      <c r="E205" s="135"/>
      <c r="F205" s="152"/>
      <c r="G205" s="29" t="b">
        <v>0</v>
      </c>
      <c r="H205" s="79" t="b">
        <v>0</v>
      </c>
    </row>
    <row r="206">
      <c r="A206" s="13">
        <v>45677.0</v>
      </c>
      <c r="B206" s="14" t="s">
        <v>10</v>
      </c>
      <c r="C206" s="133" t="s">
        <v>85</v>
      </c>
      <c r="D206" s="133" t="s">
        <v>853</v>
      </c>
      <c r="E206" s="135" t="s">
        <v>854</v>
      </c>
      <c r="F206" s="152" t="s">
        <v>855</v>
      </c>
      <c r="G206" s="29" t="b">
        <v>0</v>
      </c>
      <c r="H206" s="79" t="b">
        <v>0</v>
      </c>
    </row>
    <row r="207">
      <c r="A207" s="13">
        <v>45677.0</v>
      </c>
      <c r="B207" s="14" t="s">
        <v>246</v>
      </c>
      <c r="C207" s="133" t="s">
        <v>350</v>
      </c>
      <c r="D207" s="133" t="s">
        <v>856</v>
      </c>
      <c r="E207" s="135" t="s">
        <v>16</v>
      </c>
      <c r="F207" s="152" t="s">
        <v>784</v>
      </c>
      <c r="G207" s="29" t="b">
        <v>0</v>
      </c>
      <c r="H207" s="79" t="b">
        <v>0</v>
      </c>
    </row>
    <row r="208">
      <c r="A208" s="13">
        <v>45678.0</v>
      </c>
      <c r="B208" s="14" t="s">
        <v>246</v>
      </c>
      <c r="C208" s="133" t="s">
        <v>60</v>
      </c>
      <c r="D208" s="133" t="s">
        <v>857</v>
      </c>
      <c r="E208" s="135" t="s">
        <v>16</v>
      </c>
      <c r="F208" s="152" t="s">
        <v>858</v>
      </c>
      <c r="G208" s="29" t="b">
        <v>1</v>
      </c>
      <c r="H208" s="79" t="b">
        <v>0</v>
      </c>
    </row>
    <row r="209">
      <c r="A209" s="13">
        <v>45678.0</v>
      </c>
      <c r="B209" s="14" t="s">
        <v>18</v>
      </c>
      <c r="C209" s="133" t="s">
        <v>60</v>
      </c>
      <c r="D209" s="133" t="s">
        <v>859</v>
      </c>
      <c r="E209" s="135" t="s">
        <v>16</v>
      </c>
      <c r="F209" s="152" t="s">
        <v>860</v>
      </c>
      <c r="G209" s="29" t="b">
        <v>1</v>
      </c>
      <c r="H209" s="79" t="b">
        <v>0</v>
      </c>
    </row>
    <row r="210">
      <c r="A210" s="13">
        <v>45678.0</v>
      </c>
      <c r="B210" s="14" t="s">
        <v>18</v>
      </c>
      <c r="C210" s="133" t="s">
        <v>60</v>
      </c>
      <c r="D210" s="133" t="s">
        <v>861</v>
      </c>
      <c r="E210" s="135" t="s">
        <v>16</v>
      </c>
      <c r="F210" s="152" t="s">
        <v>862</v>
      </c>
      <c r="G210" s="29" t="b">
        <v>1</v>
      </c>
      <c r="H210" s="79" t="b">
        <v>0</v>
      </c>
    </row>
    <row r="211">
      <c r="A211" s="13">
        <v>45678.0</v>
      </c>
      <c r="B211" s="14" t="s">
        <v>26</v>
      </c>
      <c r="C211" s="133" t="s">
        <v>623</v>
      </c>
      <c r="D211" s="133" t="s">
        <v>863</v>
      </c>
      <c r="E211" s="135" t="s">
        <v>49</v>
      </c>
      <c r="F211" s="152"/>
      <c r="G211" s="29" t="b">
        <v>0</v>
      </c>
      <c r="H211" s="79" t="b">
        <v>0</v>
      </c>
    </row>
    <row r="212">
      <c r="A212" s="13">
        <v>45679.0</v>
      </c>
      <c r="B212" s="14" t="s">
        <v>59</v>
      </c>
      <c r="C212" s="133" t="s">
        <v>125</v>
      </c>
      <c r="D212" s="133" t="s">
        <v>864</v>
      </c>
      <c r="E212" s="135" t="s">
        <v>16</v>
      </c>
      <c r="F212" s="152" t="s">
        <v>865</v>
      </c>
      <c r="G212" s="29" t="b">
        <v>1</v>
      </c>
      <c r="H212" s="79" t="b">
        <v>0</v>
      </c>
    </row>
    <row r="213">
      <c r="A213" s="13">
        <v>45679.0</v>
      </c>
      <c r="B213" s="14" t="s">
        <v>10</v>
      </c>
      <c r="C213" s="9" t="s">
        <v>350</v>
      </c>
      <c r="D213" s="133" t="s">
        <v>866</v>
      </c>
      <c r="E213" s="135"/>
      <c r="F213" s="152"/>
      <c r="G213" s="29" t="b">
        <v>0</v>
      </c>
      <c r="H213" s="79" t="b">
        <v>0</v>
      </c>
    </row>
    <row r="214">
      <c r="A214" s="13">
        <v>45679.0</v>
      </c>
      <c r="B214" s="14" t="s">
        <v>10</v>
      </c>
      <c r="C214" s="9" t="s">
        <v>350</v>
      </c>
      <c r="D214" s="133" t="s">
        <v>867</v>
      </c>
      <c r="E214" s="135"/>
      <c r="F214" s="152"/>
      <c r="G214" s="29" t="b">
        <v>0</v>
      </c>
      <c r="H214" s="79" t="b">
        <v>0</v>
      </c>
    </row>
    <row r="215">
      <c r="A215" s="13">
        <v>45680.0</v>
      </c>
      <c r="B215" s="14" t="s">
        <v>59</v>
      </c>
      <c r="C215" s="133" t="s">
        <v>350</v>
      </c>
      <c r="D215" s="133" t="s">
        <v>868</v>
      </c>
      <c r="E215" s="135"/>
      <c r="F215" s="152"/>
      <c r="G215" s="29" t="b">
        <v>0</v>
      </c>
      <c r="H215" s="79" t="b">
        <v>0</v>
      </c>
    </row>
    <row r="216">
      <c r="A216" s="13">
        <v>45680.0</v>
      </c>
      <c r="B216" s="14" t="s">
        <v>246</v>
      </c>
      <c r="C216" s="133" t="s">
        <v>85</v>
      </c>
      <c r="D216" s="133" t="s">
        <v>869</v>
      </c>
      <c r="E216" s="135"/>
      <c r="F216" s="138" t="s">
        <v>870</v>
      </c>
      <c r="G216" s="29" t="b">
        <v>0</v>
      </c>
      <c r="H216" s="79" t="b">
        <v>0</v>
      </c>
    </row>
    <row r="217">
      <c r="A217" s="13">
        <v>45680.0</v>
      </c>
      <c r="B217" s="14" t="s">
        <v>26</v>
      </c>
      <c r="C217" s="133" t="s">
        <v>623</v>
      </c>
      <c r="D217" s="133" t="s">
        <v>871</v>
      </c>
      <c r="E217" s="135" t="s">
        <v>49</v>
      </c>
      <c r="F217" s="152"/>
      <c r="G217" s="29" t="b">
        <v>0</v>
      </c>
      <c r="H217" s="79" t="b">
        <v>0</v>
      </c>
    </row>
    <row r="218">
      <c r="A218" s="13">
        <v>45680.0</v>
      </c>
      <c r="B218" s="14" t="s">
        <v>26</v>
      </c>
      <c r="C218" s="133" t="s">
        <v>623</v>
      </c>
      <c r="D218" s="133" t="s">
        <v>872</v>
      </c>
      <c r="E218" s="135" t="s">
        <v>65</v>
      </c>
      <c r="F218" s="152" t="s">
        <v>873</v>
      </c>
      <c r="G218" s="29" t="b">
        <v>1</v>
      </c>
      <c r="H218" s="79" t="b">
        <v>0</v>
      </c>
    </row>
    <row r="219">
      <c r="A219" s="13">
        <v>45680.0</v>
      </c>
      <c r="B219" s="14" t="s">
        <v>246</v>
      </c>
      <c r="C219" s="133" t="s">
        <v>77</v>
      </c>
      <c r="D219" s="133" t="s">
        <v>874</v>
      </c>
      <c r="E219" s="135"/>
      <c r="F219" s="138" t="s">
        <v>870</v>
      </c>
      <c r="G219" s="29" t="b">
        <v>0</v>
      </c>
      <c r="H219" s="79" t="b">
        <v>0</v>
      </c>
    </row>
    <row r="220">
      <c r="A220" s="13">
        <v>45681.0</v>
      </c>
      <c r="B220" s="14" t="s">
        <v>59</v>
      </c>
      <c r="C220" s="133" t="s">
        <v>284</v>
      </c>
      <c r="D220" s="133" t="s">
        <v>875</v>
      </c>
      <c r="E220" s="135"/>
      <c r="F220" s="152" t="s">
        <v>876</v>
      </c>
      <c r="G220" s="29" t="b">
        <v>0</v>
      </c>
      <c r="H220" s="79" t="b">
        <v>0</v>
      </c>
    </row>
    <row r="221">
      <c r="A221" s="13">
        <v>45682.0</v>
      </c>
      <c r="B221" s="14" t="s">
        <v>59</v>
      </c>
      <c r="C221" s="133" t="s">
        <v>202</v>
      </c>
      <c r="D221" s="133" t="s">
        <v>877</v>
      </c>
      <c r="E221" s="135" t="s">
        <v>16</v>
      </c>
      <c r="F221" s="152" t="s">
        <v>878</v>
      </c>
      <c r="G221" s="29" t="b">
        <v>1</v>
      </c>
      <c r="H221" s="79" t="b">
        <v>0</v>
      </c>
    </row>
    <row r="222">
      <c r="A222" s="13">
        <v>45682.0</v>
      </c>
      <c r="B222" s="14" t="s">
        <v>18</v>
      </c>
      <c r="C222" s="133" t="s">
        <v>56</v>
      </c>
      <c r="D222" s="133" t="s">
        <v>879</v>
      </c>
      <c r="E222" s="135" t="s">
        <v>880</v>
      </c>
      <c r="F222" s="138" t="s">
        <v>710</v>
      </c>
      <c r="G222" s="29" t="b">
        <v>0</v>
      </c>
      <c r="H222" s="79" t="b">
        <v>0</v>
      </c>
    </row>
    <row r="223">
      <c r="A223" s="13">
        <v>45684.0</v>
      </c>
      <c r="B223" s="14" t="s">
        <v>59</v>
      </c>
      <c r="C223" s="133" t="s">
        <v>80</v>
      </c>
      <c r="D223" s="133" t="s">
        <v>881</v>
      </c>
      <c r="E223" s="135" t="s">
        <v>882</v>
      </c>
      <c r="F223" s="138" t="s">
        <v>883</v>
      </c>
      <c r="G223" s="29" t="b">
        <v>0</v>
      </c>
      <c r="H223" s="79" t="b">
        <v>0</v>
      </c>
    </row>
    <row r="224">
      <c r="A224" s="13">
        <v>45684.0</v>
      </c>
      <c r="B224" s="14" t="s">
        <v>59</v>
      </c>
      <c r="C224" s="133" t="s">
        <v>80</v>
      </c>
      <c r="D224" s="133" t="s">
        <v>884</v>
      </c>
      <c r="E224" s="135" t="s">
        <v>84</v>
      </c>
      <c r="F224" s="152"/>
      <c r="G224" s="29" t="b">
        <v>0</v>
      </c>
      <c r="H224" s="79" t="b">
        <v>0</v>
      </c>
    </row>
    <row r="225">
      <c r="A225" s="13">
        <v>45684.0</v>
      </c>
      <c r="B225" s="14" t="s">
        <v>18</v>
      </c>
      <c r="C225" s="133" t="s">
        <v>114</v>
      </c>
      <c r="D225" s="133" t="s">
        <v>885</v>
      </c>
      <c r="E225" s="135" t="s">
        <v>311</v>
      </c>
      <c r="F225" s="152"/>
      <c r="G225" s="29" t="b">
        <v>0</v>
      </c>
      <c r="H225" s="79" t="b">
        <v>0</v>
      </c>
    </row>
    <row r="226">
      <c r="A226" s="13">
        <v>45685.0</v>
      </c>
      <c r="B226" s="14" t="s">
        <v>26</v>
      </c>
      <c r="C226" s="133" t="s">
        <v>253</v>
      </c>
      <c r="D226" s="133" t="s">
        <v>886</v>
      </c>
      <c r="E226" s="135"/>
      <c r="F226" s="138" t="s">
        <v>870</v>
      </c>
      <c r="G226" s="29" t="b">
        <v>0</v>
      </c>
      <c r="H226" s="79" t="b">
        <v>0</v>
      </c>
    </row>
    <row r="227">
      <c r="A227" s="13">
        <v>45685.0</v>
      </c>
      <c r="B227" s="14" t="s">
        <v>246</v>
      </c>
      <c r="C227" s="133" t="s">
        <v>47</v>
      </c>
      <c r="D227" s="133" t="s">
        <v>887</v>
      </c>
      <c r="E227" s="135" t="s">
        <v>30</v>
      </c>
      <c r="F227" s="138"/>
      <c r="G227" s="29" t="b">
        <v>0</v>
      </c>
      <c r="H227" s="79" t="b">
        <v>0</v>
      </c>
    </row>
    <row r="228">
      <c r="A228" s="13">
        <v>45686.0</v>
      </c>
      <c r="B228" s="14" t="s">
        <v>10</v>
      </c>
      <c r="C228" s="133" t="s">
        <v>19</v>
      </c>
      <c r="D228" s="133" t="s">
        <v>285</v>
      </c>
      <c r="E228" s="135"/>
      <c r="F228" s="155"/>
      <c r="G228" s="29" t="b">
        <v>0</v>
      </c>
      <c r="H228" s="79" t="b">
        <v>0</v>
      </c>
    </row>
    <row r="229">
      <c r="A229" s="13">
        <v>45687.0</v>
      </c>
      <c r="B229" s="14" t="s">
        <v>355</v>
      </c>
      <c r="C229" s="133" t="s">
        <v>85</v>
      </c>
      <c r="D229" s="133" t="s">
        <v>888</v>
      </c>
      <c r="E229" s="135" t="s">
        <v>889</v>
      </c>
      <c r="F229" s="155"/>
      <c r="G229" s="29" t="b">
        <v>0</v>
      </c>
      <c r="H229" s="79" t="b">
        <v>0</v>
      </c>
    </row>
    <row r="230">
      <c r="A230" s="13">
        <v>45687.0</v>
      </c>
      <c r="B230" s="14" t="s">
        <v>59</v>
      </c>
      <c r="C230" s="133" t="s">
        <v>80</v>
      </c>
      <c r="D230" s="133" t="s">
        <v>890</v>
      </c>
      <c r="E230" s="135" t="s">
        <v>630</v>
      </c>
      <c r="F230" s="155"/>
      <c r="G230" s="29" t="b">
        <v>0</v>
      </c>
      <c r="H230" s="79" t="b">
        <v>0</v>
      </c>
    </row>
    <row r="231">
      <c r="A231" s="13">
        <v>45687.0</v>
      </c>
      <c r="B231" s="14" t="s">
        <v>26</v>
      </c>
      <c r="C231" s="133" t="s">
        <v>253</v>
      </c>
      <c r="D231" s="133" t="s">
        <v>891</v>
      </c>
      <c r="E231" s="135"/>
      <c r="F231" s="138" t="s">
        <v>870</v>
      </c>
      <c r="G231" s="29" t="b">
        <v>0</v>
      </c>
      <c r="H231" s="79" t="b">
        <v>0</v>
      </c>
    </row>
    <row r="232">
      <c r="A232" s="146">
        <v>45688.0</v>
      </c>
      <c r="B232" s="8" t="s">
        <v>18</v>
      </c>
      <c r="C232" s="9" t="s">
        <v>40</v>
      </c>
      <c r="D232" s="9" t="s">
        <v>364</v>
      </c>
      <c r="E232" s="165" t="s">
        <v>16</v>
      </c>
      <c r="F232" s="155" t="s">
        <v>97</v>
      </c>
      <c r="G232" s="29" t="b">
        <v>0</v>
      </c>
      <c r="H232" s="79" t="b">
        <v>0</v>
      </c>
    </row>
    <row r="233">
      <c r="A233" s="166"/>
      <c r="B233" s="167"/>
      <c r="C233" s="168"/>
      <c r="D233" s="168" t="s">
        <v>602</v>
      </c>
      <c r="E233" s="169"/>
      <c r="F233" s="170"/>
      <c r="G233" s="171" t="b">
        <v>0</v>
      </c>
      <c r="H233" s="172" t="b">
        <v>0</v>
      </c>
    </row>
    <row r="234">
      <c r="A234" s="13">
        <v>45689.0</v>
      </c>
      <c r="B234" s="14" t="s">
        <v>18</v>
      </c>
      <c r="C234" s="133" t="s">
        <v>30</v>
      </c>
      <c r="D234" s="133" t="s">
        <v>892</v>
      </c>
      <c r="E234" s="135" t="s">
        <v>893</v>
      </c>
      <c r="F234" s="152" t="s">
        <v>894</v>
      </c>
      <c r="G234" s="29" t="b">
        <v>0</v>
      </c>
      <c r="H234" s="79" t="b">
        <v>0</v>
      </c>
    </row>
    <row r="235">
      <c r="A235" s="13">
        <v>45689.0</v>
      </c>
      <c r="B235" s="14" t="s">
        <v>18</v>
      </c>
      <c r="C235" s="133" t="s">
        <v>411</v>
      </c>
      <c r="D235" s="133" t="s">
        <v>892</v>
      </c>
      <c r="E235" s="135" t="s">
        <v>16</v>
      </c>
      <c r="F235" s="152" t="s">
        <v>895</v>
      </c>
      <c r="G235" s="29" t="b">
        <v>0</v>
      </c>
      <c r="H235" s="79" t="b">
        <v>0</v>
      </c>
    </row>
    <row r="236">
      <c r="A236" s="13">
        <v>45691.0</v>
      </c>
      <c r="B236" s="14" t="s">
        <v>10</v>
      </c>
      <c r="C236" s="133" t="s">
        <v>85</v>
      </c>
      <c r="D236" s="133" t="s">
        <v>853</v>
      </c>
      <c r="E236" s="135" t="s">
        <v>896</v>
      </c>
      <c r="F236" s="152"/>
      <c r="G236" s="29" t="b">
        <v>0</v>
      </c>
      <c r="H236" s="79" t="b">
        <v>0</v>
      </c>
    </row>
    <row r="237">
      <c r="A237" s="13">
        <v>45692.0</v>
      </c>
      <c r="B237" s="14" t="s">
        <v>246</v>
      </c>
      <c r="C237" s="133" t="s">
        <v>47</v>
      </c>
      <c r="D237" s="133" t="s">
        <v>897</v>
      </c>
      <c r="E237" s="135" t="s">
        <v>30</v>
      </c>
      <c r="F237" s="152"/>
      <c r="G237" s="29" t="b">
        <v>0</v>
      </c>
      <c r="H237" s="79" t="b">
        <v>0</v>
      </c>
    </row>
    <row r="238">
      <c r="A238" s="13">
        <v>45692.0</v>
      </c>
      <c r="B238" s="14" t="s">
        <v>246</v>
      </c>
      <c r="C238" s="133" t="s">
        <v>253</v>
      </c>
      <c r="D238" s="133" t="s">
        <v>898</v>
      </c>
      <c r="E238" s="135"/>
      <c r="F238" s="152" t="s">
        <v>899</v>
      </c>
      <c r="G238" s="29" t="b">
        <v>0</v>
      </c>
      <c r="H238" s="79" t="b">
        <v>0</v>
      </c>
    </row>
    <row r="239">
      <c r="A239" s="13">
        <v>45694.0</v>
      </c>
      <c r="B239" s="14" t="s">
        <v>59</v>
      </c>
      <c r="C239" s="133" t="s">
        <v>80</v>
      </c>
      <c r="D239" s="133" t="s">
        <v>890</v>
      </c>
      <c r="E239" s="135" t="s">
        <v>900</v>
      </c>
      <c r="F239" s="152" t="s">
        <v>901</v>
      </c>
      <c r="G239" s="29" t="b">
        <v>0</v>
      </c>
      <c r="H239" s="79" t="b">
        <v>0</v>
      </c>
    </row>
    <row r="240">
      <c r="A240" s="13">
        <v>45694.0</v>
      </c>
      <c r="B240" s="14" t="s">
        <v>10</v>
      </c>
      <c r="C240" s="133" t="s">
        <v>85</v>
      </c>
      <c r="D240" s="133" t="s">
        <v>902</v>
      </c>
      <c r="E240" s="135" t="s">
        <v>903</v>
      </c>
      <c r="F240" s="152"/>
      <c r="G240" s="29" t="b">
        <v>0</v>
      </c>
      <c r="H240" s="79" t="b">
        <v>0</v>
      </c>
    </row>
    <row r="241">
      <c r="A241" s="13">
        <v>45694.0</v>
      </c>
      <c r="B241" s="14" t="s">
        <v>246</v>
      </c>
      <c r="C241" s="133" t="s">
        <v>253</v>
      </c>
      <c r="D241" s="133" t="s">
        <v>869</v>
      </c>
      <c r="E241" s="135"/>
      <c r="F241" s="152" t="s">
        <v>899</v>
      </c>
      <c r="G241" s="29" t="b">
        <v>0</v>
      </c>
      <c r="H241" s="79" t="b">
        <v>0</v>
      </c>
    </row>
    <row r="242">
      <c r="A242" s="13">
        <v>45695.0</v>
      </c>
      <c r="B242" s="14" t="s">
        <v>18</v>
      </c>
      <c r="C242" s="133" t="s">
        <v>110</v>
      </c>
      <c r="D242" s="133" t="s">
        <v>801</v>
      </c>
      <c r="E242" s="135" t="s">
        <v>47</v>
      </c>
      <c r="F242" s="152"/>
      <c r="G242" s="29" t="b">
        <v>0</v>
      </c>
      <c r="H242" s="79" t="b">
        <v>0</v>
      </c>
    </row>
    <row r="243">
      <c r="A243" s="13">
        <v>45695.0</v>
      </c>
      <c r="B243" s="8" t="s">
        <v>18</v>
      </c>
      <c r="C243" s="9" t="s">
        <v>40</v>
      </c>
      <c r="D243" s="9" t="s">
        <v>364</v>
      </c>
      <c r="E243" s="165" t="s">
        <v>16</v>
      </c>
      <c r="F243" s="43" t="s">
        <v>97</v>
      </c>
      <c r="G243" s="65" t="b">
        <v>0</v>
      </c>
      <c r="H243" s="173" t="b">
        <v>0</v>
      </c>
    </row>
    <row r="244">
      <c r="A244" s="13">
        <v>45696.0</v>
      </c>
      <c r="B244" s="14" t="s">
        <v>18</v>
      </c>
      <c r="C244" s="133" t="s">
        <v>202</v>
      </c>
      <c r="D244" s="133" t="s">
        <v>768</v>
      </c>
      <c r="E244" s="165" t="s">
        <v>16</v>
      </c>
      <c r="F244" s="63" t="s">
        <v>904</v>
      </c>
      <c r="G244" s="64" t="b">
        <v>1</v>
      </c>
      <c r="H244" s="173" t="b">
        <v>0</v>
      </c>
    </row>
    <row r="245">
      <c r="A245" s="13">
        <v>45696.0</v>
      </c>
      <c r="B245" s="14" t="s">
        <v>18</v>
      </c>
      <c r="C245" s="133" t="s">
        <v>189</v>
      </c>
      <c r="D245" s="133" t="s">
        <v>190</v>
      </c>
      <c r="E245" s="135" t="s">
        <v>54</v>
      </c>
      <c r="F245" s="43"/>
      <c r="G245" s="65" t="b">
        <v>0</v>
      </c>
      <c r="H245" s="173" t="b">
        <v>0</v>
      </c>
    </row>
    <row r="246">
      <c r="A246" s="13">
        <v>45698.0</v>
      </c>
      <c r="B246" s="14" t="s">
        <v>18</v>
      </c>
      <c r="C246" s="133" t="s">
        <v>49</v>
      </c>
      <c r="D246" s="133" t="s">
        <v>228</v>
      </c>
      <c r="E246" s="135" t="s">
        <v>56</v>
      </c>
      <c r="F246" s="152"/>
      <c r="G246" s="29" t="b">
        <v>0</v>
      </c>
      <c r="H246" s="79" t="b">
        <v>0</v>
      </c>
    </row>
    <row r="247">
      <c r="A247" s="13">
        <v>45698.0</v>
      </c>
      <c r="B247" s="14" t="s">
        <v>26</v>
      </c>
      <c r="C247" s="133" t="s">
        <v>47</v>
      </c>
      <c r="D247" s="133" t="s">
        <v>905</v>
      </c>
      <c r="E247" s="135"/>
      <c r="F247" s="152" t="s">
        <v>906</v>
      </c>
      <c r="G247" s="29" t="b">
        <v>0</v>
      </c>
      <c r="H247" s="79" t="b">
        <v>0</v>
      </c>
    </row>
    <row r="248">
      <c r="A248" s="13">
        <v>45698.0</v>
      </c>
      <c r="B248" s="14" t="s">
        <v>26</v>
      </c>
      <c r="C248" s="133" t="s">
        <v>47</v>
      </c>
      <c r="D248" s="133" t="s">
        <v>907</v>
      </c>
      <c r="E248" s="135" t="s">
        <v>16</v>
      </c>
      <c r="F248" s="152" t="s">
        <v>908</v>
      </c>
      <c r="G248" s="29" t="b">
        <v>1</v>
      </c>
      <c r="H248" s="79" t="b">
        <v>0</v>
      </c>
    </row>
    <row r="249">
      <c r="A249" s="13">
        <v>45700.0</v>
      </c>
      <c r="B249" s="14" t="s">
        <v>18</v>
      </c>
      <c r="C249" s="133" t="s">
        <v>386</v>
      </c>
      <c r="D249" s="133" t="s">
        <v>348</v>
      </c>
      <c r="E249" s="135" t="s">
        <v>16</v>
      </c>
      <c r="F249" s="152" t="s">
        <v>198</v>
      </c>
      <c r="G249" s="29" t="b">
        <v>0</v>
      </c>
      <c r="H249" s="79" t="b">
        <v>0</v>
      </c>
    </row>
    <row r="250">
      <c r="A250" s="13">
        <v>45701.0</v>
      </c>
      <c r="B250" s="14" t="s">
        <v>909</v>
      </c>
      <c r="C250" s="133" t="s">
        <v>386</v>
      </c>
      <c r="D250" s="133" t="s">
        <v>134</v>
      </c>
      <c r="E250" s="135" t="s">
        <v>197</v>
      </c>
      <c r="F250" s="152"/>
      <c r="G250" s="29" t="b">
        <v>0</v>
      </c>
      <c r="H250" s="79" t="b">
        <v>0</v>
      </c>
    </row>
    <row r="251">
      <c r="A251" s="13">
        <v>45701.0</v>
      </c>
      <c r="B251" s="14" t="s">
        <v>26</v>
      </c>
      <c r="C251" s="133" t="s">
        <v>47</v>
      </c>
      <c r="D251" s="133" t="s">
        <v>910</v>
      </c>
      <c r="E251" s="135"/>
      <c r="F251" s="152" t="s">
        <v>712</v>
      </c>
      <c r="G251" s="29" t="b">
        <v>0</v>
      </c>
      <c r="H251" s="79" t="b">
        <v>0</v>
      </c>
    </row>
    <row r="252">
      <c r="A252" s="13">
        <v>45702.0</v>
      </c>
      <c r="B252" s="14" t="s">
        <v>18</v>
      </c>
      <c r="C252" s="133" t="s">
        <v>19</v>
      </c>
      <c r="D252" s="133" t="s">
        <v>801</v>
      </c>
      <c r="E252" s="135" t="s">
        <v>16</v>
      </c>
      <c r="F252" s="152" t="s">
        <v>99</v>
      </c>
      <c r="G252" s="29" t="b">
        <v>1</v>
      </c>
      <c r="H252" s="79" t="b">
        <v>0</v>
      </c>
    </row>
    <row r="253">
      <c r="A253" s="13">
        <v>45702.0</v>
      </c>
      <c r="B253" s="14" t="s">
        <v>18</v>
      </c>
      <c r="C253" s="133" t="s">
        <v>60</v>
      </c>
      <c r="D253" s="133" t="s">
        <v>911</v>
      </c>
      <c r="E253" s="135"/>
      <c r="F253" s="152" t="s">
        <v>912</v>
      </c>
      <c r="G253" s="29" t="b">
        <v>1</v>
      </c>
      <c r="H253" s="79" t="b">
        <v>0</v>
      </c>
    </row>
    <row r="254">
      <c r="A254" s="13">
        <v>45702.0</v>
      </c>
      <c r="B254" s="14" t="s">
        <v>18</v>
      </c>
      <c r="C254" s="133" t="s">
        <v>60</v>
      </c>
      <c r="D254" s="133" t="s">
        <v>809</v>
      </c>
      <c r="E254" s="135"/>
      <c r="F254" s="152" t="s">
        <v>912</v>
      </c>
      <c r="G254" s="29" t="b">
        <v>1</v>
      </c>
      <c r="H254" s="79" t="b">
        <v>0</v>
      </c>
    </row>
    <row r="255">
      <c r="A255" s="13">
        <v>45702.0</v>
      </c>
      <c r="B255" s="14" t="s">
        <v>18</v>
      </c>
      <c r="C255" s="133" t="s">
        <v>60</v>
      </c>
      <c r="D255" s="133" t="s">
        <v>811</v>
      </c>
      <c r="E255" s="135"/>
      <c r="F255" s="152" t="s">
        <v>913</v>
      </c>
      <c r="G255" s="29" t="b">
        <v>1</v>
      </c>
      <c r="H255" s="79" t="b">
        <v>0</v>
      </c>
    </row>
    <row r="256">
      <c r="A256" s="13">
        <v>45702.0</v>
      </c>
      <c r="B256" s="14" t="s">
        <v>18</v>
      </c>
      <c r="C256" s="133" t="s">
        <v>104</v>
      </c>
      <c r="D256" s="133" t="s">
        <v>177</v>
      </c>
      <c r="E256" s="135" t="s">
        <v>16</v>
      </c>
      <c r="F256" s="152" t="s">
        <v>198</v>
      </c>
      <c r="G256" s="29" t="b">
        <v>0</v>
      </c>
      <c r="H256" s="79" t="b">
        <v>0</v>
      </c>
    </row>
    <row r="257">
      <c r="A257" s="13">
        <v>45702.0</v>
      </c>
      <c r="B257" s="14" t="s">
        <v>246</v>
      </c>
      <c r="C257" s="133" t="s">
        <v>56</v>
      </c>
      <c r="D257" s="133" t="s">
        <v>914</v>
      </c>
      <c r="E257" s="135" t="s">
        <v>16</v>
      </c>
      <c r="F257" s="152" t="s">
        <v>915</v>
      </c>
      <c r="G257" s="29" t="b">
        <v>1</v>
      </c>
      <c r="H257" s="79" t="b">
        <v>0</v>
      </c>
    </row>
    <row r="258">
      <c r="A258" s="13">
        <v>45703.0</v>
      </c>
      <c r="B258" s="14" t="s">
        <v>18</v>
      </c>
      <c r="C258" s="133" t="s">
        <v>202</v>
      </c>
      <c r="D258" s="133" t="s">
        <v>768</v>
      </c>
      <c r="E258" s="165" t="s">
        <v>16</v>
      </c>
      <c r="F258" s="63" t="s">
        <v>904</v>
      </c>
      <c r="G258" s="64" t="b">
        <v>1</v>
      </c>
      <c r="H258" s="173" t="b">
        <v>0</v>
      </c>
    </row>
    <row r="259">
      <c r="A259" s="13">
        <v>45705.0</v>
      </c>
      <c r="B259" s="14" t="s">
        <v>18</v>
      </c>
      <c r="C259" s="133" t="s">
        <v>60</v>
      </c>
      <c r="D259" s="133" t="s">
        <v>916</v>
      </c>
      <c r="E259" s="135" t="s">
        <v>19</v>
      </c>
      <c r="F259" s="152"/>
      <c r="G259" s="29" t="b">
        <v>0</v>
      </c>
      <c r="H259" s="79" t="b">
        <v>0</v>
      </c>
    </row>
    <row r="260">
      <c r="A260" s="13">
        <v>45705.0</v>
      </c>
      <c r="B260" s="14" t="s">
        <v>18</v>
      </c>
      <c r="C260" s="133" t="s">
        <v>70</v>
      </c>
      <c r="D260" s="16" t="s">
        <v>755</v>
      </c>
      <c r="E260" s="17" t="s">
        <v>104</v>
      </c>
      <c r="F260" s="152"/>
      <c r="G260" s="29" t="b">
        <v>0</v>
      </c>
      <c r="H260" s="29" t="b">
        <v>0</v>
      </c>
    </row>
    <row r="261">
      <c r="A261" s="13">
        <v>45705.0</v>
      </c>
      <c r="B261" s="14" t="s">
        <v>10</v>
      </c>
      <c r="C261" s="133" t="s">
        <v>33</v>
      </c>
      <c r="D261" s="133" t="s">
        <v>518</v>
      </c>
      <c r="E261" s="135"/>
      <c r="F261" s="152" t="s">
        <v>97</v>
      </c>
      <c r="G261" s="29" t="b">
        <v>0</v>
      </c>
      <c r="H261" s="79" t="b">
        <v>0</v>
      </c>
    </row>
    <row r="262">
      <c r="A262" s="13">
        <v>45707.0</v>
      </c>
      <c r="B262" s="14" t="s">
        <v>18</v>
      </c>
      <c r="C262" s="133" t="s">
        <v>386</v>
      </c>
      <c r="D262" s="133" t="s">
        <v>348</v>
      </c>
      <c r="E262" s="135" t="s">
        <v>16</v>
      </c>
      <c r="F262" s="152" t="s">
        <v>198</v>
      </c>
      <c r="G262" s="29" t="b">
        <v>0</v>
      </c>
      <c r="H262" s="79" t="b">
        <v>0</v>
      </c>
    </row>
    <row r="263">
      <c r="A263" s="13">
        <v>45707.0</v>
      </c>
      <c r="B263" s="14" t="s">
        <v>59</v>
      </c>
      <c r="C263" s="133" t="s">
        <v>30</v>
      </c>
      <c r="D263" s="133" t="s">
        <v>917</v>
      </c>
      <c r="E263" s="135" t="s">
        <v>62</v>
      </c>
      <c r="F263" s="152"/>
      <c r="G263" s="29" t="b">
        <v>0</v>
      </c>
      <c r="H263" s="79" t="b">
        <v>0</v>
      </c>
    </row>
    <row r="264">
      <c r="A264" s="13">
        <v>45708.0</v>
      </c>
      <c r="B264" s="14" t="s">
        <v>909</v>
      </c>
      <c r="C264" s="133" t="s">
        <v>80</v>
      </c>
      <c r="D264" s="133" t="s">
        <v>918</v>
      </c>
      <c r="E264" s="135" t="s">
        <v>722</v>
      </c>
      <c r="F264" s="152" t="s">
        <v>919</v>
      </c>
      <c r="G264" s="29" t="b">
        <v>0</v>
      </c>
      <c r="H264" s="79" t="b">
        <v>0</v>
      </c>
    </row>
    <row r="265">
      <c r="A265" s="13">
        <v>45708.0</v>
      </c>
      <c r="B265" s="14" t="s">
        <v>909</v>
      </c>
      <c r="C265" s="133" t="s">
        <v>386</v>
      </c>
      <c r="D265" s="133" t="s">
        <v>134</v>
      </c>
      <c r="E265" s="135" t="s">
        <v>104</v>
      </c>
      <c r="F265" s="152"/>
      <c r="G265" s="29" t="b">
        <v>0</v>
      </c>
      <c r="H265" s="79" t="b">
        <v>0</v>
      </c>
    </row>
    <row r="266">
      <c r="A266" s="37">
        <v>45709.0</v>
      </c>
      <c r="B266" s="38" t="s">
        <v>18</v>
      </c>
      <c r="C266" s="77" t="s">
        <v>60</v>
      </c>
      <c r="D266" s="77" t="s">
        <v>809</v>
      </c>
      <c r="E266" s="86"/>
      <c r="F266" s="129" t="s">
        <v>920</v>
      </c>
      <c r="G266" s="29" t="b">
        <v>1</v>
      </c>
      <c r="H266" s="79" t="b">
        <v>0</v>
      </c>
    </row>
    <row r="267">
      <c r="A267" s="37">
        <v>45709.0</v>
      </c>
      <c r="B267" s="38" t="s">
        <v>18</v>
      </c>
      <c r="C267" s="77" t="s">
        <v>60</v>
      </c>
      <c r="D267" s="77" t="s">
        <v>811</v>
      </c>
      <c r="E267" s="86"/>
      <c r="F267" s="129" t="s">
        <v>921</v>
      </c>
      <c r="G267" s="29" t="b">
        <v>1</v>
      </c>
      <c r="H267" s="79" t="b">
        <v>0</v>
      </c>
    </row>
    <row r="268">
      <c r="A268" s="37">
        <v>45710.0</v>
      </c>
      <c r="B268" s="38" t="s">
        <v>18</v>
      </c>
      <c r="C268" s="77" t="s">
        <v>156</v>
      </c>
      <c r="D268" s="77" t="s">
        <v>922</v>
      </c>
      <c r="E268" s="86"/>
      <c r="F268" s="129" t="s">
        <v>923</v>
      </c>
      <c r="G268" s="29" t="b">
        <v>1</v>
      </c>
      <c r="H268" s="79" t="b">
        <v>0</v>
      </c>
    </row>
    <row r="269">
      <c r="A269" s="37">
        <v>45709.0</v>
      </c>
      <c r="B269" s="38" t="s">
        <v>10</v>
      </c>
      <c r="C269" s="77" t="s">
        <v>259</v>
      </c>
      <c r="D269" s="77" t="s">
        <v>924</v>
      </c>
      <c r="E269" s="86"/>
      <c r="F269" s="129" t="s">
        <v>62</v>
      </c>
      <c r="G269" s="29" t="b">
        <v>1</v>
      </c>
      <c r="H269" s="79" t="b">
        <v>0</v>
      </c>
    </row>
    <row r="270">
      <c r="A270" s="37">
        <v>45710.0</v>
      </c>
      <c r="B270" s="38" t="s">
        <v>26</v>
      </c>
      <c r="C270" s="77" t="s">
        <v>189</v>
      </c>
      <c r="D270" s="77" t="s">
        <v>925</v>
      </c>
      <c r="E270" s="86" t="s">
        <v>49</v>
      </c>
      <c r="F270" s="129"/>
      <c r="G270" s="29" t="b">
        <v>1</v>
      </c>
      <c r="H270" s="79" t="b">
        <v>0</v>
      </c>
    </row>
    <row r="271">
      <c r="A271" s="37">
        <v>45712.0</v>
      </c>
      <c r="B271" s="38" t="s">
        <v>26</v>
      </c>
      <c r="C271" s="77" t="s">
        <v>60</v>
      </c>
      <c r="D271" s="77" t="s">
        <v>145</v>
      </c>
      <c r="E271" s="86"/>
      <c r="F271" s="129" t="s">
        <v>926</v>
      </c>
      <c r="G271" s="29" t="b">
        <v>1</v>
      </c>
      <c r="H271" s="79" t="b">
        <v>0</v>
      </c>
    </row>
    <row r="272">
      <c r="A272" s="13">
        <v>45712.0</v>
      </c>
      <c r="B272" s="14" t="s">
        <v>10</v>
      </c>
      <c r="C272" s="133" t="s">
        <v>253</v>
      </c>
      <c r="D272" s="133" t="s">
        <v>518</v>
      </c>
      <c r="E272" s="135"/>
      <c r="F272" s="152" t="s">
        <v>198</v>
      </c>
      <c r="G272" s="18" t="b">
        <v>0</v>
      </c>
      <c r="H272" s="79" t="b">
        <v>0</v>
      </c>
    </row>
    <row r="273">
      <c r="A273" s="13">
        <v>45712.0</v>
      </c>
      <c r="B273" s="14" t="s">
        <v>18</v>
      </c>
      <c r="C273" s="133" t="s">
        <v>114</v>
      </c>
      <c r="D273" s="133" t="s">
        <v>227</v>
      </c>
      <c r="E273" s="135" t="s">
        <v>927</v>
      </c>
      <c r="F273" s="152" t="s">
        <v>926</v>
      </c>
      <c r="G273" s="18" t="b">
        <v>1</v>
      </c>
      <c r="H273" s="79" t="b">
        <v>0</v>
      </c>
    </row>
    <row r="274">
      <c r="A274" s="13">
        <v>45713.0</v>
      </c>
      <c r="B274" s="14" t="s">
        <v>26</v>
      </c>
      <c r="C274" s="133" t="s">
        <v>189</v>
      </c>
      <c r="D274" s="133" t="s">
        <v>928</v>
      </c>
      <c r="E274" s="135" t="s">
        <v>49</v>
      </c>
      <c r="F274" s="152"/>
      <c r="G274" s="18" t="b">
        <v>0</v>
      </c>
      <c r="H274" s="79" t="b">
        <v>0</v>
      </c>
    </row>
    <row r="275">
      <c r="A275" s="13">
        <v>45714.0</v>
      </c>
      <c r="B275" s="14" t="s">
        <v>18</v>
      </c>
      <c r="C275" s="133" t="s">
        <v>14</v>
      </c>
      <c r="D275" s="133" t="s">
        <v>301</v>
      </c>
      <c r="E275" s="135" t="s">
        <v>30</v>
      </c>
      <c r="F275" s="152" t="s">
        <v>929</v>
      </c>
      <c r="G275" s="29" t="b">
        <v>0</v>
      </c>
      <c r="H275" s="79" t="b">
        <v>0</v>
      </c>
    </row>
    <row r="276">
      <c r="A276" s="37">
        <v>45714.0</v>
      </c>
      <c r="B276" s="38" t="s">
        <v>26</v>
      </c>
      <c r="C276" s="77" t="s">
        <v>189</v>
      </c>
      <c r="D276" s="133" t="s">
        <v>930</v>
      </c>
      <c r="E276" s="86" t="s">
        <v>931</v>
      </c>
      <c r="F276" s="129" t="s">
        <v>69</v>
      </c>
      <c r="G276" s="29" t="b">
        <v>1</v>
      </c>
      <c r="H276" s="79" t="b">
        <v>0</v>
      </c>
    </row>
    <row r="277">
      <c r="A277" s="13">
        <v>45714.0</v>
      </c>
      <c r="B277" s="14" t="s">
        <v>18</v>
      </c>
      <c r="C277" s="133" t="s">
        <v>23</v>
      </c>
      <c r="D277" s="16" t="s">
        <v>932</v>
      </c>
      <c r="E277" s="17" t="s">
        <v>311</v>
      </c>
      <c r="F277" s="152"/>
      <c r="G277" s="29" t="b">
        <v>0</v>
      </c>
      <c r="H277" s="29" t="b">
        <v>0</v>
      </c>
    </row>
    <row r="278">
      <c r="A278" s="13">
        <v>45714.0</v>
      </c>
      <c r="B278" s="14" t="s">
        <v>10</v>
      </c>
      <c r="C278" s="133" t="s">
        <v>23</v>
      </c>
      <c r="D278" s="133" t="s">
        <v>933</v>
      </c>
      <c r="E278" s="135" t="s">
        <v>11</v>
      </c>
      <c r="F278" s="152" t="s">
        <v>934</v>
      </c>
      <c r="G278" s="29" t="b">
        <v>0</v>
      </c>
      <c r="H278" s="79" t="b">
        <v>0</v>
      </c>
    </row>
    <row r="279">
      <c r="A279" s="13">
        <v>45714.0</v>
      </c>
      <c r="B279" s="14" t="s">
        <v>26</v>
      </c>
      <c r="C279" s="133" t="s">
        <v>189</v>
      </c>
      <c r="D279" s="133" t="s">
        <v>935</v>
      </c>
      <c r="E279" s="135" t="s">
        <v>56</v>
      </c>
      <c r="F279" s="152"/>
      <c r="G279" s="29" t="b">
        <v>0</v>
      </c>
      <c r="H279" s="79" t="b">
        <v>0</v>
      </c>
    </row>
    <row r="280">
      <c r="A280" s="174"/>
      <c r="B280" s="175"/>
      <c r="C280" s="176"/>
      <c r="D280" s="177" t="s">
        <v>607</v>
      </c>
      <c r="E280" s="178"/>
      <c r="F280" s="179"/>
      <c r="G280" s="180" t="b">
        <v>0</v>
      </c>
      <c r="H280" s="180" t="b">
        <v>0</v>
      </c>
    </row>
    <row r="281">
      <c r="A281" s="13">
        <v>45717.0</v>
      </c>
      <c r="B281" s="14" t="s">
        <v>26</v>
      </c>
      <c r="C281" s="133" t="s">
        <v>189</v>
      </c>
      <c r="D281" s="16" t="s">
        <v>925</v>
      </c>
      <c r="E281" s="17" t="s">
        <v>49</v>
      </c>
      <c r="F281" s="152"/>
      <c r="G281" s="18" t="b">
        <v>1</v>
      </c>
      <c r="H281" s="29" t="b">
        <v>0</v>
      </c>
    </row>
    <row r="282">
      <c r="A282" s="13">
        <v>45720.0</v>
      </c>
      <c r="B282" s="14" t="s">
        <v>26</v>
      </c>
      <c r="C282" s="133" t="s">
        <v>189</v>
      </c>
      <c r="D282" s="16" t="s">
        <v>928</v>
      </c>
      <c r="E282" s="17" t="s">
        <v>936</v>
      </c>
      <c r="F282" s="152" t="s">
        <v>192</v>
      </c>
      <c r="G282" s="18" t="b">
        <v>0</v>
      </c>
      <c r="H282" s="29" t="b">
        <v>0</v>
      </c>
    </row>
    <row r="283">
      <c r="A283" s="13">
        <v>45720.0</v>
      </c>
      <c r="B283" s="14" t="s">
        <v>26</v>
      </c>
      <c r="C283" s="133" t="s">
        <v>202</v>
      </c>
      <c r="D283" s="16" t="s">
        <v>937</v>
      </c>
      <c r="E283" s="17" t="s">
        <v>938</v>
      </c>
      <c r="F283" s="152" t="s">
        <v>529</v>
      </c>
      <c r="G283" s="18" t="b">
        <v>1</v>
      </c>
      <c r="H283" s="29" t="b">
        <v>0</v>
      </c>
    </row>
    <row r="284">
      <c r="A284" s="13">
        <v>45721.0</v>
      </c>
      <c r="B284" s="14" t="s">
        <v>18</v>
      </c>
      <c r="C284" s="133" t="s">
        <v>204</v>
      </c>
      <c r="D284" s="16" t="s">
        <v>939</v>
      </c>
      <c r="E284" s="17" t="s">
        <v>30</v>
      </c>
      <c r="F284" s="152"/>
      <c r="G284" s="18" t="b">
        <v>0</v>
      </c>
      <c r="H284" s="29" t="b">
        <v>0</v>
      </c>
    </row>
    <row r="285">
      <c r="A285" s="13">
        <v>45722.0</v>
      </c>
      <c r="B285" s="14" t="s">
        <v>18</v>
      </c>
      <c r="C285" s="133" t="s">
        <v>47</v>
      </c>
      <c r="D285" s="16" t="s">
        <v>940</v>
      </c>
      <c r="E285" s="17" t="s">
        <v>30</v>
      </c>
      <c r="F285" s="152"/>
      <c r="G285" s="18" t="b">
        <v>0</v>
      </c>
      <c r="H285" s="29" t="b">
        <v>0</v>
      </c>
    </row>
    <row r="286">
      <c r="A286" s="13">
        <v>45722.0</v>
      </c>
      <c r="B286" s="14" t="s">
        <v>18</v>
      </c>
      <c r="C286" s="133" t="s">
        <v>85</v>
      </c>
      <c r="D286" s="16" t="s">
        <v>941</v>
      </c>
      <c r="E286" s="17" t="s">
        <v>942</v>
      </c>
      <c r="F286" s="152" t="s">
        <v>827</v>
      </c>
      <c r="G286" s="18" t="b">
        <v>0</v>
      </c>
      <c r="H286" s="29" t="b">
        <v>0</v>
      </c>
    </row>
    <row r="287">
      <c r="A287" s="13">
        <v>45723.0</v>
      </c>
      <c r="B287" s="14" t="s">
        <v>18</v>
      </c>
      <c r="C287" s="133" t="s">
        <v>54</v>
      </c>
      <c r="D287" s="16" t="s">
        <v>943</v>
      </c>
      <c r="E287" s="17" t="s">
        <v>56</v>
      </c>
      <c r="F287" s="152"/>
      <c r="G287" s="18" t="b">
        <v>0</v>
      </c>
      <c r="H287" s="29" t="b">
        <v>0</v>
      </c>
    </row>
    <row r="288">
      <c r="A288" s="13">
        <v>45723.0</v>
      </c>
      <c r="B288" s="14" t="s">
        <v>18</v>
      </c>
      <c r="C288" s="133" t="s">
        <v>49</v>
      </c>
      <c r="D288" s="16" t="s">
        <v>944</v>
      </c>
      <c r="E288" s="17" t="s">
        <v>16</v>
      </c>
      <c r="F288" s="17" t="s">
        <v>945</v>
      </c>
      <c r="G288" s="18" t="b">
        <v>1</v>
      </c>
      <c r="H288" s="29" t="b">
        <v>0</v>
      </c>
    </row>
    <row r="289">
      <c r="A289" s="13">
        <v>45724.0</v>
      </c>
      <c r="B289" s="14" t="s">
        <v>18</v>
      </c>
      <c r="C289" s="133" t="s">
        <v>275</v>
      </c>
      <c r="D289" s="16" t="s">
        <v>220</v>
      </c>
      <c r="E289" s="17"/>
      <c r="F289" s="152" t="s">
        <v>946</v>
      </c>
      <c r="G289" s="18" t="b">
        <v>0</v>
      </c>
      <c r="H289" s="29" t="b">
        <v>0</v>
      </c>
    </row>
    <row r="290">
      <c r="A290" s="13">
        <v>45724.0</v>
      </c>
      <c r="B290" s="14" t="s">
        <v>26</v>
      </c>
      <c r="C290" s="133" t="s">
        <v>202</v>
      </c>
      <c r="D290" s="16" t="s">
        <v>947</v>
      </c>
      <c r="E290" s="17" t="s">
        <v>779</v>
      </c>
      <c r="F290" s="152" t="s">
        <v>945</v>
      </c>
      <c r="G290" s="18" t="b">
        <v>1</v>
      </c>
      <c r="H290" s="29" t="b">
        <v>0</v>
      </c>
    </row>
    <row r="291">
      <c r="A291" s="13">
        <v>45726.0</v>
      </c>
      <c r="B291" s="14" t="s">
        <v>26</v>
      </c>
      <c r="C291" s="133" t="s">
        <v>60</v>
      </c>
      <c r="D291" s="16" t="s">
        <v>948</v>
      </c>
      <c r="E291" s="17"/>
      <c r="F291" s="152" t="s">
        <v>949</v>
      </c>
      <c r="G291" s="18" t="b">
        <v>1</v>
      </c>
      <c r="H291" s="29" t="b">
        <v>0</v>
      </c>
    </row>
    <row r="292">
      <c r="A292" s="13">
        <v>45729.0</v>
      </c>
      <c r="B292" s="14" t="s">
        <v>18</v>
      </c>
      <c r="C292" s="133" t="s">
        <v>85</v>
      </c>
      <c r="D292" s="16" t="s">
        <v>950</v>
      </c>
      <c r="E292" s="17" t="s">
        <v>942</v>
      </c>
      <c r="F292" s="152" t="s">
        <v>827</v>
      </c>
      <c r="G292" s="18" t="b">
        <v>0</v>
      </c>
      <c r="H292" s="29" t="b">
        <v>0</v>
      </c>
    </row>
    <row r="293">
      <c r="A293" s="13">
        <v>45730.0</v>
      </c>
      <c r="B293" s="14" t="s">
        <v>355</v>
      </c>
      <c r="C293" s="133" t="s">
        <v>125</v>
      </c>
      <c r="D293" s="16" t="s">
        <v>951</v>
      </c>
      <c r="E293" s="17" t="s">
        <v>378</v>
      </c>
      <c r="F293" s="152" t="s">
        <v>952</v>
      </c>
      <c r="G293" s="18" t="b">
        <v>1</v>
      </c>
      <c r="H293" s="29" t="b">
        <v>0</v>
      </c>
    </row>
    <row r="294">
      <c r="A294" s="13">
        <v>45729.0</v>
      </c>
      <c r="B294" s="14" t="s">
        <v>18</v>
      </c>
      <c r="C294" s="133" t="s">
        <v>630</v>
      </c>
      <c r="D294" s="16" t="s">
        <v>953</v>
      </c>
      <c r="E294" s="17" t="s">
        <v>16</v>
      </c>
      <c r="F294" s="152" t="s">
        <v>945</v>
      </c>
      <c r="G294" s="18" t="b">
        <v>1</v>
      </c>
      <c r="H294" s="29" t="b">
        <v>0</v>
      </c>
    </row>
    <row r="295">
      <c r="A295" s="13">
        <v>45729.0</v>
      </c>
      <c r="B295" s="14" t="s">
        <v>18</v>
      </c>
      <c r="C295" s="133" t="s">
        <v>630</v>
      </c>
      <c r="D295" s="16" t="s">
        <v>304</v>
      </c>
      <c r="E295" s="17" t="s">
        <v>204</v>
      </c>
      <c r="F295" s="152"/>
      <c r="G295" s="18" t="b">
        <v>0</v>
      </c>
      <c r="H295" s="29" t="b">
        <v>0</v>
      </c>
    </row>
    <row r="296">
      <c r="A296" s="13">
        <v>45730.0</v>
      </c>
      <c r="B296" s="14" t="s">
        <v>18</v>
      </c>
      <c r="C296" s="133" t="s">
        <v>110</v>
      </c>
      <c r="D296" s="16" t="s">
        <v>954</v>
      </c>
      <c r="E296" s="17" t="s">
        <v>47</v>
      </c>
      <c r="F296" s="152"/>
      <c r="G296" s="18" t="b">
        <v>0</v>
      </c>
      <c r="H296" s="29" t="b">
        <v>0</v>
      </c>
    </row>
    <row r="297">
      <c r="A297" s="13">
        <v>45731.0</v>
      </c>
      <c r="B297" s="14" t="s">
        <v>18</v>
      </c>
      <c r="C297" s="133" t="s">
        <v>110</v>
      </c>
      <c r="D297" s="16" t="s">
        <v>955</v>
      </c>
      <c r="E297" s="17"/>
      <c r="F297" s="152" t="s">
        <v>956</v>
      </c>
      <c r="G297" s="18" t="b">
        <v>1</v>
      </c>
      <c r="H297" s="29" t="b">
        <v>0</v>
      </c>
    </row>
    <row r="298">
      <c r="A298" s="13">
        <v>45731.0</v>
      </c>
      <c r="B298" s="14" t="s">
        <v>18</v>
      </c>
      <c r="C298" s="133" t="s">
        <v>275</v>
      </c>
      <c r="D298" s="16" t="s">
        <v>220</v>
      </c>
      <c r="E298" s="17"/>
      <c r="F298" s="152" t="s">
        <v>946</v>
      </c>
      <c r="G298" s="18" t="b">
        <v>0</v>
      </c>
      <c r="H298" s="29" t="b">
        <v>0</v>
      </c>
    </row>
    <row r="299">
      <c r="A299" s="13">
        <v>45733.0</v>
      </c>
      <c r="B299" s="14" t="s">
        <v>18</v>
      </c>
      <c r="C299" s="133" t="s">
        <v>70</v>
      </c>
      <c r="D299" s="16" t="s">
        <v>755</v>
      </c>
      <c r="E299" s="17" t="s">
        <v>104</v>
      </c>
      <c r="F299" s="152"/>
      <c r="G299" s="18" t="b">
        <v>0</v>
      </c>
      <c r="H299" s="29" t="b">
        <v>0</v>
      </c>
    </row>
    <row r="300">
      <c r="A300" s="13">
        <v>45733.0</v>
      </c>
      <c r="B300" s="14" t="s">
        <v>18</v>
      </c>
      <c r="C300" s="133" t="s">
        <v>19</v>
      </c>
      <c r="D300" s="16" t="s">
        <v>957</v>
      </c>
      <c r="E300" s="17" t="s">
        <v>16</v>
      </c>
      <c r="F300" s="152" t="s">
        <v>945</v>
      </c>
      <c r="G300" s="18" t="b">
        <v>1</v>
      </c>
      <c r="H300" s="29" t="b">
        <v>0</v>
      </c>
    </row>
    <row r="301">
      <c r="A301" s="13">
        <v>45733.0</v>
      </c>
      <c r="B301" s="14" t="s">
        <v>18</v>
      </c>
      <c r="C301" s="133" t="s">
        <v>19</v>
      </c>
      <c r="D301" s="16" t="s">
        <v>676</v>
      </c>
      <c r="E301" s="17" t="s">
        <v>104</v>
      </c>
      <c r="F301" s="152"/>
      <c r="G301" s="18" t="b">
        <v>0</v>
      </c>
      <c r="H301" s="29" t="b">
        <v>0</v>
      </c>
    </row>
    <row r="302">
      <c r="A302" s="13">
        <v>45733.0</v>
      </c>
      <c r="B302" s="14" t="s">
        <v>26</v>
      </c>
      <c r="C302" s="133" t="s">
        <v>338</v>
      </c>
      <c r="D302" s="16" t="s">
        <v>958</v>
      </c>
      <c r="E302" s="17"/>
      <c r="F302" s="152" t="s">
        <v>959</v>
      </c>
      <c r="G302" s="18" t="b">
        <v>0</v>
      </c>
      <c r="H302" s="29" t="b">
        <v>0</v>
      </c>
    </row>
    <row r="303">
      <c r="A303" s="13">
        <v>45733.0</v>
      </c>
      <c r="B303" s="14" t="s">
        <v>18</v>
      </c>
      <c r="C303" s="133" t="s">
        <v>19</v>
      </c>
      <c r="D303" s="16" t="s">
        <v>960</v>
      </c>
      <c r="E303" s="17" t="s">
        <v>66</v>
      </c>
      <c r="F303" s="152"/>
      <c r="G303" s="18" t="b">
        <v>0</v>
      </c>
      <c r="H303" s="29" t="b">
        <v>0</v>
      </c>
    </row>
    <row r="304">
      <c r="A304" s="13">
        <v>45733.0</v>
      </c>
      <c r="B304" s="14" t="s">
        <v>18</v>
      </c>
      <c r="C304" s="133" t="s">
        <v>70</v>
      </c>
      <c r="D304" s="16" t="s">
        <v>960</v>
      </c>
      <c r="E304" s="17" t="s">
        <v>104</v>
      </c>
      <c r="F304" s="152"/>
      <c r="G304" s="18" t="b">
        <v>0</v>
      </c>
      <c r="H304" s="29" t="b">
        <v>0</v>
      </c>
    </row>
    <row r="305">
      <c r="A305" s="13">
        <v>45736.0</v>
      </c>
      <c r="B305" s="14" t="s">
        <v>18</v>
      </c>
      <c r="C305" s="133" t="s">
        <v>630</v>
      </c>
      <c r="D305" s="16" t="s">
        <v>953</v>
      </c>
      <c r="E305" s="17" t="s">
        <v>110</v>
      </c>
      <c r="F305" s="152"/>
      <c r="G305" s="18" t="b">
        <v>0</v>
      </c>
      <c r="H305" s="29" t="b">
        <v>0</v>
      </c>
    </row>
    <row r="306">
      <c r="A306" s="13">
        <v>45736.0</v>
      </c>
      <c r="B306" s="14" t="s">
        <v>18</v>
      </c>
      <c r="C306" s="133" t="s">
        <v>630</v>
      </c>
      <c r="D306" s="16" t="s">
        <v>304</v>
      </c>
      <c r="E306" s="17" t="s">
        <v>204</v>
      </c>
      <c r="F306" s="152"/>
      <c r="G306" s="18" t="b">
        <v>0</v>
      </c>
      <c r="H306" s="29" t="b">
        <v>0</v>
      </c>
    </row>
    <row r="307">
      <c r="A307" s="13">
        <v>45736.0</v>
      </c>
      <c r="B307" s="14" t="s">
        <v>18</v>
      </c>
      <c r="C307" s="133" t="s">
        <v>107</v>
      </c>
      <c r="D307" s="16" t="s">
        <v>134</v>
      </c>
      <c r="E307" s="135" t="s">
        <v>16</v>
      </c>
      <c r="F307" s="152" t="s">
        <v>198</v>
      </c>
      <c r="G307" s="18" t="b">
        <v>0</v>
      </c>
      <c r="H307" s="79" t="b">
        <v>0</v>
      </c>
    </row>
    <row r="308">
      <c r="A308" s="13">
        <v>45736.0</v>
      </c>
      <c r="B308" s="14" t="s">
        <v>18</v>
      </c>
      <c r="C308" s="133" t="s">
        <v>350</v>
      </c>
      <c r="D308" s="16" t="s">
        <v>134</v>
      </c>
      <c r="E308" s="135" t="s">
        <v>16</v>
      </c>
      <c r="F308" s="152" t="s">
        <v>588</v>
      </c>
      <c r="G308" s="18" t="b">
        <v>0</v>
      </c>
      <c r="H308" s="79" t="b">
        <v>0</v>
      </c>
    </row>
    <row r="309">
      <c r="A309" s="13">
        <v>45736.0</v>
      </c>
      <c r="B309" s="14" t="s">
        <v>18</v>
      </c>
      <c r="C309" s="133" t="s">
        <v>717</v>
      </c>
      <c r="D309" s="16" t="s">
        <v>961</v>
      </c>
      <c r="E309" s="135" t="s">
        <v>16</v>
      </c>
      <c r="F309" s="152" t="s">
        <v>945</v>
      </c>
      <c r="G309" s="18" t="b">
        <v>1</v>
      </c>
      <c r="H309" s="79" t="b">
        <v>0</v>
      </c>
    </row>
    <row r="310">
      <c r="A310" s="13">
        <v>45737.0</v>
      </c>
      <c r="B310" s="14" t="s">
        <v>18</v>
      </c>
      <c r="C310" s="133" t="s">
        <v>125</v>
      </c>
      <c r="D310" s="16" t="s">
        <v>962</v>
      </c>
      <c r="E310" s="135" t="s">
        <v>963</v>
      </c>
      <c r="F310" s="152" t="s">
        <v>964</v>
      </c>
      <c r="G310" s="18" t="b">
        <v>1</v>
      </c>
      <c r="H310" s="79" t="b">
        <v>0</v>
      </c>
    </row>
    <row r="311">
      <c r="A311" s="13">
        <v>45737.0</v>
      </c>
      <c r="B311" s="14" t="s">
        <v>18</v>
      </c>
      <c r="C311" s="133" t="s">
        <v>23</v>
      </c>
      <c r="D311" s="16" t="s">
        <v>798</v>
      </c>
      <c r="E311" s="135" t="s">
        <v>56</v>
      </c>
      <c r="F311" s="152"/>
      <c r="G311" s="18" t="b">
        <v>0</v>
      </c>
      <c r="H311" s="79" t="b">
        <v>0</v>
      </c>
    </row>
    <row r="312">
      <c r="A312" s="13">
        <v>45737.0</v>
      </c>
      <c r="B312" s="14" t="s">
        <v>18</v>
      </c>
      <c r="C312" s="133" t="s">
        <v>23</v>
      </c>
      <c r="D312" s="16" t="s">
        <v>261</v>
      </c>
      <c r="E312" s="135" t="s">
        <v>27</v>
      </c>
      <c r="F312" s="152"/>
      <c r="G312" s="18" t="b">
        <v>0</v>
      </c>
      <c r="H312" s="79" t="b">
        <v>0</v>
      </c>
    </row>
    <row r="313" ht="21.0" customHeight="1">
      <c r="A313" s="51">
        <v>45737.0</v>
      </c>
      <c r="B313" s="52" t="s">
        <v>18</v>
      </c>
      <c r="C313" s="90" t="s">
        <v>110</v>
      </c>
      <c r="D313" s="54" t="s">
        <v>954</v>
      </c>
      <c r="E313" s="96" t="s">
        <v>16</v>
      </c>
      <c r="F313" s="181" t="s">
        <v>965</v>
      </c>
      <c r="G313" s="32" t="b">
        <v>1</v>
      </c>
      <c r="H313" s="29" t="b">
        <v>0</v>
      </c>
    </row>
    <row r="314">
      <c r="A314" s="13">
        <v>45737.0</v>
      </c>
      <c r="B314" s="14" t="s">
        <v>10</v>
      </c>
      <c r="C314" s="133" t="s">
        <v>49</v>
      </c>
      <c r="D314" s="16" t="s">
        <v>966</v>
      </c>
      <c r="E314" s="17"/>
      <c r="F314" s="152" t="s">
        <v>62</v>
      </c>
      <c r="G314" s="32" t="b">
        <v>0</v>
      </c>
      <c r="H314" s="32" t="b">
        <v>0</v>
      </c>
    </row>
    <row r="315">
      <c r="A315" s="13">
        <v>45738.0</v>
      </c>
      <c r="B315" s="14" t="s">
        <v>18</v>
      </c>
      <c r="C315" s="133" t="s">
        <v>110</v>
      </c>
      <c r="D315" s="16" t="s">
        <v>947</v>
      </c>
      <c r="E315" s="17" t="s">
        <v>30</v>
      </c>
      <c r="F315" s="152"/>
      <c r="G315" s="32" t="b">
        <v>0</v>
      </c>
      <c r="H315" s="32" t="b">
        <v>0</v>
      </c>
    </row>
    <row r="316">
      <c r="A316" s="13">
        <v>45740.0</v>
      </c>
      <c r="B316" s="14" t="s">
        <v>26</v>
      </c>
      <c r="C316" s="133" t="s">
        <v>125</v>
      </c>
      <c r="D316" s="16" t="s">
        <v>145</v>
      </c>
      <c r="E316" s="135" t="s">
        <v>16</v>
      </c>
      <c r="F316" s="152" t="s">
        <v>967</v>
      </c>
      <c r="G316" s="32" t="b">
        <v>0</v>
      </c>
      <c r="H316" s="94" t="b">
        <v>0</v>
      </c>
    </row>
    <row r="317">
      <c r="A317" s="13">
        <v>45740.0</v>
      </c>
      <c r="B317" s="14" t="s">
        <v>10</v>
      </c>
      <c r="C317" s="133" t="s">
        <v>253</v>
      </c>
      <c r="D317" s="16" t="s">
        <v>437</v>
      </c>
      <c r="E317" s="135"/>
      <c r="F317" s="152"/>
      <c r="G317" s="32" t="b">
        <v>0</v>
      </c>
      <c r="H317" s="94" t="b">
        <v>0</v>
      </c>
    </row>
    <row r="318">
      <c r="A318" s="13">
        <v>45740.0</v>
      </c>
      <c r="B318" s="14" t="s">
        <v>10</v>
      </c>
      <c r="C318" s="133" t="s">
        <v>846</v>
      </c>
      <c r="D318" s="16" t="s">
        <v>437</v>
      </c>
      <c r="E318" s="135"/>
      <c r="F318" s="152"/>
      <c r="G318" s="32" t="b">
        <v>0</v>
      </c>
      <c r="H318" s="94" t="b">
        <v>0</v>
      </c>
    </row>
    <row r="319">
      <c r="A319" s="13">
        <v>45741.0</v>
      </c>
      <c r="B319" s="14" t="s">
        <v>18</v>
      </c>
      <c r="C319" s="133" t="s">
        <v>128</v>
      </c>
      <c r="D319" s="16" t="s">
        <v>129</v>
      </c>
      <c r="E319" s="135" t="s">
        <v>16</v>
      </c>
      <c r="F319" s="152" t="s">
        <v>968</v>
      </c>
      <c r="G319" s="32" t="b">
        <v>1</v>
      </c>
      <c r="H319" s="94" t="b">
        <v>0</v>
      </c>
    </row>
    <row r="320">
      <c r="A320" s="13">
        <v>45742.0</v>
      </c>
      <c r="B320" s="14" t="s">
        <v>18</v>
      </c>
      <c r="C320" s="133" t="s">
        <v>56</v>
      </c>
      <c r="D320" s="16" t="s">
        <v>708</v>
      </c>
      <c r="E320" s="135" t="s">
        <v>969</v>
      </c>
      <c r="F320" s="152" t="s">
        <v>970</v>
      </c>
      <c r="G320" s="29" t="b">
        <v>0</v>
      </c>
      <c r="H320" s="79" t="b">
        <v>0</v>
      </c>
    </row>
    <row r="321">
      <c r="A321" s="13">
        <v>45743.0</v>
      </c>
      <c r="B321" s="14" t="s">
        <v>18</v>
      </c>
      <c r="C321" s="133" t="s">
        <v>107</v>
      </c>
      <c r="D321" s="16" t="s">
        <v>134</v>
      </c>
      <c r="E321" s="135" t="s">
        <v>16</v>
      </c>
      <c r="F321" s="152" t="s">
        <v>198</v>
      </c>
      <c r="G321" s="32" t="b">
        <v>0</v>
      </c>
      <c r="H321" s="94" t="b">
        <v>0</v>
      </c>
    </row>
    <row r="322">
      <c r="A322" s="13">
        <v>45744.0</v>
      </c>
      <c r="B322" s="14" t="s">
        <v>18</v>
      </c>
      <c r="C322" s="133" t="s">
        <v>56</v>
      </c>
      <c r="D322" s="16" t="s">
        <v>261</v>
      </c>
      <c r="E322" s="135" t="s">
        <v>971</v>
      </c>
      <c r="F322" s="152" t="s">
        <v>970</v>
      </c>
      <c r="G322" s="29" t="b">
        <v>0</v>
      </c>
      <c r="H322" s="79" t="b">
        <v>0</v>
      </c>
    </row>
    <row r="323">
      <c r="A323" s="13">
        <v>45744.0</v>
      </c>
      <c r="B323" s="14" t="s">
        <v>18</v>
      </c>
      <c r="C323" s="133" t="s">
        <v>84</v>
      </c>
      <c r="D323" s="16" t="s">
        <v>364</v>
      </c>
      <c r="E323" s="135" t="s">
        <v>739</v>
      </c>
      <c r="F323" s="152"/>
      <c r="G323" s="29" t="b">
        <v>0</v>
      </c>
      <c r="H323" s="79" t="b">
        <v>0</v>
      </c>
    </row>
    <row r="324">
      <c r="A324" s="51">
        <v>45744.0</v>
      </c>
      <c r="B324" s="52" t="s">
        <v>355</v>
      </c>
      <c r="C324" s="90" t="s">
        <v>60</v>
      </c>
      <c r="D324" s="54" t="s">
        <v>972</v>
      </c>
      <c r="E324" s="92" t="s">
        <v>16</v>
      </c>
      <c r="F324" s="152" t="s">
        <v>973</v>
      </c>
      <c r="G324" s="29" t="b">
        <v>1</v>
      </c>
      <c r="H324" s="79" t="b">
        <v>0</v>
      </c>
    </row>
    <row r="325">
      <c r="A325" s="13">
        <v>45744.0</v>
      </c>
      <c r="B325" s="14" t="s">
        <v>18</v>
      </c>
      <c r="C325" s="133" t="s">
        <v>796</v>
      </c>
      <c r="D325" s="16" t="s">
        <v>974</v>
      </c>
      <c r="E325" s="135" t="s">
        <v>975</v>
      </c>
      <c r="F325" s="152"/>
      <c r="G325" s="29" t="b">
        <v>0</v>
      </c>
      <c r="H325" s="79" t="b">
        <v>0</v>
      </c>
    </row>
    <row r="326">
      <c r="A326" s="13">
        <v>45744.0</v>
      </c>
      <c r="B326" s="14" t="s">
        <v>18</v>
      </c>
      <c r="C326" s="133" t="s">
        <v>284</v>
      </c>
      <c r="D326" s="16" t="s">
        <v>974</v>
      </c>
      <c r="E326" s="135" t="s">
        <v>975</v>
      </c>
      <c r="F326" s="152"/>
      <c r="G326" s="29" t="b">
        <v>0</v>
      </c>
      <c r="H326" s="79" t="b">
        <v>0</v>
      </c>
    </row>
    <row r="327">
      <c r="A327" s="51">
        <v>45745.0</v>
      </c>
      <c r="B327" s="52" t="s">
        <v>59</v>
      </c>
      <c r="C327" s="90" t="s">
        <v>60</v>
      </c>
      <c r="D327" s="54" t="s">
        <v>976</v>
      </c>
      <c r="E327" s="92"/>
      <c r="F327" s="181" t="s">
        <v>977</v>
      </c>
      <c r="G327" s="32" t="b">
        <v>1</v>
      </c>
      <c r="H327" s="94" t="b">
        <v>0</v>
      </c>
    </row>
    <row r="328">
      <c r="A328" s="13">
        <v>45745.0</v>
      </c>
      <c r="B328" s="14" t="s">
        <v>18</v>
      </c>
      <c r="C328" s="133" t="s">
        <v>84</v>
      </c>
      <c r="D328" s="16" t="s">
        <v>978</v>
      </c>
      <c r="E328" s="135" t="s">
        <v>144</v>
      </c>
      <c r="F328" s="152"/>
      <c r="G328" s="29" t="b">
        <v>0</v>
      </c>
      <c r="H328" s="79" t="b">
        <v>0</v>
      </c>
    </row>
    <row r="329">
      <c r="A329" s="13">
        <v>45745.0</v>
      </c>
      <c r="B329" s="14" t="s">
        <v>18</v>
      </c>
      <c r="C329" s="133" t="s">
        <v>84</v>
      </c>
      <c r="D329" s="16" t="s">
        <v>979</v>
      </c>
      <c r="E329" s="135" t="s">
        <v>980</v>
      </c>
      <c r="F329" s="152" t="s">
        <v>981</v>
      </c>
      <c r="G329" s="29" t="b">
        <v>0</v>
      </c>
      <c r="H329" s="79" t="b">
        <v>0</v>
      </c>
    </row>
    <row r="330">
      <c r="A330" s="13">
        <v>45745.0</v>
      </c>
      <c r="B330" s="14" t="s">
        <v>18</v>
      </c>
      <c r="C330" s="133" t="s">
        <v>56</v>
      </c>
      <c r="D330" s="16" t="s">
        <v>982</v>
      </c>
      <c r="E330" s="135" t="s">
        <v>983</v>
      </c>
      <c r="F330" s="152" t="s">
        <v>970</v>
      </c>
      <c r="G330" s="29" t="b">
        <v>0</v>
      </c>
      <c r="H330" s="79" t="b">
        <v>0</v>
      </c>
    </row>
    <row r="331">
      <c r="A331" s="51">
        <v>45747.0</v>
      </c>
      <c r="B331" s="52" t="s">
        <v>26</v>
      </c>
      <c r="C331" s="90" t="s">
        <v>434</v>
      </c>
      <c r="D331" s="54" t="s">
        <v>984</v>
      </c>
      <c r="E331" s="92" t="s">
        <v>65</v>
      </c>
      <c r="F331" s="181" t="s">
        <v>784</v>
      </c>
      <c r="G331" s="29" t="b">
        <v>1</v>
      </c>
      <c r="H331" s="79" t="b">
        <v>0</v>
      </c>
    </row>
    <row r="332">
      <c r="A332" s="13">
        <v>45747.0</v>
      </c>
      <c r="B332" s="14" t="s">
        <v>18</v>
      </c>
      <c r="C332" s="133" t="s">
        <v>114</v>
      </c>
      <c r="D332" s="133" t="s">
        <v>227</v>
      </c>
      <c r="E332" s="135" t="s">
        <v>985</v>
      </c>
      <c r="F332" s="152" t="s">
        <v>986</v>
      </c>
      <c r="G332" s="29" t="b">
        <v>0</v>
      </c>
      <c r="H332" s="79" t="b">
        <v>0</v>
      </c>
    </row>
    <row r="333">
      <c r="A333" s="13">
        <v>45747.0</v>
      </c>
      <c r="B333" s="14" t="s">
        <v>10</v>
      </c>
      <c r="C333" s="133" t="s">
        <v>253</v>
      </c>
      <c r="D333" s="133" t="s">
        <v>987</v>
      </c>
      <c r="E333" s="135"/>
      <c r="F333" s="152"/>
      <c r="G333" s="29" t="b">
        <v>0</v>
      </c>
      <c r="H333" s="79" t="b">
        <v>0</v>
      </c>
    </row>
    <row r="334">
      <c r="A334" s="37">
        <v>45747.0</v>
      </c>
      <c r="B334" s="38" t="s">
        <v>26</v>
      </c>
      <c r="C334" s="77" t="s">
        <v>350</v>
      </c>
      <c r="D334" s="77" t="s">
        <v>988</v>
      </c>
      <c r="E334" s="86" t="s">
        <v>65</v>
      </c>
      <c r="F334" s="129" t="s">
        <v>989</v>
      </c>
      <c r="G334" s="29" t="b">
        <v>1</v>
      </c>
      <c r="H334" s="79" t="b">
        <v>0</v>
      </c>
    </row>
    <row r="335">
      <c r="A335" s="182"/>
      <c r="B335" s="183"/>
      <c r="C335" s="184"/>
      <c r="D335" s="185" t="s">
        <v>600</v>
      </c>
      <c r="E335" s="186"/>
      <c r="F335" s="187"/>
      <c r="G335" s="188" t="b">
        <v>0</v>
      </c>
      <c r="H335" s="189" t="b">
        <v>0</v>
      </c>
    </row>
    <row r="336">
      <c r="A336" s="13">
        <v>45749.0</v>
      </c>
      <c r="B336" s="14" t="s">
        <v>59</v>
      </c>
      <c r="C336" s="133" t="s">
        <v>352</v>
      </c>
      <c r="D336" s="133" t="s">
        <v>990</v>
      </c>
      <c r="E336" s="135" t="s">
        <v>65</v>
      </c>
      <c r="F336" s="152" t="s">
        <v>991</v>
      </c>
      <c r="G336" s="29" t="b">
        <v>0</v>
      </c>
      <c r="H336" s="79" t="b">
        <v>0</v>
      </c>
    </row>
    <row r="337">
      <c r="A337" s="13">
        <v>45749.0</v>
      </c>
      <c r="B337" s="14" t="s">
        <v>59</v>
      </c>
      <c r="C337" s="133" t="s">
        <v>38</v>
      </c>
      <c r="D337" s="133" t="s">
        <v>992</v>
      </c>
      <c r="E337" s="135" t="s">
        <v>16</v>
      </c>
      <c r="F337" s="152" t="s">
        <v>993</v>
      </c>
      <c r="G337" s="29" t="b">
        <v>1</v>
      </c>
      <c r="H337" s="79" t="b">
        <v>0</v>
      </c>
    </row>
    <row r="338">
      <c r="A338" s="13">
        <v>45750.0</v>
      </c>
      <c r="B338" s="14" t="s">
        <v>18</v>
      </c>
      <c r="C338" s="133" t="s">
        <v>80</v>
      </c>
      <c r="D338" s="133" t="s">
        <v>918</v>
      </c>
      <c r="E338" s="135" t="s">
        <v>994</v>
      </c>
      <c r="F338" s="152" t="s">
        <v>995</v>
      </c>
      <c r="G338" s="29" t="b">
        <v>0</v>
      </c>
      <c r="H338" s="79" t="b">
        <v>0</v>
      </c>
    </row>
    <row r="339">
      <c r="A339" s="13">
        <v>45750.0</v>
      </c>
      <c r="B339" s="14" t="s">
        <v>18</v>
      </c>
      <c r="C339" s="133" t="s">
        <v>54</v>
      </c>
      <c r="D339" s="133" t="s">
        <v>996</v>
      </c>
      <c r="E339" s="135" t="s">
        <v>56</v>
      </c>
      <c r="F339" s="152"/>
      <c r="G339" s="29" t="b">
        <v>0</v>
      </c>
      <c r="H339" s="79" t="b">
        <v>0</v>
      </c>
    </row>
    <row r="340">
      <c r="A340" s="13">
        <v>45751.0</v>
      </c>
      <c r="B340" s="14" t="s">
        <v>18</v>
      </c>
      <c r="C340" s="133" t="s">
        <v>54</v>
      </c>
      <c r="D340" s="133" t="s">
        <v>997</v>
      </c>
      <c r="E340" s="135" t="s">
        <v>56</v>
      </c>
      <c r="F340" s="152"/>
      <c r="G340" s="29" t="b">
        <v>0</v>
      </c>
      <c r="H340" s="79" t="b">
        <v>0</v>
      </c>
    </row>
    <row r="341">
      <c r="A341" s="13">
        <v>45751.0</v>
      </c>
      <c r="B341" s="14" t="s">
        <v>26</v>
      </c>
      <c r="C341" s="133" t="s">
        <v>54</v>
      </c>
      <c r="D341" s="133" t="s">
        <v>258</v>
      </c>
      <c r="E341" s="135" t="s">
        <v>49</v>
      </c>
      <c r="F341" s="152"/>
      <c r="G341" s="29" t="b">
        <v>0</v>
      </c>
      <c r="H341" s="79" t="b">
        <v>0</v>
      </c>
    </row>
    <row r="342">
      <c r="A342" s="13">
        <v>45751.0</v>
      </c>
      <c r="B342" s="14" t="s">
        <v>59</v>
      </c>
      <c r="C342" s="133" t="s">
        <v>66</v>
      </c>
      <c r="D342" s="133" t="s">
        <v>998</v>
      </c>
      <c r="E342" s="135" t="s">
        <v>16</v>
      </c>
      <c r="F342" s="152" t="s">
        <v>999</v>
      </c>
      <c r="G342" s="29" t="b">
        <v>0</v>
      </c>
      <c r="H342" s="79" t="b">
        <v>0</v>
      </c>
    </row>
    <row r="343">
      <c r="A343" s="13">
        <v>45752.0</v>
      </c>
      <c r="B343" s="14" t="s">
        <v>26</v>
      </c>
      <c r="C343" s="133" t="s">
        <v>202</v>
      </c>
      <c r="D343" s="133" t="s">
        <v>1000</v>
      </c>
      <c r="E343" s="135" t="s">
        <v>65</v>
      </c>
      <c r="F343" s="152" t="s">
        <v>993</v>
      </c>
      <c r="G343" s="29" t="b">
        <v>1</v>
      </c>
      <c r="H343" s="79" t="b">
        <v>0</v>
      </c>
    </row>
    <row r="344">
      <c r="A344" s="13">
        <v>45754.0</v>
      </c>
      <c r="B344" s="14" t="s">
        <v>18</v>
      </c>
      <c r="C344" s="133" t="s">
        <v>197</v>
      </c>
      <c r="D344" s="133" t="s">
        <v>740</v>
      </c>
      <c r="E344" s="135" t="s">
        <v>16</v>
      </c>
      <c r="F344" s="152" t="s">
        <v>198</v>
      </c>
      <c r="G344" s="29" t="b">
        <v>0</v>
      </c>
      <c r="H344" s="79" t="b">
        <v>0</v>
      </c>
    </row>
    <row r="345">
      <c r="A345" s="13">
        <v>45755.0</v>
      </c>
      <c r="B345" s="14" t="s">
        <v>18</v>
      </c>
      <c r="C345" s="133" t="s">
        <v>63</v>
      </c>
      <c r="D345" s="133" t="s">
        <v>416</v>
      </c>
      <c r="E345" s="135" t="s">
        <v>373</v>
      </c>
      <c r="F345" s="152"/>
      <c r="G345" s="29" t="b">
        <v>0</v>
      </c>
      <c r="H345" s="79" t="b">
        <v>0</v>
      </c>
    </row>
    <row r="346">
      <c r="A346" s="13">
        <v>45755.0</v>
      </c>
      <c r="B346" s="14" t="s">
        <v>18</v>
      </c>
      <c r="C346" s="133" t="s">
        <v>128</v>
      </c>
      <c r="D346" s="133" t="s">
        <v>416</v>
      </c>
      <c r="E346" s="135" t="s">
        <v>912</v>
      </c>
      <c r="F346" s="152" t="s">
        <v>1001</v>
      </c>
      <c r="G346" s="29" t="b">
        <v>1</v>
      </c>
      <c r="H346" s="79" t="b">
        <v>0</v>
      </c>
    </row>
    <row r="347">
      <c r="A347" s="13">
        <v>45756.0</v>
      </c>
      <c r="B347" s="14" t="s">
        <v>18</v>
      </c>
      <c r="C347" s="133" t="s">
        <v>650</v>
      </c>
      <c r="D347" s="133" t="s">
        <v>1002</v>
      </c>
      <c r="E347" s="135" t="s">
        <v>1003</v>
      </c>
      <c r="F347" s="152" t="s">
        <v>993</v>
      </c>
      <c r="G347" s="29" t="b">
        <v>1</v>
      </c>
      <c r="H347" s="79" t="b">
        <v>0</v>
      </c>
    </row>
    <row r="348">
      <c r="A348" s="13">
        <v>45756.0</v>
      </c>
      <c r="B348" s="14" t="s">
        <v>18</v>
      </c>
      <c r="C348" s="133" t="s">
        <v>104</v>
      </c>
      <c r="D348" s="133" t="s">
        <v>348</v>
      </c>
      <c r="E348" s="135" t="s">
        <v>16</v>
      </c>
      <c r="F348" s="152" t="s">
        <v>198</v>
      </c>
      <c r="G348" s="29" t="b">
        <v>0</v>
      </c>
      <c r="H348" s="79" t="b">
        <v>0</v>
      </c>
    </row>
    <row r="349">
      <c r="A349" s="13">
        <v>45757.0</v>
      </c>
      <c r="B349" s="14" t="s">
        <v>18</v>
      </c>
      <c r="C349" s="133" t="s">
        <v>54</v>
      </c>
      <c r="D349" s="133" t="s">
        <v>996</v>
      </c>
      <c r="E349" s="135" t="s">
        <v>56</v>
      </c>
      <c r="F349" s="152"/>
      <c r="G349" s="29" t="b">
        <v>0</v>
      </c>
      <c r="H349" s="79" t="b">
        <v>0</v>
      </c>
    </row>
    <row r="350">
      <c r="A350" s="13">
        <v>45758.0</v>
      </c>
      <c r="B350" s="8" t="s">
        <v>18</v>
      </c>
      <c r="C350" s="9" t="s">
        <v>54</v>
      </c>
      <c r="D350" s="133" t="s">
        <v>1004</v>
      </c>
      <c r="E350" s="165" t="s">
        <v>56</v>
      </c>
      <c r="F350" s="43"/>
      <c r="G350" s="149" t="b">
        <v>0</v>
      </c>
      <c r="H350" s="190" t="b">
        <v>0</v>
      </c>
    </row>
    <row r="351">
      <c r="A351" s="13">
        <v>45758.0</v>
      </c>
      <c r="B351" s="14" t="s">
        <v>18</v>
      </c>
      <c r="C351" s="133" t="s">
        <v>63</v>
      </c>
      <c r="D351" s="133" t="s">
        <v>177</v>
      </c>
      <c r="E351" s="135" t="s">
        <v>16</v>
      </c>
      <c r="F351" s="152" t="s">
        <v>97</v>
      </c>
      <c r="G351" s="29" t="b">
        <v>0</v>
      </c>
      <c r="H351" s="79" t="b">
        <v>0</v>
      </c>
    </row>
    <row r="352">
      <c r="A352" s="13">
        <v>45759.0</v>
      </c>
      <c r="B352" s="14" t="s">
        <v>18</v>
      </c>
      <c r="C352" s="133" t="s">
        <v>56</v>
      </c>
      <c r="D352" s="133" t="s">
        <v>1005</v>
      </c>
      <c r="E352" s="135" t="s">
        <v>1006</v>
      </c>
      <c r="F352" s="152" t="s">
        <v>222</v>
      </c>
      <c r="G352" s="29" t="b">
        <v>0</v>
      </c>
      <c r="H352" s="79" t="b">
        <v>0</v>
      </c>
    </row>
    <row r="353">
      <c r="A353" s="13">
        <v>45759.0</v>
      </c>
      <c r="B353" s="14" t="s">
        <v>59</v>
      </c>
      <c r="C353" s="133" t="s">
        <v>189</v>
      </c>
      <c r="D353" s="133" t="s">
        <v>674</v>
      </c>
      <c r="E353" s="135"/>
      <c r="F353" s="152"/>
      <c r="G353" s="29" t="b">
        <v>0</v>
      </c>
      <c r="H353" s="79" t="b">
        <v>0</v>
      </c>
    </row>
    <row r="354">
      <c r="A354" s="13">
        <v>45761.0</v>
      </c>
      <c r="B354" s="14" t="s">
        <v>18</v>
      </c>
      <c r="C354" s="133" t="s">
        <v>114</v>
      </c>
      <c r="D354" s="133" t="s">
        <v>678</v>
      </c>
      <c r="E354" s="135" t="s">
        <v>16</v>
      </c>
      <c r="F354" s="152" t="s">
        <v>1007</v>
      </c>
      <c r="G354" s="29" t="b">
        <v>1</v>
      </c>
      <c r="H354" s="79" t="b">
        <v>0</v>
      </c>
    </row>
    <row r="355">
      <c r="A355" s="13">
        <v>45761.0</v>
      </c>
      <c r="B355" s="14" t="s">
        <v>18</v>
      </c>
      <c r="C355" s="133" t="s">
        <v>394</v>
      </c>
      <c r="D355" s="133" t="s">
        <v>960</v>
      </c>
      <c r="E355" s="135" t="s">
        <v>16</v>
      </c>
      <c r="F355" s="152" t="s">
        <v>198</v>
      </c>
      <c r="G355" s="29" t="b">
        <v>0</v>
      </c>
      <c r="H355" s="79" t="b">
        <v>0</v>
      </c>
    </row>
    <row r="356">
      <c r="A356" s="13">
        <v>45761.0</v>
      </c>
      <c r="B356" s="14" t="s">
        <v>355</v>
      </c>
      <c r="C356" s="133" t="s">
        <v>197</v>
      </c>
      <c r="D356" s="133" t="s">
        <v>1008</v>
      </c>
      <c r="E356" s="135" t="s">
        <v>65</v>
      </c>
      <c r="F356" s="152" t="s">
        <v>1009</v>
      </c>
      <c r="G356" s="29" t="b">
        <v>0</v>
      </c>
      <c r="H356" s="79" t="b">
        <v>0</v>
      </c>
    </row>
    <row r="357">
      <c r="A357" s="13">
        <v>45761.0</v>
      </c>
      <c r="B357" s="14" t="s">
        <v>18</v>
      </c>
      <c r="C357" s="133" t="s">
        <v>70</v>
      </c>
      <c r="D357" s="16" t="s">
        <v>103</v>
      </c>
      <c r="E357" s="135" t="s">
        <v>104</v>
      </c>
      <c r="F357" s="152"/>
      <c r="G357" s="29" t="b">
        <v>0</v>
      </c>
      <c r="H357" s="79" t="b">
        <v>0</v>
      </c>
    </row>
    <row r="358">
      <c r="A358" s="13">
        <v>45763.0</v>
      </c>
      <c r="B358" s="14" t="s">
        <v>26</v>
      </c>
      <c r="C358" s="133" t="s">
        <v>47</v>
      </c>
      <c r="D358" s="16" t="s">
        <v>930</v>
      </c>
      <c r="E358" s="135" t="s">
        <v>30</v>
      </c>
      <c r="F358" s="152" t="s">
        <v>1010</v>
      </c>
      <c r="G358" s="29" t="b">
        <v>1</v>
      </c>
      <c r="H358" s="79" t="b">
        <v>0</v>
      </c>
    </row>
    <row r="359">
      <c r="A359" s="13">
        <v>45763.0</v>
      </c>
      <c r="B359" s="14" t="s">
        <v>26</v>
      </c>
      <c r="C359" s="133" t="s">
        <v>338</v>
      </c>
      <c r="D359" s="16" t="s">
        <v>1011</v>
      </c>
      <c r="E359" s="135"/>
      <c r="F359" s="152" t="s">
        <v>1009</v>
      </c>
      <c r="G359" s="29" t="b">
        <v>0</v>
      </c>
      <c r="H359" s="79" t="b">
        <v>0</v>
      </c>
    </row>
    <row r="360">
      <c r="A360" s="13">
        <v>45764.0</v>
      </c>
      <c r="B360" s="14" t="s">
        <v>26</v>
      </c>
      <c r="C360" s="133" t="s">
        <v>47</v>
      </c>
      <c r="D360" s="16" t="s">
        <v>1012</v>
      </c>
      <c r="E360" s="135" t="s">
        <v>583</v>
      </c>
      <c r="F360" s="152" t="s">
        <v>1013</v>
      </c>
      <c r="G360" s="29" t="b">
        <v>0</v>
      </c>
      <c r="H360" s="79" t="b">
        <v>0</v>
      </c>
    </row>
    <row r="361">
      <c r="A361" s="13">
        <v>45764.0</v>
      </c>
      <c r="B361" s="14" t="s">
        <v>26</v>
      </c>
      <c r="C361" s="133" t="s">
        <v>47</v>
      </c>
      <c r="D361" s="16" t="s">
        <v>1014</v>
      </c>
      <c r="E361" s="135" t="s">
        <v>583</v>
      </c>
      <c r="F361" s="152" t="s">
        <v>1013</v>
      </c>
      <c r="G361" s="29" t="b">
        <v>0</v>
      </c>
      <c r="H361" s="79" t="b">
        <v>0</v>
      </c>
    </row>
    <row r="362">
      <c r="A362" s="13">
        <v>45764.0</v>
      </c>
      <c r="B362" s="14" t="s">
        <v>18</v>
      </c>
      <c r="C362" s="133" t="s">
        <v>623</v>
      </c>
      <c r="D362" s="16" t="s">
        <v>1015</v>
      </c>
      <c r="E362" s="135" t="s">
        <v>114</v>
      </c>
      <c r="F362" s="152"/>
      <c r="G362" s="29" t="b">
        <v>0</v>
      </c>
      <c r="H362" s="79" t="b">
        <v>0</v>
      </c>
    </row>
    <row r="363">
      <c r="A363" s="13">
        <v>45765.0</v>
      </c>
      <c r="B363" s="14" t="s">
        <v>26</v>
      </c>
      <c r="C363" s="133" t="s">
        <v>60</v>
      </c>
      <c r="D363" s="16" t="s">
        <v>1016</v>
      </c>
      <c r="E363" s="135"/>
      <c r="F363" s="152" t="s">
        <v>1017</v>
      </c>
      <c r="G363" s="29" t="b">
        <v>1</v>
      </c>
      <c r="H363" s="79" t="b">
        <v>0</v>
      </c>
    </row>
    <row r="364">
      <c r="A364" s="13">
        <v>45765.0</v>
      </c>
      <c r="B364" s="14" t="s">
        <v>10</v>
      </c>
      <c r="C364" s="133" t="s">
        <v>259</v>
      </c>
      <c r="D364" s="16" t="s">
        <v>1018</v>
      </c>
      <c r="E364" s="135"/>
      <c r="F364" s="152" t="s">
        <v>701</v>
      </c>
      <c r="G364" s="29" t="b">
        <v>0</v>
      </c>
      <c r="H364" s="79" t="b">
        <v>0</v>
      </c>
    </row>
    <row r="365">
      <c r="A365" s="13">
        <v>45769.0</v>
      </c>
      <c r="B365" s="14" t="s">
        <v>18</v>
      </c>
      <c r="C365" s="133" t="s">
        <v>167</v>
      </c>
      <c r="D365" s="16" t="s">
        <v>168</v>
      </c>
      <c r="E365" s="135" t="s">
        <v>739</v>
      </c>
      <c r="F365" s="152"/>
      <c r="G365" s="29" t="b">
        <v>0</v>
      </c>
      <c r="H365" s="79" t="b">
        <v>0</v>
      </c>
    </row>
    <row r="366">
      <c r="A366" s="13">
        <v>45769.0</v>
      </c>
      <c r="B366" s="14" t="s">
        <v>59</v>
      </c>
      <c r="C366" s="133" t="s">
        <v>84</v>
      </c>
      <c r="D366" s="16" t="s">
        <v>1019</v>
      </c>
      <c r="E366" s="135"/>
      <c r="F366" s="152" t="s">
        <v>1020</v>
      </c>
      <c r="G366" s="29" t="b">
        <v>0</v>
      </c>
      <c r="H366" s="79" t="b">
        <v>0</v>
      </c>
    </row>
    <row r="367">
      <c r="A367" s="13">
        <v>45404.0</v>
      </c>
      <c r="B367" s="14" t="s">
        <v>355</v>
      </c>
      <c r="C367" s="133" t="s">
        <v>79</v>
      </c>
      <c r="D367" s="16" t="s">
        <v>1021</v>
      </c>
      <c r="E367" s="135" t="s">
        <v>65</v>
      </c>
      <c r="F367" s="152" t="s">
        <v>1022</v>
      </c>
      <c r="G367" s="29" t="b">
        <v>1</v>
      </c>
      <c r="H367" s="79" t="b">
        <v>0</v>
      </c>
    </row>
    <row r="368">
      <c r="A368" s="13">
        <v>45769.0</v>
      </c>
      <c r="B368" s="14" t="s">
        <v>59</v>
      </c>
      <c r="C368" s="133" t="s">
        <v>499</v>
      </c>
      <c r="D368" s="16" t="s">
        <v>1023</v>
      </c>
      <c r="E368" s="135" t="s">
        <v>16</v>
      </c>
      <c r="F368" s="152" t="s">
        <v>1024</v>
      </c>
      <c r="G368" s="29" t="b">
        <v>0</v>
      </c>
      <c r="H368" s="79" t="b">
        <v>0</v>
      </c>
    </row>
    <row r="369">
      <c r="A369" s="13">
        <v>45769.0</v>
      </c>
      <c r="B369" s="14" t="s">
        <v>18</v>
      </c>
      <c r="C369" s="133" t="s">
        <v>204</v>
      </c>
      <c r="D369" s="16" t="s">
        <v>1025</v>
      </c>
      <c r="E369" s="135" t="s">
        <v>30</v>
      </c>
      <c r="F369" s="152"/>
      <c r="G369" s="29" t="b">
        <v>0</v>
      </c>
      <c r="H369" s="79" t="b">
        <v>0</v>
      </c>
    </row>
    <row r="370">
      <c r="A370" s="13">
        <v>45769.0</v>
      </c>
      <c r="B370" s="14" t="s">
        <v>26</v>
      </c>
      <c r="C370" s="133" t="s">
        <v>47</v>
      </c>
      <c r="D370" s="16" t="s">
        <v>1026</v>
      </c>
      <c r="E370" s="135" t="s">
        <v>30</v>
      </c>
      <c r="F370" s="152"/>
      <c r="G370" s="29" t="b">
        <v>0</v>
      </c>
      <c r="H370" s="79" t="b">
        <v>0</v>
      </c>
    </row>
    <row r="371">
      <c r="A371" s="13">
        <v>45769.0</v>
      </c>
      <c r="B371" s="14" t="s">
        <v>26</v>
      </c>
      <c r="C371" s="133" t="s">
        <v>47</v>
      </c>
      <c r="D371" s="16" t="s">
        <v>1027</v>
      </c>
      <c r="E371" s="135" t="s">
        <v>30</v>
      </c>
      <c r="F371" s="152"/>
      <c r="G371" s="29" t="b">
        <v>0</v>
      </c>
      <c r="H371" s="79" t="b">
        <v>0</v>
      </c>
    </row>
    <row r="372">
      <c r="A372" s="13">
        <v>45769.0</v>
      </c>
      <c r="B372" s="14" t="s">
        <v>26</v>
      </c>
      <c r="C372" s="133" t="s">
        <v>47</v>
      </c>
      <c r="D372" s="16" t="s">
        <v>1028</v>
      </c>
      <c r="E372" s="135" t="s">
        <v>110</v>
      </c>
      <c r="F372" s="152"/>
      <c r="G372" s="29" t="b">
        <v>0</v>
      </c>
      <c r="H372" s="79" t="b">
        <v>0</v>
      </c>
    </row>
    <row r="373">
      <c r="A373" s="13">
        <v>45769.0</v>
      </c>
      <c r="B373" s="14" t="s">
        <v>18</v>
      </c>
      <c r="C373" s="133" t="s">
        <v>573</v>
      </c>
      <c r="D373" s="16" t="s">
        <v>833</v>
      </c>
      <c r="E373" s="135" t="s">
        <v>104</v>
      </c>
      <c r="F373" s="152"/>
      <c r="G373" s="29" t="b">
        <v>0</v>
      </c>
      <c r="H373" s="79" t="b">
        <v>0</v>
      </c>
    </row>
    <row r="374">
      <c r="A374" s="13">
        <v>45770.0</v>
      </c>
      <c r="B374" s="14" t="s">
        <v>26</v>
      </c>
      <c r="C374" s="133" t="s">
        <v>47</v>
      </c>
      <c r="D374" s="16" t="s">
        <v>930</v>
      </c>
      <c r="E374" s="135" t="s">
        <v>30</v>
      </c>
      <c r="F374" s="152"/>
      <c r="G374" s="29" t="b">
        <v>0</v>
      </c>
      <c r="H374" s="79" t="b">
        <v>0</v>
      </c>
    </row>
    <row r="375">
      <c r="A375" s="13">
        <v>45770.0</v>
      </c>
      <c r="B375" s="14" t="s">
        <v>59</v>
      </c>
      <c r="C375" s="133" t="s">
        <v>204</v>
      </c>
      <c r="D375" s="16" t="s">
        <v>1029</v>
      </c>
      <c r="E375" s="135"/>
      <c r="F375" s="152" t="s">
        <v>1030</v>
      </c>
      <c r="G375" s="29" t="b">
        <v>1</v>
      </c>
      <c r="H375" s="79" t="b">
        <v>0</v>
      </c>
    </row>
    <row r="376">
      <c r="A376" s="13">
        <v>45770.0</v>
      </c>
      <c r="B376" s="14" t="s">
        <v>18</v>
      </c>
      <c r="C376" s="133" t="s">
        <v>144</v>
      </c>
      <c r="D376" s="16" t="s">
        <v>776</v>
      </c>
      <c r="E376" s="135" t="s">
        <v>30</v>
      </c>
      <c r="F376" s="152"/>
      <c r="G376" s="29" t="b">
        <v>0</v>
      </c>
      <c r="H376" s="79" t="b">
        <v>0</v>
      </c>
    </row>
    <row r="377">
      <c r="A377" s="13">
        <v>45771.0</v>
      </c>
      <c r="B377" s="14" t="s">
        <v>26</v>
      </c>
      <c r="C377" s="133" t="s">
        <v>47</v>
      </c>
      <c r="D377" s="16" t="s">
        <v>1012</v>
      </c>
      <c r="E377" s="135" t="s">
        <v>30</v>
      </c>
      <c r="F377" s="152"/>
      <c r="G377" s="29" t="b">
        <v>0</v>
      </c>
      <c r="H377" s="79" t="b">
        <v>0</v>
      </c>
    </row>
    <row r="378">
      <c r="A378" s="13">
        <v>45771.0</v>
      </c>
      <c r="B378" s="14" t="s">
        <v>26</v>
      </c>
      <c r="C378" s="133" t="s">
        <v>47</v>
      </c>
      <c r="D378" s="16" t="s">
        <v>1014</v>
      </c>
      <c r="E378" s="135" t="s">
        <v>30</v>
      </c>
      <c r="F378" s="152"/>
      <c r="G378" s="29" t="b">
        <v>0</v>
      </c>
      <c r="H378" s="79" t="b">
        <v>0</v>
      </c>
    </row>
    <row r="379">
      <c r="A379" s="13">
        <v>45771.0</v>
      </c>
      <c r="B379" s="14" t="s">
        <v>10</v>
      </c>
      <c r="C379" s="133" t="s">
        <v>623</v>
      </c>
      <c r="D379" s="16" t="s">
        <v>669</v>
      </c>
      <c r="E379" s="135"/>
      <c r="F379" s="152" t="s">
        <v>62</v>
      </c>
      <c r="G379" s="29" t="b">
        <v>0</v>
      </c>
      <c r="H379" s="79" t="b">
        <v>0</v>
      </c>
    </row>
    <row r="380">
      <c r="A380" s="13">
        <v>45771.0</v>
      </c>
      <c r="B380" s="14" t="s">
        <v>18</v>
      </c>
      <c r="C380" s="133" t="s">
        <v>499</v>
      </c>
      <c r="D380" s="16" t="s">
        <v>1031</v>
      </c>
      <c r="E380" s="135" t="s">
        <v>16</v>
      </c>
      <c r="F380" s="152" t="s">
        <v>1032</v>
      </c>
      <c r="G380" s="29" t="b">
        <v>0</v>
      </c>
      <c r="H380" s="79" t="b">
        <v>0</v>
      </c>
    </row>
    <row r="381">
      <c r="A381" s="13">
        <v>45771.0</v>
      </c>
      <c r="B381" s="14" t="s">
        <v>26</v>
      </c>
      <c r="C381" s="133" t="s">
        <v>33</v>
      </c>
      <c r="D381" s="16" t="s">
        <v>1033</v>
      </c>
      <c r="E381" s="135"/>
      <c r="F381" s="152" t="s">
        <v>1034</v>
      </c>
      <c r="G381" s="29" t="b">
        <v>0</v>
      </c>
      <c r="H381" s="79" t="b">
        <v>0</v>
      </c>
    </row>
    <row r="382">
      <c r="A382" s="13">
        <v>45771.0</v>
      </c>
      <c r="B382" s="14" t="s">
        <v>10</v>
      </c>
      <c r="C382" s="133" t="s">
        <v>80</v>
      </c>
      <c r="D382" s="16" t="s">
        <v>1035</v>
      </c>
      <c r="E382" s="135"/>
      <c r="F382" s="152" t="s">
        <v>62</v>
      </c>
      <c r="G382" s="29" t="b">
        <v>0</v>
      </c>
      <c r="H382" s="79" t="b">
        <v>0</v>
      </c>
    </row>
    <row r="383">
      <c r="A383" s="13">
        <v>45771.0</v>
      </c>
      <c r="B383" s="14" t="s">
        <v>355</v>
      </c>
      <c r="C383" s="133" t="s">
        <v>253</v>
      </c>
      <c r="D383" s="16" t="s">
        <v>1036</v>
      </c>
      <c r="E383" s="135" t="s">
        <v>16</v>
      </c>
      <c r="F383" s="152" t="s">
        <v>1037</v>
      </c>
      <c r="G383" s="29" t="b">
        <v>1</v>
      </c>
      <c r="H383" s="79" t="b">
        <v>0</v>
      </c>
    </row>
    <row r="384">
      <c r="A384" s="13">
        <v>45771.0</v>
      </c>
      <c r="B384" s="14" t="s">
        <v>10</v>
      </c>
      <c r="C384" s="133" t="s">
        <v>80</v>
      </c>
      <c r="D384" s="16" t="s">
        <v>1038</v>
      </c>
      <c r="E384" s="135" t="s">
        <v>1039</v>
      </c>
      <c r="F384" s="152"/>
      <c r="G384" s="29" t="b">
        <v>0</v>
      </c>
      <c r="H384" s="79" t="b">
        <v>0</v>
      </c>
    </row>
    <row r="385">
      <c r="A385" s="13">
        <v>45771.0</v>
      </c>
      <c r="B385" s="14" t="s">
        <v>18</v>
      </c>
      <c r="C385" s="133" t="s">
        <v>253</v>
      </c>
      <c r="D385" s="16" t="s">
        <v>1040</v>
      </c>
      <c r="E385" s="135" t="s">
        <v>16</v>
      </c>
      <c r="F385" s="152" t="s">
        <v>627</v>
      </c>
      <c r="G385" s="29" t="b">
        <v>0</v>
      </c>
      <c r="H385" s="79" t="b">
        <v>0</v>
      </c>
    </row>
    <row r="386">
      <c r="A386" s="13">
        <v>45771.0</v>
      </c>
      <c r="B386" s="14" t="s">
        <v>18</v>
      </c>
      <c r="C386" s="133" t="s">
        <v>85</v>
      </c>
      <c r="D386" s="16" t="s">
        <v>474</v>
      </c>
      <c r="E386" s="135" t="s">
        <v>739</v>
      </c>
      <c r="F386" s="152" t="s">
        <v>1041</v>
      </c>
      <c r="G386" s="29" t="b">
        <v>0</v>
      </c>
      <c r="H386" s="79" t="b">
        <v>0</v>
      </c>
    </row>
    <row r="387">
      <c r="A387" s="13">
        <v>45771.0</v>
      </c>
      <c r="B387" s="14" t="s">
        <v>18</v>
      </c>
      <c r="C387" s="133" t="s">
        <v>85</v>
      </c>
      <c r="D387" s="16" t="s">
        <v>1042</v>
      </c>
      <c r="E387" s="135" t="s">
        <v>1043</v>
      </c>
      <c r="F387" s="152" t="s">
        <v>1044</v>
      </c>
      <c r="G387" s="29" t="b">
        <v>0</v>
      </c>
      <c r="H387" s="79" t="b">
        <v>0</v>
      </c>
    </row>
    <row r="388">
      <c r="A388" s="37">
        <v>45775.0</v>
      </c>
      <c r="B388" s="38" t="s">
        <v>10</v>
      </c>
      <c r="C388" s="77" t="s">
        <v>33</v>
      </c>
      <c r="D388" s="40" t="s">
        <v>1045</v>
      </c>
      <c r="E388" s="86" t="s">
        <v>378</v>
      </c>
      <c r="F388" s="129" t="s">
        <v>945</v>
      </c>
      <c r="G388" s="29" t="b">
        <v>1</v>
      </c>
      <c r="H388" s="79" t="b">
        <v>0</v>
      </c>
    </row>
    <row r="389">
      <c r="A389" s="37">
        <v>45775.0</v>
      </c>
      <c r="B389" s="38" t="s">
        <v>10</v>
      </c>
      <c r="C389" s="77" t="s">
        <v>394</v>
      </c>
      <c r="D389" s="40" t="s">
        <v>1045</v>
      </c>
      <c r="E389" s="86" t="s">
        <v>378</v>
      </c>
      <c r="F389" s="129" t="s">
        <v>945</v>
      </c>
      <c r="G389" s="29" t="b">
        <v>1</v>
      </c>
      <c r="H389" s="79" t="b">
        <v>0</v>
      </c>
    </row>
    <row r="390">
      <c r="A390" s="13">
        <v>45776.0</v>
      </c>
      <c r="B390" s="14" t="s">
        <v>18</v>
      </c>
      <c r="C390" s="133" t="s">
        <v>573</v>
      </c>
      <c r="D390" s="16" t="s">
        <v>833</v>
      </c>
      <c r="E390" s="135" t="s">
        <v>386</v>
      </c>
      <c r="F390" s="152"/>
      <c r="G390" s="29" t="b">
        <v>0</v>
      </c>
      <c r="H390" s="79" t="b">
        <v>0</v>
      </c>
    </row>
    <row r="391">
      <c r="A391" s="37">
        <v>45777.0</v>
      </c>
      <c r="B391" s="38" t="s">
        <v>18</v>
      </c>
      <c r="C391" s="77" t="s">
        <v>468</v>
      </c>
      <c r="D391" s="40" t="s">
        <v>348</v>
      </c>
      <c r="E391" s="86" t="s">
        <v>16</v>
      </c>
      <c r="F391" s="129" t="s">
        <v>945</v>
      </c>
      <c r="G391" s="29" t="b">
        <v>1</v>
      </c>
      <c r="H391" s="79" t="b">
        <v>0</v>
      </c>
    </row>
    <row r="392">
      <c r="A392" s="13">
        <v>45777.0</v>
      </c>
      <c r="B392" s="14" t="s">
        <v>26</v>
      </c>
      <c r="C392" s="133" t="s">
        <v>345</v>
      </c>
      <c r="D392" s="16" t="s">
        <v>1046</v>
      </c>
      <c r="E392" s="135"/>
      <c r="F392" s="152" t="s">
        <v>1047</v>
      </c>
      <c r="G392" s="18" t="b">
        <v>1</v>
      </c>
      <c r="H392" s="79" t="b">
        <v>0</v>
      </c>
    </row>
    <row r="393">
      <c r="A393" s="37">
        <v>45777.0</v>
      </c>
      <c r="B393" s="38" t="s">
        <v>59</v>
      </c>
      <c r="C393" s="77" t="s">
        <v>350</v>
      </c>
      <c r="D393" s="40" t="s">
        <v>1048</v>
      </c>
      <c r="E393" s="86" t="s">
        <v>1049</v>
      </c>
      <c r="F393" s="129" t="s">
        <v>1050</v>
      </c>
      <c r="G393" s="29" t="b">
        <v>1</v>
      </c>
      <c r="H393" s="79" t="b">
        <v>0</v>
      </c>
    </row>
    <row r="394">
      <c r="A394" s="37">
        <v>45777.0</v>
      </c>
      <c r="B394" s="38" t="s">
        <v>246</v>
      </c>
      <c r="C394" s="77" t="s">
        <v>30</v>
      </c>
      <c r="D394" s="40" t="s">
        <v>1051</v>
      </c>
      <c r="E394" s="86" t="s">
        <v>1052</v>
      </c>
      <c r="F394" s="129" t="s">
        <v>1050</v>
      </c>
      <c r="G394" s="29" t="b">
        <v>1</v>
      </c>
      <c r="H394" s="79" t="b">
        <v>0</v>
      </c>
    </row>
    <row r="395">
      <c r="A395" s="191"/>
      <c r="B395" s="192"/>
      <c r="C395" s="193"/>
      <c r="D395" s="194" t="s">
        <v>606</v>
      </c>
      <c r="E395" s="195"/>
      <c r="F395" s="196"/>
      <c r="G395" s="197" t="b">
        <v>0</v>
      </c>
      <c r="H395" s="198" t="b">
        <v>0</v>
      </c>
    </row>
    <row r="396">
      <c r="A396" s="13">
        <v>45779.0</v>
      </c>
      <c r="B396" s="14" t="s">
        <v>18</v>
      </c>
      <c r="C396" s="133" t="s">
        <v>110</v>
      </c>
      <c r="D396" s="16" t="s">
        <v>1053</v>
      </c>
      <c r="E396" s="135" t="s">
        <v>1054</v>
      </c>
      <c r="F396" s="152"/>
      <c r="G396" s="18" t="b">
        <v>0</v>
      </c>
      <c r="H396" s="157" t="b">
        <v>0</v>
      </c>
    </row>
    <row r="397">
      <c r="A397" s="13">
        <v>45779.0</v>
      </c>
      <c r="B397" s="14" t="s">
        <v>18</v>
      </c>
      <c r="C397" s="133" t="s">
        <v>19</v>
      </c>
      <c r="D397" s="16" t="s">
        <v>477</v>
      </c>
      <c r="E397" s="135" t="s">
        <v>16</v>
      </c>
      <c r="F397" s="152" t="s">
        <v>1050</v>
      </c>
      <c r="G397" s="18" t="b">
        <v>1</v>
      </c>
      <c r="H397" s="157" t="b">
        <v>0</v>
      </c>
    </row>
    <row r="398">
      <c r="A398" s="13">
        <v>45779.0</v>
      </c>
      <c r="B398" s="14" t="s">
        <v>18</v>
      </c>
      <c r="C398" s="133" t="s">
        <v>63</v>
      </c>
      <c r="D398" s="16" t="s">
        <v>1055</v>
      </c>
      <c r="E398" s="135" t="s">
        <v>16</v>
      </c>
      <c r="F398" s="152" t="s">
        <v>1050</v>
      </c>
      <c r="G398" s="18" t="b">
        <v>1</v>
      </c>
      <c r="H398" s="157" t="b">
        <v>0</v>
      </c>
    </row>
    <row r="399">
      <c r="A399" s="13">
        <v>45779.0</v>
      </c>
      <c r="B399" s="14" t="s">
        <v>18</v>
      </c>
      <c r="C399" s="133" t="s">
        <v>40</v>
      </c>
      <c r="D399" s="16" t="s">
        <v>1055</v>
      </c>
      <c r="E399" s="135" t="s">
        <v>16</v>
      </c>
      <c r="F399" s="152" t="s">
        <v>1050</v>
      </c>
      <c r="G399" s="18" t="b">
        <v>1</v>
      </c>
      <c r="H399" s="157" t="b">
        <v>0</v>
      </c>
    </row>
    <row r="400">
      <c r="A400" s="13">
        <v>45779.0</v>
      </c>
      <c r="B400" s="14" t="s">
        <v>18</v>
      </c>
      <c r="C400" s="133" t="s">
        <v>66</v>
      </c>
      <c r="D400" s="16" t="s">
        <v>1055</v>
      </c>
      <c r="E400" s="135" t="s">
        <v>16</v>
      </c>
      <c r="F400" s="152"/>
      <c r="G400" s="18" t="b">
        <v>1</v>
      </c>
      <c r="H400" s="157" t="b">
        <v>0</v>
      </c>
    </row>
    <row r="401">
      <c r="A401" s="13">
        <v>45779.0</v>
      </c>
      <c r="B401" s="14" t="s">
        <v>18</v>
      </c>
      <c r="C401" s="133" t="s">
        <v>104</v>
      </c>
      <c r="D401" s="16" t="s">
        <v>1055</v>
      </c>
      <c r="E401" s="135" t="s">
        <v>16</v>
      </c>
      <c r="F401" s="152" t="s">
        <v>1056</v>
      </c>
      <c r="G401" s="18" t="b">
        <v>1</v>
      </c>
      <c r="H401" s="157" t="b">
        <v>0</v>
      </c>
    </row>
    <row r="402">
      <c r="A402" s="13">
        <v>45779.0</v>
      </c>
      <c r="B402" s="14" t="s">
        <v>26</v>
      </c>
      <c r="C402" s="133" t="s">
        <v>259</v>
      </c>
      <c r="D402" s="16" t="s">
        <v>1057</v>
      </c>
      <c r="E402" s="135" t="s">
        <v>694</v>
      </c>
      <c r="F402" s="152"/>
      <c r="G402" s="18" t="b">
        <v>0</v>
      </c>
      <c r="H402" s="157" t="b">
        <v>0</v>
      </c>
    </row>
    <row r="403">
      <c r="A403" s="13">
        <v>45780.0</v>
      </c>
      <c r="B403" s="14" t="s">
        <v>18</v>
      </c>
      <c r="C403" s="133" t="s">
        <v>110</v>
      </c>
      <c r="D403" s="16" t="s">
        <v>1058</v>
      </c>
      <c r="E403" s="135" t="s">
        <v>1059</v>
      </c>
      <c r="F403" s="152"/>
      <c r="G403" s="18" t="b">
        <v>0</v>
      </c>
      <c r="H403" s="157" t="b">
        <v>0</v>
      </c>
    </row>
    <row r="404">
      <c r="A404" s="13">
        <v>45780.0</v>
      </c>
      <c r="B404" s="14" t="s">
        <v>18</v>
      </c>
      <c r="C404" s="133" t="s">
        <v>704</v>
      </c>
      <c r="D404" s="16" t="s">
        <v>1060</v>
      </c>
      <c r="E404" s="135" t="s">
        <v>16</v>
      </c>
      <c r="F404" s="152" t="s">
        <v>1061</v>
      </c>
      <c r="G404" s="18" t="b">
        <v>1</v>
      </c>
      <c r="H404" s="157" t="b">
        <v>0</v>
      </c>
    </row>
    <row r="405">
      <c r="A405" s="13">
        <v>45780.0</v>
      </c>
      <c r="B405" s="14" t="s">
        <v>18</v>
      </c>
      <c r="C405" s="133" t="s">
        <v>66</v>
      </c>
      <c r="D405" s="16" t="s">
        <v>1062</v>
      </c>
      <c r="E405" s="135" t="s">
        <v>16</v>
      </c>
      <c r="F405" s="152" t="s">
        <v>1050</v>
      </c>
      <c r="G405" s="18" t="b">
        <v>1</v>
      </c>
      <c r="H405" s="157" t="b">
        <v>0</v>
      </c>
    </row>
    <row r="406">
      <c r="A406" s="13">
        <v>45780.0</v>
      </c>
      <c r="B406" s="14" t="s">
        <v>18</v>
      </c>
      <c r="C406" s="133" t="s">
        <v>66</v>
      </c>
      <c r="D406" s="16" t="s">
        <v>1063</v>
      </c>
      <c r="E406" s="135" t="s">
        <v>16</v>
      </c>
      <c r="F406" s="152" t="s">
        <v>1064</v>
      </c>
      <c r="G406" s="18" t="b">
        <v>0</v>
      </c>
      <c r="H406" s="157" t="b">
        <v>0</v>
      </c>
    </row>
    <row r="407">
      <c r="A407" s="13">
        <v>45782.0</v>
      </c>
      <c r="B407" s="14" t="s">
        <v>18</v>
      </c>
      <c r="C407" s="133" t="s">
        <v>67</v>
      </c>
      <c r="D407" s="16" t="s">
        <v>1065</v>
      </c>
      <c r="E407" s="135" t="s">
        <v>311</v>
      </c>
      <c r="F407" s="152"/>
      <c r="G407" s="18" t="b">
        <v>0</v>
      </c>
      <c r="H407" s="157" t="b">
        <v>0</v>
      </c>
    </row>
    <row r="408">
      <c r="A408" s="13">
        <v>45782.0</v>
      </c>
      <c r="B408" s="14" t="s">
        <v>18</v>
      </c>
      <c r="C408" s="133" t="s">
        <v>67</v>
      </c>
      <c r="D408" s="16" t="s">
        <v>1066</v>
      </c>
      <c r="E408" s="135" t="s">
        <v>16</v>
      </c>
      <c r="F408" s="152" t="s">
        <v>97</v>
      </c>
      <c r="G408" s="18" t="b">
        <v>0</v>
      </c>
      <c r="H408" s="157" t="b">
        <v>0</v>
      </c>
    </row>
    <row r="409">
      <c r="A409" s="13">
        <v>45782.0</v>
      </c>
      <c r="B409" s="14" t="s">
        <v>18</v>
      </c>
      <c r="C409" s="133" t="s">
        <v>394</v>
      </c>
      <c r="D409" s="16" t="s">
        <v>1045</v>
      </c>
      <c r="E409" s="135"/>
      <c r="F409" s="152" t="s">
        <v>1009</v>
      </c>
      <c r="G409" s="18" t="b">
        <v>0</v>
      </c>
      <c r="H409" s="157" t="b">
        <v>0</v>
      </c>
    </row>
    <row r="410">
      <c r="A410" s="13">
        <v>45783.0</v>
      </c>
      <c r="B410" s="14" t="s">
        <v>18</v>
      </c>
      <c r="C410" s="133" t="s">
        <v>63</v>
      </c>
      <c r="D410" s="16" t="s">
        <v>1067</v>
      </c>
      <c r="E410" s="135"/>
      <c r="F410" s="152" t="s">
        <v>97</v>
      </c>
      <c r="G410" s="18" t="b">
        <v>0</v>
      </c>
      <c r="H410" s="157" t="b">
        <v>0</v>
      </c>
    </row>
    <row r="411">
      <c r="A411" s="13">
        <v>45784.0</v>
      </c>
      <c r="B411" s="14" t="s">
        <v>18</v>
      </c>
      <c r="C411" s="133" t="s">
        <v>345</v>
      </c>
      <c r="D411" s="16" t="s">
        <v>1068</v>
      </c>
      <c r="E411" s="135" t="s">
        <v>378</v>
      </c>
      <c r="F411" s="152" t="s">
        <v>1069</v>
      </c>
      <c r="G411" s="18" t="b">
        <v>1</v>
      </c>
      <c r="H411" s="157" t="b">
        <v>0</v>
      </c>
    </row>
    <row r="412">
      <c r="A412" s="13">
        <v>45784.0</v>
      </c>
      <c r="B412" s="14" t="s">
        <v>26</v>
      </c>
      <c r="C412" s="133" t="s">
        <v>650</v>
      </c>
      <c r="D412" s="16" t="s">
        <v>1070</v>
      </c>
      <c r="E412" s="135" t="s">
        <v>65</v>
      </c>
      <c r="F412" s="152" t="s">
        <v>1069</v>
      </c>
      <c r="G412" s="18" t="b">
        <v>1</v>
      </c>
      <c r="H412" s="157" t="b">
        <v>0</v>
      </c>
    </row>
    <row r="413">
      <c r="A413" s="13">
        <v>45785.0</v>
      </c>
      <c r="B413" s="14" t="s">
        <v>10</v>
      </c>
      <c r="C413" s="133" t="s">
        <v>623</v>
      </c>
      <c r="D413" s="16" t="s">
        <v>654</v>
      </c>
      <c r="E413" s="135"/>
      <c r="F413" s="152" t="s">
        <v>752</v>
      </c>
      <c r="G413" s="18" t="b">
        <v>0</v>
      </c>
      <c r="H413" s="157" t="b">
        <v>0</v>
      </c>
    </row>
    <row r="414">
      <c r="A414" s="13">
        <v>45786.0</v>
      </c>
      <c r="B414" s="14" t="s">
        <v>18</v>
      </c>
      <c r="C414" s="133" t="s">
        <v>27</v>
      </c>
      <c r="D414" s="16" t="s">
        <v>1071</v>
      </c>
      <c r="E414" s="135" t="s">
        <v>23</v>
      </c>
      <c r="F414" s="152"/>
      <c r="G414" s="18" t="b">
        <v>0</v>
      </c>
      <c r="H414" s="157" t="b">
        <v>0</v>
      </c>
    </row>
    <row r="415">
      <c r="A415" s="13">
        <v>45786.0</v>
      </c>
      <c r="B415" s="14" t="s">
        <v>26</v>
      </c>
      <c r="C415" s="133" t="s">
        <v>63</v>
      </c>
      <c r="D415" s="16" t="s">
        <v>1072</v>
      </c>
      <c r="E415" s="135" t="s">
        <v>1073</v>
      </c>
      <c r="F415" s="152" t="s">
        <v>862</v>
      </c>
      <c r="G415" s="18" t="b">
        <v>1</v>
      </c>
      <c r="H415" s="157" t="b">
        <v>0</v>
      </c>
    </row>
    <row r="416">
      <c r="A416" s="13">
        <v>45786.0</v>
      </c>
      <c r="B416" s="14" t="s">
        <v>26</v>
      </c>
      <c r="C416" s="133" t="s">
        <v>66</v>
      </c>
      <c r="D416" s="16" t="s">
        <v>1072</v>
      </c>
      <c r="E416" s="135" t="s">
        <v>1073</v>
      </c>
      <c r="F416" s="152" t="s">
        <v>862</v>
      </c>
      <c r="G416" s="18" t="b">
        <v>1</v>
      </c>
      <c r="H416" s="157" t="b">
        <v>0</v>
      </c>
    </row>
    <row r="417">
      <c r="A417" s="13">
        <v>45786.0</v>
      </c>
      <c r="B417" s="14" t="s">
        <v>59</v>
      </c>
      <c r="C417" s="133" t="s">
        <v>259</v>
      </c>
      <c r="D417" s="16" t="s">
        <v>1074</v>
      </c>
      <c r="E417" s="135" t="s">
        <v>62</v>
      </c>
      <c r="F417" s="152"/>
      <c r="G417" s="18" t="b">
        <v>0</v>
      </c>
      <c r="H417" s="157" t="b">
        <v>0</v>
      </c>
    </row>
    <row r="418">
      <c r="A418" s="13">
        <v>45787.0</v>
      </c>
      <c r="B418" s="14" t="s">
        <v>18</v>
      </c>
      <c r="C418" s="133" t="s">
        <v>311</v>
      </c>
      <c r="D418" s="199"/>
      <c r="E418" s="135" t="s">
        <v>16</v>
      </c>
      <c r="F418" s="27" t="s">
        <v>1075</v>
      </c>
      <c r="G418" s="18" t="b">
        <v>0</v>
      </c>
      <c r="H418" s="157" t="b">
        <v>0</v>
      </c>
    </row>
    <row r="419">
      <c r="A419" s="13">
        <v>45789.0</v>
      </c>
      <c r="B419" s="14" t="s">
        <v>18</v>
      </c>
      <c r="C419" s="133" t="s">
        <v>70</v>
      </c>
      <c r="D419" s="16" t="s">
        <v>1076</v>
      </c>
      <c r="E419" s="17" t="s">
        <v>104</v>
      </c>
      <c r="F419" s="152"/>
      <c r="G419" s="18" t="b">
        <v>0</v>
      </c>
      <c r="H419" s="18" t="b">
        <v>0</v>
      </c>
    </row>
    <row r="420">
      <c r="A420" s="13">
        <v>45789.0</v>
      </c>
      <c r="B420" s="14" t="s">
        <v>18</v>
      </c>
      <c r="C420" s="133" t="s">
        <v>60</v>
      </c>
      <c r="D420" s="16" t="s">
        <v>88</v>
      </c>
      <c r="E420" s="135" t="s">
        <v>16</v>
      </c>
      <c r="F420" s="152" t="s">
        <v>945</v>
      </c>
      <c r="G420" s="18" t="b">
        <v>1</v>
      </c>
      <c r="H420" s="157" t="b">
        <v>0</v>
      </c>
    </row>
    <row r="421">
      <c r="A421" s="13">
        <v>45789.0</v>
      </c>
      <c r="B421" s="14" t="s">
        <v>18</v>
      </c>
      <c r="C421" s="133" t="s">
        <v>394</v>
      </c>
      <c r="D421" s="16" t="s">
        <v>1045</v>
      </c>
      <c r="E421" s="135"/>
      <c r="F421" s="152" t="s">
        <v>1009</v>
      </c>
      <c r="G421" s="18" t="b">
        <v>0</v>
      </c>
      <c r="H421" s="157" t="b">
        <v>0</v>
      </c>
    </row>
    <row r="422">
      <c r="A422" s="13">
        <v>45791.0</v>
      </c>
      <c r="B422" s="14" t="s">
        <v>18</v>
      </c>
      <c r="C422" s="133" t="s">
        <v>131</v>
      </c>
      <c r="D422" s="16" t="s">
        <v>1077</v>
      </c>
      <c r="E422" s="135" t="s">
        <v>56</v>
      </c>
      <c r="F422" s="152"/>
      <c r="G422" s="18" t="b">
        <v>0</v>
      </c>
      <c r="H422" s="157" t="b">
        <v>0</v>
      </c>
    </row>
    <row r="423">
      <c r="A423" s="13">
        <v>45791.0</v>
      </c>
      <c r="B423" s="14" t="s">
        <v>18</v>
      </c>
      <c r="C423" s="133" t="s">
        <v>131</v>
      </c>
      <c r="D423" s="16" t="s">
        <v>1078</v>
      </c>
      <c r="E423" s="135" t="s">
        <v>345</v>
      </c>
      <c r="F423" s="152"/>
      <c r="G423" s="18" t="b">
        <v>0</v>
      </c>
      <c r="H423" s="157" t="b">
        <v>0</v>
      </c>
    </row>
    <row r="424">
      <c r="A424" s="13">
        <v>45791.0</v>
      </c>
      <c r="B424" s="14" t="s">
        <v>18</v>
      </c>
      <c r="C424" s="133" t="s">
        <v>338</v>
      </c>
      <c r="D424" s="16" t="s">
        <v>1079</v>
      </c>
      <c r="E424" s="135" t="s">
        <v>70</v>
      </c>
      <c r="F424" s="152"/>
      <c r="G424" s="18" t="b">
        <v>0</v>
      </c>
      <c r="H424" s="157" t="b">
        <v>0</v>
      </c>
    </row>
    <row r="425">
      <c r="A425" s="13">
        <v>45791.0</v>
      </c>
      <c r="B425" s="14" t="s">
        <v>18</v>
      </c>
      <c r="C425" s="133" t="s">
        <v>338</v>
      </c>
      <c r="D425" s="16" t="s">
        <v>1080</v>
      </c>
      <c r="E425" s="135" t="s">
        <v>16</v>
      </c>
      <c r="F425" s="152"/>
      <c r="G425" s="18" t="b">
        <v>0</v>
      </c>
      <c r="H425" s="157" t="b">
        <v>0</v>
      </c>
    </row>
    <row r="426">
      <c r="A426" s="13">
        <v>45794.0</v>
      </c>
      <c r="B426" s="14" t="s">
        <v>18</v>
      </c>
      <c r="C426" s="133" t="s">
        <v>202</v>
      </c>
      <c r="D426" s="16" t="s">
        <v>768</v>
      </c>
      <c r="E426" s="135" t="s">
        <v>16</v>
      </c>
      <c r="F426" s="152" t="s">
        <v>945</v>
      </c>
      <c r="G426" s="18" t="b">
        <v>1</v>
      </c>
      <c r="H426" s="157" t="b">
        <v>0</v>
      </c>
    </row>
    <row r="427">
      <c r="A427" s="13">
        <v>45796.0</v>
      </c>
      <c r="B427" s="14" t="s">
        <v>18</v>
      </c>
      <c r="C427" s="133" t="s">
        <v>76</v>
      </c>
      <c r="D427" s="16" t="s">
        <v>770</v>
      </c>
      <c r="E427" s="135" t="s">
        <v>1081</v>
      </c>
      <c r="F427" s="152" t="s">
        <v>1082</v>
      </c>
      <c r="G427" s="18" t="b">
        <v>0</v>
      </c>
      <c r="H427" s="157" t="b">
        <v>0</v>
      </c>
    </row>
    <row r="428">
      <c r="A428" s="13">
        <v>45796.0</v>
      </c>
      <c r="B428" s="14" t="s">
        <v>18</v>
      </c>
      <c r="C428" s="133" t="s">
        <v>131</v>
      </c>
      <c r="D428" s="16" t="s">
        <v>1083</v>
      </c>
      <c r="E428" s="135" t="s">
        <v>56</v>
      </c>
      <c r="F428" s="152"/>
      <c r="G428" s="18" t="b">
        <v>0</v>
      </c>
      <c r="H428" s="157" t="b">
        <v>0</v>
      </c>
    </row>
    <row r="429">
      <c r="A429" s="13">
        <v>45796.0</v>
      </c>
      <c r="B429" s="14" t="s">
        <v>18</v>
      </c>
      <c r="C429" s="133" t="s">
        <v>131</v>
      </c>
      <c r="D429" s="16" t="s">
        <v>1084</v>
      </c>
      <c r="E429" s="135" t="s">
        <v>56</v>
      </c>
      <c r="F429" s="152"/>
      <c r="G429" s="18" t="b">
        <v>0</v>
      </c>
      <c r="H429" s="157" t="b">
        <v>0</v>
      </c>
    </row>
    <row r="430">
      <c r="A430" s="13">
        <v>45796.0</v>
      </c>
      <c r="B430" s="14" t="s">
        <v>18</v>
      </c>
      <c r="C430" s="133" t="s">
        <v>49</v>
      </c>
      <c r="D430" s="16" t="s">
        <v>770</v>
      </c>
      <c r="E430" s="135" t="s">
        <v>1085</v>
      </c>
      <c r="F430" s="152"/>
      <c r="G430" s="18" t="b">
        <v>0</v>
      </c>
      <c r="H430" s="157" t="b">
        <v>0</v>
      </c>
    </row>
    <row r="431">
      <c r="A431" s="13">
        <v>45796.0</v>
      </c>
      <c r="B431" s="14" t="s">
        <v>18</v>
      </c>
      <c r="C431" s="133" t="s">
        <v>49</v>
      </c>
      <c r="D431" s="16" t="s">
        <v>755</v>
      </c>
      <c r="E431" s="135" t="s">
        <v>1085</v>
      </c>
      <c r="F431" s="152"/>
      <c r="G431" s="18" t="b">
        <v>0</v>
      </c>
      <c r="H431" s="157" t="b">
        <v>0</v>
      </c>
    </row>
    <row r="432">
      <c r="A432" s="13">
        <v>45796.0</v>
      </c>
      <c r="B432" s="14" t="s">
        <v>10</v>
      </c>
      <c r="C432" s="133" t="s">
        <v>253</v>
      </c>
      <c r="D432" s="133" t="s">
        <v>518</v>
      </c>
      <c r="E432" s="135"/>
      <c r="F432" s="152"/>
      <c r="G432" s="18" t="b">
        <v>0</v>
      </c>
      <c r="H432" s="157" t="b">
        <v>0</v>
      </c>
    </row>
    <row r="433">
      <c r="A433" s="13">
        <v>45797.0</v>
      </c>
      <c r="B433" s="14" t="s">
        <v>18</v>
      </c>
      <c r="C433" s="133" t="s">
        <v>202</v>
      </c>
      <c r="D433" s="133" t="s">
        <v>254</v>
      </c>
      <c r="E433" s="135" t="s">
        <v>16</v>
      </c>
      <c r="F433" s="27" t="s">
        <v>69</v>
      </c>
      <c r="G433" s="18" t="b">
        <v>1</v>
      </c>
      <c r="H433" s="157" t="b">
        <v>0</v>
      </c>
    </row>
    <row r="434">
      <c r="A434" s="13">
        <v>45798.0</v>
      </c>
      <c r="B434" s="14" t="s">
        <v>18</v>
      </c>
      <c r="C434" s="133" t="s">
        <v>14</v>
      </c>
      <c r="D434" s="133" t="s">
        <v>1086</v>
      </c>
      <c r="E434" s="135" t="s">
        <v>1087</v>
      </c>
      <c r="F434" s="27" t="s">
        <v>1088</v>
      </c>
      <c r="G434" s="18" t="b">
        <v>0</v>
      </c>
      <c r="H434" s="157" t="b">
        <v>0</v>
      </c>
    </row>
    <row r="435">
      <c r="A435" s="13">
        <v>45798.0</v>
      </c>
      <c r="B435" s="14" t="s">
        <v>26</v>
      </c>
      <c r="C435" s="133" t="s">
        <v>386</v>
      </c>
      <c r="D435" s="133" t="s">
        <v>1089</v>
      </c>
      <c r="E435" s="135" t="s">
        <v>65</v>
      </c>
      <c r="F435" s="152" t="s">
        <v>1009</v>
      </c>
      <c r="G435" s="18" t="b">
        <v>0</v>
      </c>
      <c r="H435" s="157" t="b">
        <v>0</v>
      </c>
    </row>
    <row r="436">
      <c r="A436" s="13">
        <v>45799.0</v>
      </c>
      <c r="B436" s="14" t="s">
        <v>26</v>
      </c>
      <c r="C436" s="133" t="s">
        <v>386</v>
      </c>
      <c r="D436" s="133" t="s">
        <v>1090</v>
      </c>
      <c r="E436" s="135" t="s">
        <v>104</v>
      </c>
      <c r="F436" s="152"/>
      <c r="G436" s="18" t="b">
        <v>0</v>
      </c>
      <c r="H436" s="157" t="b">
        <v>0</v>
      </c>
    </row>
    <row r="437">
      <c r="A437" s="13">
        <v>45799.0</v>
      </c>
      <c r="B437" s="14" t="s">
        <v>18</v>
      </c>
      <c r="C437" s="133" t="s">
        <v>125</v>
      </c>
      <c r="D437" s="133" t="s">
        <v>256</v>
      </c>
      <c r="E437" s="135" t="s">
        <v>16</v>
      </c>
      <c r="F437" s="152" t="s">
        <v>1091</v>
      </c>
      <c r="G437" s="18" t="b">
        <v>1</v>
      </c>
      <c r="H437" s="157" t="b">
        <v>0</v>
      </c>
    </row>
    <row r="438">
      <c r="A438" s="13">
        <v>45800.0</v>
      </c>
      <c r="B438" s="14" t="s">
        <v>26</v>
      </c>
      <c r="C438" s="133" t="s">
        <v>60</v>
      </c>
      <c r="D438" s="133" t="s">
        <v>1092</v>
      </c>
      <c r="E438" s="135" t="s">
        <v>16</v>
      </c>
      <c r="F438" s="152" t="s">
        <v>1093</v>
      </c>
      <c r="G438" s="18" t="b">
        <v>1</v>
      </c>
      <c r="H438" s="157" t="b">
        <v>0</v>
      </c>
    </row>
    <row r="439">
      <c r="A439" s="37">
        <v>45801.0</v>
      </c>
      <c r="B439" s="38" t="s">
        <v>26</v>
      </c>
      <c r="C439" s="77" t="s">
        <v>60</v>
      </c>
      <c r="D439" s="77" t="s">
        <v>1094</v>
      </c>
      <c r="E439" s="86" t="s">
        <v>16</v>
      </c>
      <c r="F439" s="129" t="s">
        <v>1093</v>
      </c>
      <c r="G439" s="29" t="b">
        <v>1</v>
      </c>
      <c r="H439" s="157" t="b">
        <v>0</v>
      </c>
    </row>
    <row r="440">
      <c r="A440" s="37">
        <v>45801.0</v>
      </c>
      <c r="B440" s="38" t="s">
        <v>18</v>
      </c>
      <c r="C440" s="77" t="s">
        <v>202</v>
      </c>
      <c r="D440" s="40" t="s">
        <v>768</v>
      </c>
      <c r="E440" s="86" t="s">
        <v>16</v>
      </c>
      <c r="F440" s="129" t="s">
        <v>1095</v>
      </c>
      <c r="G440" s="29" t="b">
        <v>1</v>
      </c>
      <c r="H440" s="157" t="b">
        <v>0</v>
      </c>
    </row>
    <row r="441">
      <c r="A441" s="13">
        <v>45803.0</v>
      </c>
      <c r="B441" s="14" t="s">
        <v>26</v>
      </c>
      <c r="C441" s="133" t="s">
        <v>60</v>
      </c>
      <c r="D441" s="16" t="s">
        <v>948</v>
      </c>
      <c r="E441" s="135" t="s">
        <v>16</v>
      </c>
      <c r="F441" s="152" t="s">
        <v>1096</v>
      </c>
      <c r="G441" s="18" t="b">
        <v>1</v>
      </c>
      <c r="H441" s="157" t="b">
        <v>0</v>
      </c>
    </row>
    <row r="442">
      <c r="A442" s="13">
        <v>45803.0</v>
      </c>
      <c r="B442" s="14" t="s">
        <v>18</v>
      </c>
      <c r="C442" s="133" t="s">
        <v>131</v>
      </c>
      <c r="D442" s="133" t="s">
        <v>1097</v>
      </c>
      <c r="E442" s="135" t="s">
        <v>56</v>
      </c>
      <c r="F442" s="152"/>
      <c r="G442" s="18" t="b">
        <v>0</v>
      </c>
      <c r="H442" s="157" t="b">
        <v>0</v>
      </c>
    </row>
    <row r="443">
      <c r="A443" s="13">
        <v>45803.0</v>
      </c>
      <c r="B443" s="14" t="s">
        <v>26</v>
      </c>
      <c r="C443" s="133" t="s">
        <v>80</v>
      </c>
      <c r="D443" s="133" t="s">
        <v>1098</v>
      </c>
      <c r="E443" s="135" t="s">
        <v>1099</v>
      </c>
      <c r="F443" s="152" t="s">
        <v>883</v>
      </c>
      <c r="G443" s="18" t="b">
        <v>0</v>
      </c>
      <c r="H443" s="157" t="b">
        <v>0</v>
      </c>
    </row>
    <row r="444">
      <c r="A444" s="13">
        <v>45803.0</v>
      </c>
      <c r="B444" s="14" t="s">
        <v>26</v>
      </c>
      <c r="C444" s="133" t="s">
        <v>80</v>
      </c>
      <c r="D444" s="133" t="s">
        <v>1100</v>
      </c>
      <c r="E444" s="135" t="s">
        <v>84</v>
      </c>
      <c r="F444" s="152"/>
      <c r="G444" s="18" t="b">
        <v>0</v>
      </c>
      <c r="H444" s="157" t="b">
        <v>0</v>
      </c>
    </row>
    <row r="445">
      <c r="A445" s="13">
        <v>45803.0</v>
      </c>
      <c r="B445" s="14" t="s">
        <v>26</v>
      </c>
      <c r="C445" s="133" t="s">
        <v>70</v>
      </c>
      <c r="D445" s="133" t="s">
        <v>1101</v>
      </c>
      <c r="E445" s="135" t="s">
        <v>104</v>
      </c>
      <c r="F445" s="152"/>
      <c r="G445" s="18" t="b">
        <v>0</v>
      </c>
      <c r="H445" s="157" t="b">
        <v>0</v>
      </c>
    </row>
    <row r="446">
      <c r="A446" s="13">
        <v>45803.0</v>
      </c>
      <c r="B446" s="14" t="s">
        <v>26</v>
      </c>
      <c r="C446" s="133" t="s">
        <v>70</v>
      </c>
      <c r="D446" s="133" t="s">
        <v>988</v>
      </c>
      <c r="E446" s="135"/>
      <c r="F446" s="152" t="s">
        <v>824</v>
      </c>
      <c r="G446" s="18" t="b">
        <v>0</v>
      </c>
      <c r="H446" s="157" t="b">
        <v>0</v>
      </c>
    </row>
    <row r="447">
      <c r="A447" s="13">
        <v>45803.0</v>
      </c>
      <c r="B447" s="14" t="s">
        <v>10</v>
      </c>
      <c r="C447" s="133" t="s">
        <v>85</v>
      </c>
      <c r="D447" s="133" t="s">
        <v>1102</v>
      </c>
      <c r="E447" s="135"/>
      <c r="F447" s="152"/>
      <c r="G447" s="18" t="b">
        <v>0</v>
      </c>
      <c r="H447" s="157" t="b">
        <v>0</v>
      </c>
    </row>
    <row r="448">
      <c r="A448" s="13">
        <v>45803.0</v>
      </c>
      <c r="B448" s="14" t="s">
        <v>246</v>
      </c>
      <c r="C448" s="133" t="s">
        <v>350</v>
      </c>
      <c r="D448" s="133" t="s">
        <v>856</v>
      </c>
      <c r="E448" s="135" t="s">
        <v>16</v>
      </c>
      <c r="F448" s="152" t="s">
        <v>1103</v>
      </c>
      <c r="G448" s="18" t="b">
        <v>0</v>
      </c>
      <c r="H448" s="157" t="b">
        <v>0</v>
      </c>
    </row>
    <row r="449">
      <c r="A449" s="13">
        <v>45804.0</v>
      </c>
      <c r="B449" s="14" t="s">
        <v>26</v>
      </c>
      <c r="C449" s="133" t="s">
        <v>60</v>
      </c>
      <c r="D449" s="133" t="s">
        <v>1104</v>
      </c>
      <c r="E449" s="135" t="s">
        <v>16</v>
      </c>
      <c r="F449" s="152" t="s">
        <v>69</v>
      </c>
      <c r="G449" s="18" t="b">
        <v>1</v>
      </c>
      <c r="H449" s="157" t="b">
        <v>0</v>
      </c>
    </row>
    <row r="450">
      <c r="A450" s="13">
        <v>45805.0</v>
      </c>
      <c r="B450" s="14" t="s">
        <v>26</v>
      </c>
      <c r="C450" s="133" t="s">
        <v>60</v>
      </c>
      <c r="D450" s="133" t="s">
        <v>1105</v>
      </c>
      <c r="E450" s="135" t="s">
        <v>16</v>
      </c>
      <c r="F450" s="152" t="s">
        <v>69</v>
      </c>
      <c r="G450" s="18" t="b">
        <v>1</v>
      </c>
      <c r="H450" s="157" t="b">
        <v>0</v>
      </c>
    </row>
    <row r="451">
      <c r="A451" s="13">
        <v>45806.0</v>
      </c>
      <c r="B451" s="14" t="s">
        <v>26</v>
      </c>
      <c r="C451" s="133" t="s">
        <v>125</v>
      </c>
      <c r="D451" s="133" t="s">
        <v>1106</v>
      </c>
      <c r="E451" s="135" t="s">
        <v>65</v>
      </c>
      <c r="F451" s="152" t="s">
        <v>1107</v>
      </c>
      <c r="G451" s="18" t="b">
        <v>1</v>
      </c>
      <c r="H451" s="157" t="b">
        <v>0</v>
      </c>
    </row>
    <row r="452">
      <c r="A452" s="13">
        <v>45806.0</v>
      </c>
      <c r="B452" s="14" t="s">
        <v>26</v>
      </c>
      <c r="C452" s="133" t="s">
        <v>80</v>
      </c>
      <c r="D452" s="133" t="s">
        <v>1108</v>
      </c>
      <c r="E452" s="135" t="s">
        <v>84</v>
      </c>
      <c r="F452" s="152"/>
      <c r="G452" s="18" t="b">
        <v>0</v>
      </c>
      <c r="H452" s="157" t="b">
        <v>0</v>
      </c>
    </row>
    <row r="453">
      <c r="A453" s="13">
        <v>45806.0</v>
      </c>
      <c r="B453" s="14" t="s">
        <v>10</v>
      </c>
      <c r="C453" s="133" t="s">
        <v>85</v>
      </c>
      <c r="D453" s="133" t="s">
        <v>1109</v>
      </c>
      <c r="E453" s="135" t="s">
        <v>1110</v>
      </c>
      <c r="F453" s="152"/>
      <c r="G453" s="18" t="b">
        <v>0</v>
      </c>
      <c r="H453" s="157" t="b">
        <v>0</v>
      </c>
    </row>
    <row r="454">
      <c r="A454" s="13">
        <v>45807.0</v>
      </c>
      <c r="B454" s="14" t="s">
        <v>18</v>
      </c>
      <c r="C454" s="133" t="s">
        <v>27</v>
      </c>
      <c r="D454" s="16" t="s">
        <v>1071</v>
      </c>
      <c r="E454" s="135" t="s">
        <v>23</v>
      </c>
      <c r="F454" s="152"/>
      <c r="G454" s="18" t="b">
        <v>0</v>
      </c>
      <c r="H454" s="157" t="b">
        <v>0</v>
      </c>
    </row>
    <row r="455">
      <c r="A455" s="13">
        <v>45807.0</v>
      </c>
      <c r="B455" s="14" t="s">
        <v>18</v>
      </c>
      <c r="C455" s="133" t="s">
        <v>40</v>
      </c>
      <c r="D455" s="133" t="s">
        <v>477</v>
      </c>
      <c r="E455" s="135" t="s">
        <v>63</v>
      </c>
      <c r="F455" s="152"/>
      <c r="G455" s="18" t="b">
        <v>0</v>
      </c>
      <c r="H455" s="157" t="b">
        <v>0</v>
      </c>
    </row>
    <row r="456">
      <c r="A456" s="13">
        <v>45808.0</v>
      </c>
      <c r="B456" s="14" t="s">
        <v>18</v>
      </c>
      <c r="C456" s="133" t="s">
        <v>30</v>
      </c>
      <c r="D456" s="133" t="s">
        <v>1111</v>
      </c>
      <c r="E456" s="135" t="s">
        <v>110</v>
      </c>
      <c r="F456" s="152"/>
      <c r="G456" s="18" t="b">
        <v>0</v>
      </c>
      <c r="H456" s="157" t="b">
        <v>0</v>
      </c>
    </row>
    <row r="457">
      <c r="A457" s="13">
        <v>45808.0</v>
      </c>
      <c r="B457" s="14" t="s">
        <v>18</v>
      </c>
      <c r="C457" s="133" t="s">
        <v>202</v>
      </c>
      <c r="D457" s="16" t="s">
        <v>768</v>
      </c>
      <c r="E457" s="135" t="s">
        <v>16</v>
      </c>
      <c r="F457" s="152" t="s">
        <v>1112</v>
      </c>
      <c r="G457" s="18" t="b">
        <v>1</v>
      </c>
      <c r="H457" s="157" t="b">
        <v>0</v>
      </c>
    </row>
    <row r="458">
      <c r="A458" s="13">
        <v>45808.0</v>
      </c>
      <c r="B458" s="14" t="s">
        <v>18</v>
      </c>
      <c r="C458" s="133" t="s">
        <v>66</v>
      </c>
      <c r="D458" s="133" t="s">
        <v>1113</v>
      </c>
      <c r="E458" s="135"/>
      <c r="F458" s="152" t="s">
        <v>198</v>
      </c>
      <c r="G458" s="18" t="b">
        <v>0</v>
      </c>
      <c r="H458" s="157" t="b">
        <v>0</v>
      </c>
    </row>
    <row r="459">
      <c r="A459" s="200"/>
      <c r="B459" s="201"/>
      <c r="C459" s="202"/>
      <c r="D459" s="203" t="s">
        <v>604</v>
      </c>
      <c r="E459" s="204"/>
      <c r="F459" s="205"/>
      <c r="G459" s="206" t="b">
        <v>0</v>
      </c>
      <c r="H459" s="207" t="b">
        <v>0</v>
      </c>
    </row>
    <row r="460">
      <c r="A460" s="13">
        <v>45810.0</v>
      </c>
      <c r="B460" s="14" t="s">
        <v>26</v>
      </c>
      <c r="C460" s="133" t="s">
        <v>202</v>
      </c>
      <c r="D460" s="133" t="s">
        <v>1114</v>
      </c>
      <c r="E460" s="135" t="s">
        <v>378</v>
      </c>
      <c r="F460" s="152" t="s">
        <v>69</v>
      </c>
      <c r="G460" s="18" t="b">
        <v>1</v>
      </c>
      <c r="H460" s="157" t="b">
        <v>0</v>
      </c>
    </row>
    <row r="461">
      <c r="A461" s="13">
        <v>45812.0</v>
      </c>
      <c r="B461" s="14" t="s">
        <v>18</v>
      </c>
      <c r="C461" s="133" t="s">
        <v>131</v>
      </c>
      <c r="D461" s="133" t="s">
        <v>1077</v>
      </c>
      <c r="E461" s="135" t="s">
        <v>56</v>
      </c>
      <c r="F461" s="152"/>
      <c r="G461" s="18" t="b">
        <v>0</v>
      </c>
      <c r="H461" s="157" t="b">
        <v>0</v>
      </c>
    </row>
    <row r="462">
      <c r="A462" s="13">
        <v>45812.0</v>
      </c>
      <c r="B462" s="14" t="s">
        <v>18</v>
      </c>
      <c r="C462" s="133" t="s">
        <v>131</v>
      </c>
      <c r="D462" s="133" t="s">
        <v>1078</v>
      </c>
      <c r="E462" s="135"/>
      <c r="F462" s="152" t="s">
        <v>16</v>
      </c>
      <c r="G462" s="18" t="b">
        <v>0</v>
      </c>
      <c r="H462" s="157" t="b">
        <v>0</v>
      </c>
    </row>
    <row r="463">
      <c r="A463" s="13">
        <v>45813.0</v>
      </c>
      <c r="B463" s="14" t="s">
        <v>18</v>
      </c>
      <c r="C463" s="133" t="s">
        <v>717</v>
      </c>
      <c r="D463" s="133" t="s">
        <v>134</v>
      </c>
      <c r="E463" s="135"/>
      <c r="F463" s="152" t="s">
        <v>945</v>
      </c>
      <c r="G463" s="18" t="b">
        <v>1</v>
      </c>
      <c r="H463" s="157" t="b">
        <v>0</v>
      </c>
    </row>
    <row r="464">
      <c r="A464" s="13">
        <v>45813.0</v>
      </c>
      <c r="B464" s="14" t="s">
        <v>26</v>
      </c>
      <c r="C464" s="133" t="s">
        <v>80</v>
      </c>
      <c r="D464" s="133" t="s">
        <v>1108</v>
      </c>
      <c r="E464" s="135" t="s">
        <v>84</v>
      </c>
      <c r="F464" s="152"/>
      <c r="G464" s="18" t="b">
        <v>0</v>
      </c>
      <c r="H464" s="157" t="b">
        <v>0</v>
      </c>
    </row>
    <row r="465">
      <c r="A465" s="13">
        <v>45814.0</v>
      </c>
      <c r="B465" s="14" t="s">
        <v>18</v>
      </c>
      <c r="C465" s="133" t="s">
        <v>19</v>
      </c>
      <c r="D465" s="133" t="s">
        <v>801</v>
      </c>
      <c r="E465" s="135" t="s">
        <v>16</v>
      </c>
      <c r="F465" s="152" t="s">
        <v>69</v>
      </c>
      <c r="G465" s="18" t="b">
        <v>1</v>
      </c>
      <c r="H465" s="157" t="b">
        <v>0</v>
      </c>
    </row>
    <row r="466">
      <c r="A466" s="13">
        <v>45814.0</v>
      </c>
      <c r="B466" s="14" t="s">
        <v>18</v>
      </c>
      <c r="C466" s="133" t="s">
        <v>259</v>
      </c>
      <c r="D466" s="133" t="s">
        <v>20</v>
      </c>
      <c r="E466" s="135" t="s">
        <v>79</v>
      </c>
      <c r="F466" s="152"/>
      <c r="G466" s="18" t="b">
        <v>0</v>
      </c>
      <c r="H466" s="157" t="b">
        <v>0</v>
      </c>
    </row>
    <row r="467">
      <c r="A467" s="13">
        <v>45814.0</v>
      </c>
      <c r="B467" s="14" t="s">
        <v>246</v>
      </c>
      <c r="C467" s="133" t="s">
        <v>60</v>
      </c>
      <c r="D467" s="133" t="s">
        <v>1115</v>
      </c>
      <c r="E467" s="135" t="s">
        <v>16</v>
      </c>
      <c r="F467" s="152" t="s">
        <v>1116</v>
      </c>
      <c r="G467" s="18" t="b">
        <v>1</v>
      </c>
      <c r="H467" s="157" t="b">
        <v>0</v>
      </c>
    </row>
    <row r="468">
      <c r="A468" s="13">
        <v>45815.0</v>
      </c>
      <c r="B468" s="14" t="s">
        <v>26</v>
      </c>
      <c r="C468" s="133" t="s">
        <v>202</v>
      </c>
      <c r="D468" s="133" t="s">
        <v>1117</v>
      </c>
      <c r="E468" s="135" t="s">
        <v>378</v>
      </c>
      <c r="F468" s="152" t="s">
        <v>1118</v>
      </c>
      <c r="G468" s="18" t="b">
        <v>1</v>
      </c>
      <c r="H468" s="157" t="b">
        <v>0</v>
      </c>
    </row>
    <row r="469">
      <c r="A469" s="13">
        <v>45817.0</v>
      </c>
      <c r="B469" s="14" t="s">
        <v>26</v>
      </c>
      <c r="C469" s="133" t="s">
        <v>80</v>
      </c>
      <c r="D469" s="133" t="s">
        <v>1098</v>
      </c>
      <c r="E469" s="135" t="s">
        <v>1099</v>
      </c>
      <c r="F469" s="152" t="s">
        <v>883</v>
      </c>
      <c r="G469" s="18" t="b">
        <v>0</v>
      </c>
      <c r="H469" s="157" t="b">
        <v>0</v>
      </c>
    </row>
    <row r="470">
      <c r="A470" s="13">
        <v>45817.0</v>
      </c>
      <c r="B470" s="14" t="s">
        <v>26</v>
      </c>
      <c r="C470" s="133" t="s">
        <v>80</v>
      </c>
      <c r="D470" s="133" t="s">
        <v>1100</v>
      </c>
      <c r="E470" s="135" t="s">
        <v>84</v>
      </c>
      <c r="F470" s="152"/>
      <c r="G470" s="18" t="b">
        <v>0</v>
      </c>
      <c r="H470" s="157" t="b">
        <v>0</v>
      </c>
    </row>
    <row r="471">
      <c r="A471" s="13">
        <v>45817.0</v>
      </c>
      <c r="B471" s="14" t="s">
        <v>18</v>
      </c>
      <c r="C471" s="133" t="s">
        <v>47</v>
      </c>
      <c r="D471" s="133" t="s">
        <v>379</v>
      </c>
      <c r="E471" s="135" t="s">
        <v>16</v>
      </c>
      <c r="F471" s="152" t="s">
        <v>1119</v>
      </c>
      <c r="G471" s="18" t="b">
        <v>1</v>
      </c>
      <c r="H471" s="157" t="b">
        <v>0</v>
      </c>
    </row>
    <row r="472">
      <c r="A472" s="13">
        <v>45817.0</v>
      </c>
      <c r="B472" s="14" t="s">
        <v>18</v>
      </c>
      <c r="C472" s="133" t="s">
        <v>70</v>
      </c>
      <c r="D472" s="133" t="s">
        <v>755</v>
      </c>
      <c r="E472" s="135" t="s">
        <v>104</v>
      </c>
      <c r="F472" s="152"/>
      <c r="G472" s="18" t="b">
        <v>0</v>
      </c>
      <c r="H472" s="157" t="b">
        <v>0</v>
      </c>
    </row>
    <row r="473">
      <c r="A473" s="13">
        <v>45817.0</v>
      </c>
      <c r="B473" s="14" t="s">
        <v>18</v>
      </c>
      <c r="C473" s="133" t="s">
        <v>70</v>
      </c>
      <c r="D473" s="133" t="s">
        <v>960</v>
      </c>
      <c r="E473" s="135"/>
      <c r="F473" s="152" t="s">
        <v>198</v>
      </c>
      <c r="G473" s="18" t="b">
        <v>0</v>
      </c>
      <c r="H473" s="157" t="b">
        <v>0</v>
      </c>
    </row>
    <row r="474">
      <c r="A474" s="13">
        <v>45817.0</v>
      </c>
      <c r="B474" s="14" t="s">
        <v>18</v>
      </c>
      <c r="C474" s="133" t="s">
        <v>49</v>
      </c>
      <c r="D474" s="133" t="s">
        <v>228</v>
      </c>
      <c r="E474" s="135" t="s">
        <v>378</v>
      </c>
      <c r="F474" s="152" t="s">
        <v>1120</v>
      </c>
      <c r="G474" s="18" t="b">
        <v>0</v>
      </c>
      <c r="H474" s="157" t="b">
        <v>0</v>
      </c>
    </row>
    <row r="475">
      <c r="A475" s="13">
        <v>45818.0</v>
      </c>
      <c r="B475" s="14" t="s">
        <v>18</v>
      </c>
      <c r="C475" s="133" t="s">
        <v>47</v>
      </c>
      <c r="D475" s="133" t="s">
        <v>1121</v>
      </c>
      <c r="E475" s="135" t="s">
        <v>16</v>
      </c>
      <c r="F475" s="152" t="s">
        <v>89</v>
      </c>
      <c r="G475" s="18" t="b">
        <v>0</v>
      </c>
      <c r="H475" s="157" t="b">
        <v>0</v>
      </c>
    </row>
    <row r="476">
      <c r="A476" s="13">
        <v>45819.0</v>
      </c>
      <c r="B476" s="14" t="s">
        <v>18</v>
      </c>
      <c r="C476" s="133" t="s">
        <v>131</v>
      </c>
      <c r="D476" s="133" t="s">
        <v>1122</v>
      </c>
      <c r="E476" s="135" t="s">
        <v>16</v>
      </c>
      <c r="F476" s="152" t="s">
        <v>1123</v>
      </c>
      <c r="G476" s="18" t="b">
        <v>1</v>
      </c>
      <c r="H476" s="157" t="b">
        <v>0</v>
      </c>
    </row>
    <row r="477">
      <c r="A477" s="13">
        <v>45819.0</v>
      </c>
      <c r="B477" s="14" t="s">
        <v>18</v>
      </c>
      <c r="C477" s="133" t="s">
        <v>352</v>
      </c>
      <c r="D477" s="133" t="s">
        <v>1124</v>
      </c>
      <c r="E477" s="135" t="s">
        <v>16</v>
      </c>
      <c r="F477" s="152" t="s">
        <v>373</v>
      </c>
      <c r="G477" s="18" t="b">
        <v>0</v>
      </c>
      <c r="H477" s="157" t="b">
        <v>0</v>
      </c>
    </row>
    <row r="478">
      <c r="A478" s="13">
        <v>45819.0</v>
      </c>
      <c r="B478" s="14" t="s">
        <v>18</v>
      </c>
      <c r="C478" s="133"/>
      <c r="D478" s="133"/>
      <c r="E478" s="135"/>
      <c r="F478" s="27" t="s">
        <v>1125</v>
      </c>
      <c r="G478" s="18" t="b">
        <v>0</v>
      </c>
      <c r="H478" s="157" t="b">
        <v>0</v>
      </c>
    </row>
    <row r="479">
      <c r="A479" s="13">
        <v>45819.0</v>
      </c>
      <c r="B479" s="14" t="s">
        <v>18</v>
      </c>
      <c r="C479" s="133" t="s">
        <v>338</v>
      </c>
      <c r="D479" s="133" t="s">
        <v>496</v>
      </c>
      <c r="E479" s="135" t="s">
        <v>70</v>
      </c>
      <c r="F479" s="152"/>
      <c r="G479" s="18" t="b">
        <v>0</v>
      </c>
      <c r="H479" s="157" t="b">
        <v>0</v>
      </c>
    </row>
    <row r="480">
      <c r="A480" s="13">
        <v>45819.0</v>
      </c>
      <c r="B480" s="14" t="s">
        <v>18</v>
      </c>
      <c r="C480" s="133" t="s">
        <v>338</v>
      </c>
      <c r="D480" s="133" t="s">
        <v>1126</v>
      </c>
      <c r="E480" s="135" t="s">
        <v>16</v>
      </c>
      <c r="F480" s="152"/>
      <c r="G480" s="18" t="b">
        <v>0</v>
      </c>
      <c r="H480" s="157" t="b">
        <v>0</v>
      </c>
    </row>
    <row r="481">
      <c r="A481" s="13">
        <v>45820.0</v>
      </c>
      <c r="B481" s="14" t="s">
        <v>18</v>
      </c>
      <c r="C481" s="133" t="s">
        <v>131</v>
      </c>
      <c r="D481" s="133" t="s">
        <v>1127</v>
      </c>
      <c r="E481" s="135" t="s">
        <v>16</v>
      </c>
      <c r="F481" s="152" t="s">
        <v>89</v>
      </c>
      <c r="G481" s="18" t="b">
        <v>1</v>
      </c>
      <c r="H481" s="157" t="b">
        <v>0</v>
      </c>
    </row>
    <row r="482">
      <c r="A482" s="13">
        <v>45820.0</v>
      </c>
      <c r="B482" s="14" t="s">
        <v>18</v>
      </c>
      <c r="C482" s="133" t="s">
        <v>131</v>
      </c>
      <c r="D482" s="133" t="s">
        <v>1128</v>
      </c>
      <c r="E482" s="135"/>
      <c r="F482" s="152" t="s">
        <v>1129</v>
      </c>
      <c r="G482" s="18" t="b">
        <v>1</v>
      </c>
      <c r="H482" s="157" t="b">
        <v>0</v>
      </c>
    </row>
    <row r="483">
      <c r="A483" s="13">
        <v>45820.0</v>
      </c>
      <c r="B483" s="14" t="s">
        <v>26</v>
      </c>
      <c r="C483" s="133" t="s">
        <v>80</v>
      </c>
      <c r="D483" s="133" t="s">
        <v>1108</v>
      </c>
      <c r="E483" s="135"/>
      <c r="F483" s="152" t="s">
        <v>1130</v>
      </c>
      <c r="G483" s="18" t="b">
        <v>0</v>
      </c>
      <c r="H483" s="157" t="b">
        <v>0</v>
      </c>
    </row>
    <row r="484">
      <c r="A484" s="13">
        <v>45820.0</v>
      </c>
      <c r="B484" s="14" t="s">
        <v>18</v>
      </c>
      <c r="C484" s="133" t="s">
        <v>47</v>
      </c>
      <c r="D484" s="133" t="s">
        <v>256</v>
      </c>
      <c r="E484" s="135" t="s">
        <v>16</v>
      </c>
      <c r="F484" s="152" t="s">
        <v>1131</v>
      </c>
      <c r="G484" s="18" t="b">
        <v>1</v>
      </c>
      <c r="H484" s="157" t="b">
        <v>0</v>
      </c>
    </row>
    <row r="485">
      <c r="A485" s="13">
        <v>45820.0</v>
      </c>
      <c r="B485" s="14" t="s">
        <v>10</v>
      </c>
      <c r="C485" s="133" t="s">
        <v>85</v>
      </c>
      <c r="D485" s="133" t="s">
        <v>1132</v>
      </c>
      <c r="E485" s="135" t="s">
        <v>1110</v>
      </c>
      <c r="F485" s="152"/>
      <c r="G485" s="18" t="b">
        <v>0</v>
      </c>
      <c r="H485" s="157" t="b">
        <v>0</v>
      </c>
    </row>
    <row r="486">
      <c r="A486" s="13">
        <v>45821.0</v>
      </c>
      <c r="B486" s="14" t="s">
        <v>18</v>
      </c>
      <c r="C486" s="133" t="s">
        <v>23</v>
      </c>
      <c r="D486" s="133" t="s">
        <v>364</v>
      </c>
      <c r="E486" s="135" t="s">
        <v>27</v>
      </c>
      <c r="F486" s="152"/>
      <c r="G486" s="18" t="b">
        <v>0</v>
      </c>
      <c r="H486" s="157" t="b">
        <v>0</v>
      </c>
    </row>
    <row r="487">
      <c r="A487" s="13">
        <v>45821.0</v>
      </c>
      <c r="B487" s="14" t="s">
        <v>18</v>
      </c>
      <c r="C487" s="133" t="s">
        <v>40</v>
      </c>
      <c r="D487" s="133" t="s">
        <v>364</v>
      </c>
      <c r="E487" s="135" t="s">
        <v>16</v>
      </c>
      <c r="F487" s="152" t="s">
        <v>97</v>
      </c>
      <c r="G487" s="18" t="b">
        <v>0</v>
      </c>
      <c r="H487" s="157" t="b">
        <v>0</v>
      </c>
    </row>
    <row r="488">
      <c r="A488" s="13">
        <v>45821.0</v>
      </c>
      <c r="B488" s="14" t="s">
        <v>246</v>
      </c>
      <c r="C488" s="133" t="s">
        <v>84</v>
      </c>
      <c r="D488" s="133" t="s">
        <v>1133</v>
      </c>
      <c r="E488" s="135" t="s">
        <v>16</v>
      </c>
      <c r="F488" s="152" t="s">
        <v>1134</v>
      </c>
      <c r="G488" s="18" t="b">
        <v>0</v>
      </c>
      <c r="H488" s="157" t="b">
        <v>0</v>
      </c>
    </row>
    <row r="489">
      <c r="A489" s="13">
        <v>45822.0</v>
      </c>
      <c r="B489" s="14" t="s">
        <v>26</v>
      </c>
      <c r="C489" s="133" t="s">
        <v>60</v>
      </c>
      <c r="D489" s="133" t="s">
        <v>1094</v>
      </c>
      <c r="E489" s="135" t="s">
        <v>65</v>
      </c>
      <c r="F489" s="152" t="s">
        <v>1135</v>
      </c>
      <c r="G489" s="18" t="b">
        <v>0</v>
      </c>
      <c r="H489" s="157" t="b">
        <v>0</v>
      </c>
    </row>
    <row r="490">
      <c r="A490" s="13">
        <v>45822.0</v>
      </c>
      <c r="B490" s="14" t="s">
        <v>26</v>
      </c>
      <c r="C490" s="133" t="s">
        <v>84</v>
      </c>
      <c r="D490" s="133" t="s">
        <v>1136</v>
      </c>
      <c r="E490" s="135" t="s">
        <v>16</v>
      </c>
      <c r="F490" s="152" t="s">
        <v>1137</v>
      </c>
      <c r="G490" s="18" t="b">
        <v>0</v>
      </c>
      <c r="H490" s="157" t="b">
        <v>0</v>
      </c>
    </row>
    <row r="491">
      <c r="A491" s="13">
        <v>45822.0</v>
      </c>
      <c r="B491" s="14" t="s">
        <v>26</v>
      </c>
      <c r="C491" s="133" t="s">
        <v>311</v>
      </c>
      <c r="D491" s="133" t="s">
        <v>1094</v>
      </c>
      <c r="E491" s="135"/>
      <c r="F491" s="152" t="s">
        <v>1138</v>
      </c>
      <c r="G491" s="18" t="b">
        <v>0</v>
      </c>
      <c r="H491" s="157" t="b">
        <v>0</v>
      </c>
    </row>
    <row r="492">
      <c r="A492" s="13">
        <v>45822.0</v>
      </c>
      <c r="B492" s="14" t="s">
        <v>26</v>
      </c>
      <c r="C492" s="133" t="s">
        <v>189</v>
      </c>
      <c r="D492" s="133" t="s">
        <v>1139</v>
      </c>
      <c r="E492" s="135"/>
      <c r="F492" s="152" t="s">
        <v>1138</v>
      </c>
      <c r="G492" s="18" t="b">
        <v>0</v>
      </c>
      <c r="H492" s="157" t="b">
        <v>0</v>
      </c>
    </row>
    <row r="493">
      <c r="A493" s="13">
        <v>45822.0</v>
      </c>
      <c r="B493" s="14" t="s">
        <v>26</v>
      </c>
      <c r="C493" s="133" t="s">
        <v>56</v>
      </c>
      <c r="D493" s="133" t="s">
        <v>1139</v>
      </c>
      <c r="E493" s="135"/>
      <c r="F493" s="152" t="s">
        <v>1137</v>
      </c>
      <c r="G493" s="18" t="b">
        <v>0</v>
      </c>
      <c r="H493" s="157" t="b">
        <v>0</v>
      </c>
    </row>
    <row r="494">
      <c r="A494" s="13">
        <v>45822.0</v>
      </c>
      <c r="B494" s="14" t="s">
        <v>26</v>
      </c>
      <c r="C494" s="133" t="s">
        <v>156</v>
      </c>
      <c r="D494" s="133" t="s">
        <v>640</v>
      </c>
      <c r="E494" s="135"/>
      <c r="F494" s="152" t="s">
        <v>1138</v>
      </c>
      <c r="G494" s="18" t="b">
        <v>0</v>
      </c>
      <c r="H494" s="157" t="b">
        <v>0</v>
      </c>
    </row>
    <row r="495">
      <c r="A495" s="13">
        <v>45824.0</v>
      </c>
      <c r="B495" s="14" t="s">
        <v>18</v>
      </c>
      <c r="C495" s="133" t="s">
        <v>80</v>
      </c>
      <c r="D495" s="133" t="s">
        <v>1140</v>
      </c>
      <c r="E495" s="135" t="s">
        <v>84</v>
      </c>
      <c r="F495" s="152"/>
      <c r="G495" s="18" t="b">
        <v>0</v>
      </c>
      <c r="H495" s="157" t="b">
        <v>0</v>
      </c>
    </row>
    <row r="496">
      <c r="A496" s="13">
        <v>45824.0</v>
      </c>
      <c r="B496" s="14" t="s">
        <v>18</v>
      </c>
      <c r="C496" s="133" t="s">
        <v>144</v>
      </c>
      <c r="D496" s="133" t="s">
        <v>1141</v>
      </c>
      <c r="E496" s="135" t="s">
        <v>30</v>
      </c>
      <c r="F496" s="152"/>
      <c r="G496" s="18" t="b">
        <v>0</v>
      </c>
      <c r="H496" s="157" t="b">
        <v>0</v>
      </c>
    </row>
    <row r="497">
      <c r="A497" s="13">
        <v>45824.0</v>
      </c>
      <c r="B497" s="14" t="s">
        <v>10</v>
      </c>
      <c r="C497" s="133" t="s">
        <v>846</v>
      </c>
      <c r="D497" s="133" t="s">
        <v>518</v>
      </c>
      <c r="E497" s="135"/>
      <c r="F497" s="152"/>
      <c r="G497" s="18" t="b">
        <v>0</v>
      </c>
      <c r="H497" s="157" t="b">
        <v>0</v>
      </c>
    </row>
    <row r="498">
      <c r="A498" s="13">
        <v>45824.0</v>
      </c>
      <c r="B498" s="14" t="s">
        <v>18</v>
      </c>
      <c r="C498" s="133" t="s">
        <v>338</v>
      </c>
      <c r="D498" s="133" t="s">
        <v>382</v>
      </c>
      <c r="E498" s="135"/>
      <c r="F498" s="152" t="s">
        <v>198</v>
      </c>
      <c r="G498" s="18" t="b">
        <v>0</v>
      </c>
      <c r="H498" s="157" t="b">
        <v>0</v>
      </c>
    </row>
    <row r="499">
      <c r="A499" s="13">
        <v>45824.0</v>
      </c>
      <c r="B499" s="8" t="s">
        <v>10</v>
      </c>
      <c r="C499" s="21" t="s">
        <v>85</v>
      </c>
      <c r="D499" s="22" t="s">
        <v>1142</v>
      </c>
      <c r="E499" s="208"/>
      <c r="F499" s="209" t="s">
        <v>16</v>
      </c>
      <c r="G499" s="18" t="b">
        <v>0</v>
      </c>
      <c r="H499" s="157" t="b">
        <v>0</v>
      </c>
    </row>
    <row r="500">
      <c r="A500" s="13">
        <v>45825.0</v>
      </c>
      <c r="B500" s="14" t="s">
        <v>18</v>
      </c>
      <c r="C500" s="133" t="s">
        <v>338</v>
      </c>
      <c r="D500" s="133" t="s">
        <v>339</v>
      </c>
      <c r="E500" s="135" t="s">
        <v>16</v>
      </c>
      <c r="F500" s="152" t="s">
        <v>198</v>
      </c>
      <c r="G500" s="18" t="b">
        <v>0</v>
      </c>
      <c r="H500" s="157" t="b">
        <v>0</v>
      </c>
    </row>
    <row r="501">
      <c r="A501" s="13">
        <v>45825.0</v>
      </c>
      <c r="B501" s="14" t="s">
        <v>18</v>
      </c>
      <c r="C501" s="133" t="s">
        <v>338</v>
      </c>
      <c r="D501" s="133" t="s">
        <v>96</v>
      </c>
      <c r="E501" s="135"/>
      <c r="F501" s="152" t="s">
        <v>1143</v>
      </c>
      <c r="G501" s="18" t="b">
        <v>1</v>
      </c>
      <c r="H501" s="157" t="b">
        <v>0</v>
      </c>
    </row>
    <row r="502">
      <c r="A502" s="13">
        <v>45825.0</v>
      </c>
      <c r="B502" s="14" t="s">
        <v>59</v>
      </c>
      <c r="C502" s="133" t="s">
        <v>38</v>
      </c>
      <c r="D502" s="133" t="s">
        <v>1144</v>
      </c>
      <c r="E502" s="135" t="s">
        <v>16</v>
      </c>
      <c r="F502" s="152" t="s">
        <v>1145</v>
      </c>
      <c r="G502" s="18" t="b">
        <v>1</v>
      </c>
      <c r="H502" s="157" t="b">
        <v>0</v>
      </c>
    </row>
    <row r="503">
      <c r="A503" s="13">
        <v>45826.0</v>
      </c>
      <c r="B503" s="14" t="s">
        <v>26</v>
      </c>
      <c r="C503" s="133" t="s">
        <v>386</v>
      </c>
      <c r="D503" s="133" t="s">
        <v>1089</v>
      </c>
      <c r="E503" s="135" t="s">
        <v>378</v>
      </c>
      <c r="F503" s="152" t="s">
        <v>198</v>
      </c>
      <c r="G503" s="18" t="b">
        <v>0</v>
      </c>
      <c r="H503" s="157" t="b">
        <v>0</v>
      </c>
    </row>
    <row r="504">
      <c r="A504" s="13">
        <v>45826.0</v>
      </c>
      <c r="B504" s="14" t="s">
        <v>18</v>
      </c>
      <c r="C504" s="133" t="s">
        <v>338</v>
      </c>
      <c r="D504" s="133" t="s">
        <v>1146</v>
      </c>
      <c r="E504" s="135" t="s">
        <v>70</v>
      </c>
      <c r="F504" s="152"/>
      <c r="G504" s="18" t="b">
        <v>0</v>
      </c>
      <c r="H504" s="157" t="b">
        <v>0</v>
      </c>
    </row>
    <row r="505">
      <c r="A505" s="13">
        <v>45826.0</v>
      </c>
      <c r="B505" s="14" t="s">
        <v>18</v>
      </c>
      <c r="C505" s="133" t="s">
        <v>338</v>
      </c>
      <c r="D505" s="133" t="s">
        <v>1147</v>
      </c>
      <c r="E505" s="135" t="s">
        <v>16</v>
      </c>
      <c r="F505" s="152" t="s">
        <v>198</v>
      </c>
      <c r="G505" s="18" t="b">
        <v>0</v>
      </c>
      <c r="H505" s="157" t="b">
        <v>0</v>
      </c>
    </row>
    <row r="506">
      <c r="A506" s="13">
        <v>45826.0</v>
      </c>
      <c r="B506" s="14" t="s">
        <v>10</v>
      </c>
      <c r="C506" s="133" t="s">
        <v>76</v>
      </c>
      <c r="D506" s="133"/>
      <c r="E506" s="135"/>
      <c r="F506" s="152" t="s">
        <v>37</v>
      </c>
      <c r="G506" s="18" t="b">
        <v>0</v>
      </c>
      <c r="H506" s="157" t="b">
        <v>0</v>
      </c>
    </row>
    <row r="507">
      <c r="A507" s="13">
        <v>45826.0</v>
      </c>
      <c r="B507" s="14" t="s">
        <v>18</v>
      </c>
      <c r="C507" s="133"/>
      <c r="D507" s="133"/>
      <c r="E507" s="135"/>
      <c r="F507" s="27" t="s">
        <v>1148</v>
      </c>
      <c r="G507" s="18" t="b">
        <v>0</v>
      </c>
      <c r="H507" s="157" t="b">
        <v>0</v>
      </c>
    </row>
    <row r="508">
      <c r="A508" s="13">
        <v>45826.0</v>
      </c>
      <c r="B508" s="14" t="s">
        <v>18</v>
      </c>
      <c r="C508" s="133" t="s">
        <v>47</v>
      </c>
      <c r="D508" s="133" t="s">
        <v>1149</v>
      </c>
      <c r="E508" s="135"/>
      <c r="F508" s="27" t="s">
        <v>1150</v>
      </c>
      <c r="G508" s="18" t="b">
        <v>0</v>
      </c>
      <c r="H508" s="157" t="b">
        <v>0</v>
      </c>
    </row>
    <row r="509">
      <c r="A509" s="13">
        <v>45827.0</v>
      </c>
      <c r="B509" s="14" t="s">
        <v>18</v>
      </c>
      <c r="C509" s="133"/>
      <c r="D509" s="133" t="s">
        <v>1151</v>
      </c>
      <c r="E509" s="135" t="s">
        <v>16</v>
      </c>
      <c r="F509" s="152" t="s">
        <v>1152</v>
      </c>
      <c r="G509" s="18" t="b">
        <v>1</v>
      </c>
      <c r="H509" s="157" t="b">
        <v>0</v>
      </c>
    </row>
    <row r="510">
      <c r="A510" s="13">
        <v>45827.0</v>
      </c>
      <c r="B510" s="14" t="s">
        <v>18</v>
      </c>
      <c r="C510" s="133" t="s">
        <v>338</v>
      </c>
      <c r="D510" s="133" t="s">
        <v>1153</v>
      </c>
      <c r="E510" s="135" t="s">
        <v>16</v>
      </c>
      <c r="F510" s="152" t="s">
        <v>1154</v>
      </c>
      <c r="G510" s="18" t="b">
        <v>1</v>
      </c>
      <c r="H510" s="157" t="b">
        <v>0</v>
      </c>
    </row>
    <row r="511">
      <c r="A511" s="13">
        <v>45827.0</v>
      </c>
      <c r="B511" s="14" t="s">
        <v>18</v>
      </c>
      <c r="C511" s="133" t="s">
        <v>338</v>
      </c>
      <c r="D511" s="133" t="s">
        <v>1155</v>
      </c>
      <c r="E511" s="135" t="s">
        <v>16</v>
      </c>
      <c r="F511" s="152" t="s">
        <v>198</v>
      </c>
      <c r="G511" s="18" t="b">
        <v>0</v>
      </c>
      <c r="H511" s="157" t="b">
        <v>0</v>
      </c>
    </row>
    <row r="512">
      <c r="A512" s="13">
        <v>45827.0</v>
      </c>
      <c r="B512" s="14" t="s">
        <v>10</v>
      </c>
      <c r="C512" s="133" t="s">
        <v>85</v>
      </c>
      <c r="D512" s="133" t="s">
        <v>475</v>
      </c>
      <c r="E512" s="135" t="s">
        <v>1110</v>
      </c>
      <c r="F512" s="152"/>
      <c r="G512" s="18" t="b">
        <v>0</v>
      </c>
      <c r="H512" s="157" t="b">
        <v>0</v>
      </c>
    </row>
    <row r="513">
      <c r="A513" s="146">
        <v>45828.0</v>
      </c>
      <c r="B513" s="8" t="s">
        <v>18</v>
      </c>
      <c r="C513" s="133" t="s">
        <v>125</v>
      </c>
      <c r="D513" s="133" t="s">
        <v>1156</v>
      </c>
      <c r="E513" s="135" t="s">
        <v>16</v>
      </c>
      <c r="F513" s="152" t="s">
        <v>1152</v>
      </c>
      <c r="G513" s="18" t="b">
        <v>1</v>
      </c>
      <c r="H513" s="157" t="b">
        <v>0</v>
      </c>
    </row>
    <row r="514">
      <c r="A514" s="13">
        <v>45828.0</v>
      </c>
      <c r="B514" s="14" t="s">
        <v>18</v>
      </c>
      <c r="C514" s="133" t="s">
        <v>19</v>
      </c>
      <c r="D514" s="133" t="s">
        <v>20</v>
      </c>
      <c r="E514" s="135" t="s">
        <v>16</v>
      </c>
      <c r="F514" s="152" t="s">
        <v>1157</v>
      </c>
      <c r="G514" s="18" t="b">
        <v>1</v>
      </c>
      <c r="H514" s="157" t="b">
        <v>0</v>
      </c>
    </row>
    <row r="515">
      <c r="A515" s="13">
        <v>45828.0</v>
      </c>
      <c r="B515" s="14" t="s">
        <v>26</v>
      </c>
      <c r="C515" s="133" t="s">
        <v>156</v>
      </c>
      <c r="D515" s="133" t="s">
        <v>1158</v>
      </c>
      <c r="E515" s="135" t="s">
        <v>16</v>
      </c>
      <c r="F515" s="152" t="s">
        <v>1159</v>
      </c>
      <c r="G515" s="18" t="b">
        <v>1</v>
      </c>
      <c r="H515" s="157" t="b">
        <v>0</v>
      </c>
    </row>
    <row r="516">
      <c r="A516" s="13">
        <v>45828.0</v>
      </c>
      <c r="B516" s="14" t="s">
        <v>18</v>
      </c>
      <c r="C516" s="133" t="s">
        <v>27</v>
      </c>
      <c r="D516" s="133" t="s">
        <v>273</v>
      </c>
      <c r="E516" s="135" t="s">
        <v>16</v>
      </c>
      <c r="F516" s="152" t="s">
        <v>1160</v>
      </c>
      <c r="G516" s="18" t="b">
        <v>0</v>
      </c>
      <c r="H516" s="157" t="b">
        <v>0</v>
      </c>
    </row>
    <row r="517">
      <c r="A517" s="13">
        <v>45828.0</v>
      </c>
      <c r="B517" s="14" t="s">
        <v>10</v>
      </c>
      <c r="C517" s="133" t="s">
        <v>284</v>
      </c>
      <c r="D517" s="133" t="s">
        <v>1161</v>
      </c>
      <c r="E517" s="135"/>
      <c r="F517" s="152" t="s">
        <v>35</v>
      </c>
      <c r="G517" s="18" t="b">
        <v>0</v>
      </c>
      <c r="H517" s="157" t="b">
        <v>0</v>
      </c>
    </row>
    <row r="518">
      <c r="A518" s="13">
        <v>45829.0</v>
      </c>
      <c r="B518" s="14" t="s">
        <v>246</v>
      </c>
      <c r="C518" s="133" t="s">
        <v>202</v>
      </c>
      <c r="D518" s="133" t="s">
        <v>1162</v>
      </c>
      <c r="E518" s="135"/>
      <c r="F518" s="152" t="s">
        <v>1163</v>
      </c>
      <c r="G518" s="18" t="b">
        <v>0</v>
      </c>
      <c r="H518" s="157" t="b">
        <v>0</v>
      </c>
    </row>
    <row r="519">
      <c r="A519" s="13">
        <v>45831.0</v>
      </c>
      <c r="B519" s="14" t="s">
        <v>10</v>
      </c>
      <c r="C519" s="133" t="s">
        <v>846</v>
      </c>
      <c r="D519" s="133" t="s">
        <v>1164</v>
      </c>
      <c r="E519" s="135"/>
      <c r="F519" s="152" t="s">
        <v>286</v>
      </c>
      <c r="G519" s="18" t="b">
        <v>0</v>
      </c>
      <c r="H519" s="157" t="b">
        <v>0</v>
      </c>
    </row>
    <row r="520">
      <c r="A520" s="13">
        <v>45831.0</v>
      </c>
      <c r="B520" s="8" t="s">
        <v>10</v>
      </c>
      <c r="C520" s="21" t="s">
        <v>85</v>
      </c>
      <c r="D520" s="22" t="s">
        <v>1142</v>
      </c>
      <c r="E520" s="208"/>
      <c r="F520" s="209" t="s">
        <v>16</v>
      </c>
      <c r="G520" s="18" t="b">
        <v>0</v>
      </c>
      <c r="H520" s="157" t="b">
        <v>0</v>
      </c>
    </row>
    <row r="521">
      <c r="A521" s="13">
        <v>45831.0</v>
      </c>
      <c r="B521" s="14" t="s">
        <v>10</v>
      </c>
      <c r="C521" s="133" t="s">
        <v>76</v>
      </c>
      <c r="D521" s="133" t="s">
        <v>1165</v>
      </c>
      <c r="E521" s="135"/>
      <c r="F521" s="152" t="s">
        <v>1166</v>
      </c>
      <c r="G521" s="18" t="b">
        <v>0</v>
      </c>
      <c r="H521" s="157" t="b">
        <v>0</v>
      </c>
    </row>
    <row r="522">
      <c r="A522" s="13">
        <v>45831.0</v>
      </c>
      <c r="B522" s="14" t="s">
        <v>18</v>
      </c>
      <c r="C522" s="133" t="s">
        <v>80</v>
      </c>
      <c r="D522" s="133" t="s">
        <v>1140</v>
      </c>
      <c r="E522" s="135" t="s">
        <v>1167</v>
      </c>
      <c r="F522" s="152" t="s">
        <v>1168</v>
      </c>
      <c r="G522" s="18" t="b">
        <v>0</v>
      </c>
      <c r="H522" s="157" t="b">
        <v>0</v>
      </c>
    </row>
    <row r="523">
      <c r="A523" s="13">
        <v>45831.0</v>
      </c>
      <c r="B523" s="14" t="s">
        <v>18</v>
      </c>
      <c r="C523" s="133" t="s">
        <v>338</v>
      </c>
      <c r="D523" s="133" t="s">
        <v>1169</v>
      </c>
      <c r="E523" s="135"/>
      <c r="F523" s="152" t="s">
        <v>198</v>
      </c>
      <c r="G523" s="18" t="b">
        <v>0</v>
      </c>
      <c r="H523" s="157" t="b">
        <v>0</v>
      </c>
    </row>
    <row r="524">
      <c r="A524" s="13">
        <v>45831.0</v>
      </c>
      <c r="B524" s="14" t="s">
        <v>18</v>
      </c>
      <c r="C524" s="133" t="s">
        <v>70</v>
      </c>
      <c r="D524" s="133" t="s">
        <v>103</v>
      </c>
      <c r="E524" s="135" t="s">
        <v>16</v>
      </c>
      <c r="F524" s="27" t="s">
        <v>1170</v>
      </c>
      <c r="G524" s="18" t="b">
        <v>0</v>
      </c>
      <c r="H524" s="157" t="b">
        <v>0</v>
      </c>
    </row>
    <row r="525">
      <c r="A525" s="13">
        <v>45831.0</v>
      </c>
      <c r="B525" s="14" t="s">
        <v>18</v>
      </c>
      <c r="C525" s="133" t="s">
        <v>114</v>
      </c>
      <c r="D525" s="133" t="s">
        <v>515</v>
      </c>
      <c r="E525" s="135" t="s">
        <v>1171</v>
      </c>
      <c r="F525" s="27" t="s">
        <v>117</v>
      </c>
      <c r="G525" s="18" t="b">
        <v>0</v>
      </c>
      <c r="H525" s="157" t="b">
        <v>0</v>
      </c>
    </row>
    <row r="526">
      <c r="A526" s="13">
        <v>45831.0</v>
      </c>
      <c r="B526" s="14" t="s">
        <v>10</v>
      </c>
      <c r="C526" s="133" t="s">
        <v>846</v>
      </c>
      <c r="D526" s="133" t="s">
        <v>437</v>
      </c>
      <c r="E526" s="135"/>
      <c r="F526" s="27"/>
      <c r="G526" s="18" t="b">
        <v>0</v>
      </c>
      <c r="H526" s="157" t="b">
        <v>0</v>
      </c>
    </row>
    <row r="527">
      <c r="A527" s="13">
        <v>45831.0</v>
      </c>
      <c r="B527" s="14" t="s">
        <v>18</v>
      </c>
      <c r="C527" s="133" t="s">
        <v>84</v>
      </c>
      <c r="D527" s="133" t="s">
        <v>515</v>
      </c>
      <c r="E527" s="135" t="s">
        <v>144</v>
      </c>
      <c r="F527" s="27"/>
      <c r="G527" s="18" t="b">
        <v>0</v>
      </c>
      <c r="H527" s="157" t="b">
        <v>0</v>
      </c>
    </row>
    <row r="528">
      <c r="A528" s="13">
        <v>45832.0</v>
      </c>
      <c r="B528" s="14" t="s">
        <v>18</v>
      </c>
      <c r="C528" s="133" t="s">
        <v>338</v>
      </c>
      <c r="D528" s="133" t="s">
        <v>1172</v>
      </c>
      <c r="E528" s="135"/>
      <c r="F528" s="27" t="s">
        <v>198</v>
      </c>
      <c r="G528" s="18" t="b">
        <v>0</v>
      </c>
      <c r="H528" s="157" t="b">
        <v>0</v>
      </c>
    </row>
    <row r="529">
      <c r="A529" s="13">
        <v>45832.0</v>
      </c>
      <c r="B529" s="14" t="s">
        <v>18</v>
      </c>
      <c r="C529" s="133" t="s">
        <v>338</v>
      </c>
      <c r="D529" s="133" t="s">
        <v>1173</v>
      </c>
      <c r="E529" s="135" t="s">
        <v>16</v>
      </c>
      <c r="F529" s="27" t="s">
        <v>1174</v>
      </c>
      <c r="G529" s="18" t="b">
        <v>0</v>
      </c>
      <c r="H529" s="157" t="b">
        <v>0</v>
      </c>
    </row>
    <row r="530">
      <c r="A530" s="13">
        <v>45833.0</v>
      </c>
      <c r="B530" s="14" t="s">
        <v>18</v>
      </c>
      <c r="C530" s="133"/>
      <c r="D530" s="133"/>
      <c r="E530" s="135"/>
      <c r="F530" s="27" t="s">
        <v>1175</v>
      </c>
      <c r="G530" s="18" t="b">
        <v>0</v>
      </c>
      <c r="H530" s="157" t="b">
        <v>0</v>
      </c>
    </row>
    <row r="531">
      <c r="A531" s="13">
        <v>45833.0</v>
      </c>
      <c r="B531" s="14" t="s">
        <v>18</v>
      </c>
      <c r="C531" s="133" t="s">
        <v>338</v>
      </c>
      <c r="D531" s="133" t="s">
        <v>351</v>
      </c>
      <c r="E531" s="135"/>
      <c r="F531" s="27" t="s">
        <v>198</v>
      </c>
      <c r="G531" s="18" t="b">
        <v>0</v>
      </c>
      <c r="H531" s="157" t="b">
        <v>0</v>
      </c>
    </row>
    <row r="532">
      <c r="A532" s="13">
        <v>45802.0</v>
      </c>
      <c r="B532" s="14" t="s">
        <v>26</v>
      </c>
      <c r="C532" s="133" t="s">
        <v>350</v>
      </c>
      <c r="D532" s="133" t="s">
        <v>1176</v>
      </c>
      <c r="E532" s="135"/>
      <c r="F532" s="27" t="s">
        <v>37</v>
      </c>
      <c r="G532" s="32" t="b">
        <v>0</v>
      </c>
      <c r="H532" s="94" t="b">
        <v>0</v>
      </c>
    </row>
    <row r="533">
      <c r="A533" s="13">
        <v>45833.0</v>
      </c>
      <c r="B533" s="14" t="s">
        <v>26</v>
      </c>
      <c r="C533" s="133" t="s">
        <v>104</v>
      </c>
      <c r="D533" s="133" t="s">
        <v>866</v>
      </c>
      <c r="E533" s="135"/>
      <c r="F533" s="27" t="s">
        <v>37</v>
      </c>
      <c r="G533" s="32" t="b">
        <v>0</v>
      </c>
      <c r="H533" s="94" t="b">
        <v>0</v>
      </c>
    </row>
    <row r="534">
      <c r="A534" s="13">
        <v>45833.0</v>
      </c>
      <c r="B534" s="14" t="s">
        <v>246</v>
      </c>
      <c r="C534" s="133" t="s">
        <v>76</v>
      </c>
      <c r="D534" s="133" t="s">
        <v>1078</v>
      </c>
      <c r="E534" s="135" t="s">
        <v>16</v>
      </c>
      <c r="F534" s="27" t="s">
        <v>69</v>
      </c>
      <c r="G534" s="18" t="b">
        <v>1</v>
      </c>
      <c r="H534" s="157" t="b">
        <v>0</v>
      </c>
    </row>
    <row r="535">
      <c r="A535" s="13">
        <v>45834.0</v>
      </c>
      <c r="B535" s="14" t="s">
        <v>18</v>
      </c>
      <c r="C535" s="133" t="s">
        <v>47</v>
      </c>
      <c r="D535" s="133" t="s">
        <v>256</v>
      </c>
      <c r="E535" s="135" t="s">
        <v>30</v>
      </c>
      <c r="F535" s="27"/>
      <c r="G535" s="32" t="b">
        <v>0</v>
      </c>
      <c r="H535" s="94" t="b">
        <v>0</v>
      </c>
    </row>
    <row r="536">
      <c r="A536" s="51">
        <v>45834.0</v>
      </c>
      <c r="B536" s="52" t="s">
        <v>26</v>
      </c>
      <c r="C536" s="90" t="s">
        <v>253</v>
      </c>
      <c r="D536" s="90" t="s">
        <v>1177</v>
      </c>
      <c r="E536" s="92" t="s">
        <v>65</v>
      </c>
      <c r="F536" s="56" t="s">
        <v>1118</v>
      </c>
      <c r="G536" s="32" t="b">
        <v>1</v>
      </c>
      <c r="H536" s="94" t="b">
        <v>0</v>
      </c>
    </row>
    <row r="537">
      <c r="A537" s="13">
        <v>45834.0</v>
      </c>
      <c r="B537" s="14" t="s">
        <v>18</v>
      </c>
      <c r="C537" s="133" t="s">
        <v>77</v>
      </c>
      <c r="D537" s="133" t="s">
        <v>1040</v>
      </c>
      <c r="E537" s="135"/>
      <c r="F537" s="27" t="s">
        <v>1178</v>
      </c>
      <c r="G537" s="32" t="b">
        <v>0</v>
      </c>
      <c r="H537" s="94" t="b">
        <v>0</v>
      </c>
    </row>
    <row r="538">
      <c r="A538" s="13">
        <v>45834.0</v>
      </c>
      <c r="B538" s="14" t="s">
        <v>10</v>
      </c>
      <c r="C538" s="133" t="s">
        <v>85</v>
      </c>
      <c r="D538" s="133" t="s">
        <v>1132</v>
      </c>
      <c r="E538" s="135" t="s">
        <v>1110</v>
      </c>
      <c r="F538" s="27"/>
      <c r="G538" s="32" t="b">
        <v>0</v>
      </c>
      <c r="H538" s="94" t="b">
        <v>0</v>
      </c>
    </row>
    <row r="539">
      <c r="A539" s="13">
        <v>45834.0</v>
      </c>
      <c r="B539" s="14" t="s">
        <v>18</v>
      </c>
      <c r="C539" s="133" t="s">
        <v>338</v>
      </c>
      <c r="D539" s="133" t="s">
        <v>1155</v>
      </c>
      <c r="E539" s="135"/>
      <c r="F539" s="27" t="s">
        <v>198</v>
      </c>
      <c r="G539" s="18" t="b">
        <v>0</v>
      </c>
      <c r="H539" s="157" t="b">
        <v>0</v>
      </c>
    </row>
    <row r="540">
      <c r="A540" s="51">
        <v>45834.0</v>
      </c>
      <c r="B540" s="52" t="s">
        <v>18</v>
      </c>
      <c r="C540" s="90" t="s">
        <v>338</v>
      </c>
      <c r="D540" s="90" t="s">
        <v>1153</v>
      </c>
      <c r="E540" s="92" t="s">
        <v>16</v>
      </c>
      <c r="F540" s="56" t="s">
        <v>1118</v>
      </c>
      <c r="G540" s="32" t="b">
        <v>1</v>
      </c>
      <c r="H540" s="94" t="b">
        <v>0</v>
      </c>
    </row>
    <row r="541">
      <c r="A541" s="13">
        <v>45836.0</v>
      </c>
      <c r="B541" s="14" t="s">
        <v>18</v>
      </c>
      <c r="C541" s="133" t="s">
        <v>110</v>
      </c>
      <c r="D541" s="133" t="s">
        <v>1179</v>
      </c>
      <c r="E541" s="135" t="s">
        <v>30</v>
      </c>
      <c r="F541" s="27"/>
      <c r="G541" s="18" t="b">
        <v>0</v>
      </c>
      <c r="H541" s="157" t="b">
        <v>0</v>
      </c>
    </row>
    <row r="542">
      <c r="A542" s="13">
        <v>45836.0</v>
      </c>
      <c r="B542" s="14" t="s">
        <v>18</v>
      </c>
      <c r="C542" s="133" t="s">
        <v>202</v>
      </c>
      <c r="D542" s="133" t="s">
        <v>1180</v>
      </c>
      <c r="E542" s="135" t="s">
        <v>16</v>
      </c>
      <c r="F542" s="27" t="s">
        <v>69</v>
      </c>
      <c r="G542" s="18" t="b">
        <v>1</v>
      </c>
      <c r="H542" s="157" t="b">
        <v>0</v>
      </c>
    </row>
    <row r="543">
      <c r="A543" s="13">
        <v>45833.0</v>
      </c>
      <c r="B543" s="14" t="s">
        <v>10</v>
      </c>
      <c r="C543" s="133" t="s">
        <v>76</v>
      </c>
      <c r="D543" s="133"/>
      <c r="E543" s="135" t="s">
        <v>378</v>
      </c>
      <c r="F543" s="152"/>
      <c r="G543" s="18" t="b">
        <v>0</v>
      </c>
      <c r="H543" s="157" t="b">
        <v>0</v>
      </c>
    </row>
    <row r="544">
      <c r="A544" s="51">
        <v>45835.0</v>
      </c>
      <c r="B544" s="52" t="s">
        <v>18</v>
      </c>
      <c r="C544" s="90" t="s">
        <v>60</v>
      </c>
      <c r="D544" s="90" t="s">
        <v>477</v>
      </c>
      <c r="E544" s="92"/>
      <c r="F544" s="181" t="s">
        <v>1181</v>
      </c>
      <c r="G544" s="18" t="b">
        <v>1</v>
      </c>
      <c r="H544" s="94" t="b">
        <v>0</v>
      </c>
    </row>
    <row r="545">
      <c r="A545" s="51">
        <v>45835.0</v>
      </c>
      <c r="B545" s="52" t="s">
        <v>18</v>
      </c>
      <c r="C545" s="90" t="s">
        <v>63</v>
      </c>
      <c r="D545" s="90" t="s">
        <v>261</v>
      </c>
      <c r="E545" s="92" t="s">
        <v>16</v>
      </c>
      <c r="F545" s="181" t="s">
        <v>69</v>
      </c>
      <c r="G545" s="32" t="b">
        <v>1</v>
      </c>
      <c r="H545" s="94" t="b">
        <v>0</v>
      </c>
    </row>
    <row r="546">
      <c r="A546" s="51">
        <v>45835.0</v>
      </c>
      <c r="B546" s="52" t="s">
        <v>18</v>
      </c>
      <c r="C546" s="90" t="s">
        <v>66</v>
      </c>
      <c r="D546" s="90" t="s">
        <v>261</v>
      </c>
      <c r="E546" s="92" t="s">
        <v>16</v>
      </c>
      <c r="F546" s="181" t="s">
        <v>69</v>
      </c>
      <c r="G546" s="32" t="b">
        <v>1</v>
      </c>
      <c r="H546" s="94" t="b">
        <v>0</v>
      </c>
    </row>
    <row r="547">
      <c r="A547" s="13">
        <v>45835.0</v>
      </c>
      <c r="B547" s="14" t="s">
        <v>10</v>
      </c>
      <c r="C547" s="133" t="s">
        <v>49</v>
      </c>
      <c r="D547" s="133" t="s">
        <v>1182</v>
      </c>
      <c r="E547" s="135"/>
      <c r="F547" s="152" t="s">
        <v>1183</v>
      </c>
      <c r="G547" s="32" t="b">
        <v>0</v>
      </c>
      <c r="H547" s="94" t="b">
        <v>0</v>
      </c>
    </row>
    <row r="548">
      <c r="A548" s="13">
        <v>45836.0</v>
      </c>
      <c r="B548" s="14" t="s">
        <v>18</v>
      </c>
      <c r="C548" s="133" t="s">
        <v>275</v>
      </c>
      <c r="D548" s="133" t="s">
        <v>1184</v>
      </c>
      <c r="E548" s="135" t="s">
        <v>16</v>
      </c>
      <c r="F548" s="181" t="s">
        <v>1185</v>
      </c>
      <c r="G548" s="32" t="b">
        <v>1</v>
      </c>
      <c r="H548" s="94" t="b">
        <v>0</v>
      </c>
    </row>
    <row r="549">
      <c r="A549" s="13">
        <v>45836.0</v>
      </c>
      <c r="B549" s="14" t="s">
        <v>18</v>
      </c>
      <c r="C549" s="133" t="s">
        <v>66</v>
      </c>
      <c r="D549" s="133" t="s">
        <v>1186</v>
      </c>
      <c r="E549" s="135" t="s">
        <v>16</v>
      </c>
      <c r="F549" s="181" t="s">
        <v>1185</v>
      </c>
      <c r="G549" s="32" t="b">
        <v>1</v>
      </c>
      <c r="H549" s="94" t="b">
        <v>0</v>
      </c>
    </row>
    <row r="550">
      <c r="A550" s="13">
        <v>45838.0</v>
      </c>
      <c r="B550" s="14" t="s">
        <v>18</v>
      </c>
      <c r="C550" s="133" t="s">
        <v>49</v>
      </c>
      <c r="D550" s="133" t="s">
        <v>740</v>
      </c>
      <c r="E550" s="135" t="s">
        <v>16</v>
      </c>
      <c r="F550" s="152" t="s">
        <v>1187</v>
      </c>
      <c r="G550" s="18" t="b">
        <v>1</v>
      </c>
      <c r="H550" s="157" t="b">
        <v>0</v>
      </c>
    </row>
    <row r="551">
      <c r="A551" s="13">
        <v>45838.0</v>
      </c>
      <c r="B551" s="14" t="s">
        <v>18</v>
      </c>
      <c r="C551" s="133" t="s">
        <v>56</v>
      </c>
      <c r="D551" s="133" t="s">
        <v>740</v>
      </c>
      <c r="E551" s="135" t="s">
        <v>16</v>
      </c>
      <c r="F551" s="152" t="s">
        <v>1187</v>
      </c>
      <c r="G551" s="18" t="b">
        <v>1</v>
      </c>
      <c r="H551" s="157" t="b">
        <v>0</v>
      </c>
    </row>
    <row r="552">
      <c r="A552" s="13">
        <v>45838.0</v>
      </c>
      <c r="B552" s="14" t="s">
        <v>18</v>
      </c>
      <c r="C552" s="133" t="s">
        <v>80</v>
      </c>
      <c r="D552" s="133" t="s">
        <v>1140</v>
      </c>
      <c r="E552" s="135" t="s">
        <v>1188</v>
      </c>
      <c r="F552" s="152" t="s">
        <v>1168</v>
      </c>
      <c r="G552" s="18" t="b">
        <v>0</v>
      </c>
      <c r="H552" s="157" t="b">
        <v>0</v>
      </c>
    </row>
    <row r="553">
      <c r="A553" s="13">
        <v>45838.0</v>
      </c>
      <c r="B553" s="14" t="s">
        <v>26</v>
      </c>
      <c r="C553" s="133" t="s">
        <v>144</v>
      </c>
      <c r="D553" s="133" t="s">
        <v>1189</v>
      </c>
      <c r="E553" s="135" t="s">
        <v>30</v>
      </c>
      <c r="F553" s="181"/>
      <c r="G553" s="32" t="b">
        <v>0</v>
      </c>
      <c r="H553" s="94" t="b">
        <v>0</v>
      </c>
    </row>
    <row r="554">
      <c r="A554" s="13">
        <v>45838.0</v>
      </c>
      <c r="B554" s="14" t="s">
        <v>10</v>
      </c>
      <c r="C554" s="15" t="s">
        <v>85</v>
      </c>
      <c r="D554" s="16" t="s">
        <v>1142</v>
      </c>
      <c r="E554" s="17"/>
      <c r="F554" s="26" t="s">
        <v>16</v>
      </c>
      <c r="G554" s="29" t="b">
        <v>0</v>
      </c>
      <c r="H554" s="29" t="b">
        <v>0</v>
      </c>
    </row>
    <row r="555">
      <c r="A555" s="13">
        <v>45838.0</v>
      </c>
      <c r="B555" s="14" t="s">
        <v>10</v>
      </c>
      <c r="C555" s="133" t="s">
        <v>846</v>
      </c>
      <c r="D555" s="16" t="s">
        <v>518</v>
      </c>
      <c r="E555" s="135"/>
      <c r="F555" s="26"/>
      <c r="G555" s="29" t="b">
        <v>0</v>
      </c>
      <c r="H555" s="79" t="b">
        <v>0</v>
      </c>
    </row>
    <row r="556">
      <c r="A556" s="210"/>
      <c r="B556" s="211"/>
      <c r="C556" s="212"/>
      <c r="D556" s="213" t="s">
        <v>605</v>
      </c>
      <c r="E556" s="214"/>
      <c r="F556" s="215"/>
      <c r="G556" s="216" t="b">
        <v>0</v>
      </c>
      <c r="H556" s="217" t="b">
        <v>0</v>
      </c>
    </row>
    <row r="557">
      <c r="A557" s="13">
        <v>45839.0</v>
      </c>
      <c r="B557" s="14" t="s">
        <v>18</v>
      </c>
      <c r="C557" s="133" t="s">
        <v>104</v>
      </c>
      <c r="D557" s="133" t="s">
        <v>833</v>
      </c>
      <c r="E557" s="135"/>
      <c r="F557" s="152" t="s">
        <v>198</v>
      </c>
      <c r="G557" s="32" t="b">
        <v>0</v>
      </c>
      <c r="H557" s="94" t="b">
        <v>0</v>
      </c>
    </row>
    <row r="558">
      <c r="A558" s="13">
        <v>45840.0</v>
      </c>
      <c r="B558" s="14" t="s">
        <v>18</v>
      </c>
      <c r="C558" s="133" t="s">
        <v>60</v>
      </c>
      <c r="D558" s="133" t="s">
        <v>1190</v>
      </c>
      <c r="E558" s="135"/>
      <c r="F558" s="152" t="s">
        <v>1191</v>
      </c>
      <c r="G558" s="32" t="b">
        <v>1</v>
      </c>
      <c r="H558" s="94" t="b">
        <v>0</v>
      </c>
    </row>
    <row r="559">
      <c r="A559" s="13">
        <v>45840.0</v>
      </c>
      <c r="B559" s="14" t="s">
        <v>10</v>
      </c>
      <c r="C559" s="133" t="s">
        <v>40</v>
      </c>
      <c r="D559" s="133" t="s">
        <v>1192</v>
      </c>
      <c r="E559" s="135"/>
      <c r="F559" s="152"/>
      <c r="G559" s="32" t="b">
        <v>0</v>
      </c>
      <c r="H559" s="94" t="b">
        <v>0</v>
      </c>
    </row>
    <row r="560">
      <c r="A560" s="13">
        <v>45845.0</v>
      </c>
      <c r="B560" s="14" t="s">
        <v>59</v>
      </c>
      <c r="C560" s="133" t="s">
        <v>434</v>
      </c>
      <c r="D560" s="133" t="s">
        <v>64</v>
      </c>
      <c r="E560" s="135"/>
      <c r="F560" s="152" t="s">
        <v>1193</v>
      </c>
      <c r="G560" s="32" t="b">
        <v>0</v>
      </c>
      <c r="H560" s="94" t="b">
        <v>0</v>
      </c>
    </row>
    <row r="561">
      <c r="A561" s="13">
        <v>45848.0</v>
      </c>
      <c r="B561" s="14" t="s">
        <v>10</v>
      </c>
      <c r="C561" s="133" t="s">
        <v>79</v>
      </c>
      <c r="D561" s="133" t="s">
        <v>1194</v>
      </c>
      <c r="E561" s="135"/>
      <c r="F561" s="152" t="s">
        <v>1195</v>
      </c>
      <c r="G561" s="32" t="b">
        <v>0</v>
      </c>
      <c r="H561" s="94" t="b">
        <v>0</v>
      </c>
    </row>
    <row r="562">
      <c r="A562" s="13">
        <v>45848.0</v>
      </c>
      <c r="B562" s="14" t="s">
        <v>10</v>
      </c>
      <c r="C562" s="133" t="s">
        <v>79</v>
      </c>
      <c r="D562" s="133" t="s">
        <v>140</v>
      </c>
      <c r="E562" s="135"/>
      <c r="F562" s="152" t="s">
        <v>1196</v>
      </c>
      <c r="G562" s="32" t="b">
        <v>0</v>
      </c>
      <c r="H562" s="94" t="b">
        <v>0</v>
      </c>
    </row>
    <row r="563">
      <c r="A563" s="13">
        <v>45848.0</v>
      </c>
      <c r="B563" s="14" t="s">
        <v>26</v>
      </c>
      <c r="C563" s="133" t="s">
        <v>60</v>
      </c>
      <c r="D563" s="133" t="s">
        <v>1197</v>
      </c>
      <c r="E563" s="135"/>
      <c r="F563" s="152"/>
      <c r="G563" s="32" t="b">
        <v>0</v>
      </c>
      <c r="H563" s="94" t="b">
        <v>0</v>
      </c>
    </row>
    <row r="564">
      <c r="A564" s="13">
        <v>45852.0</v>
      </c>
      <c r="B564" s="14" t="s">
        <v>18</v>
      </c>
      <c r="C564" s="133" t="s">
        <v>67</v>
      </c>
      <c r="D564" s="133" t="s">
        <v>678</v>
      </c>
      <c r="E564" s="135" t="s">
        <v>16</v>
      </c>
      <c r="F564" s="152" t="s">
        <v>69</v>
      </c>
      <c r="G564" s="32" t="b">
        <v>1</v>
      </c>
      <c r="H564" s="94" t="b">
        <v>0</v>
      </c>
    </row>
    <row r="565">
      <c r="A565" s="13">
        <v>45852.0</v>
      </c>
      <c r="B565" s="14" t="s">
        <v>18</v>
      </c>
      <c r="C565" s="133" t="s">
        <v>67</v>
      </c>
      <c r="D565" s="133" t="s">
        <v>960</v>
      </c>
      <c r="E565" s="135" t="s">
        <v>66</v>
      </c>
      <c r="F565" s="152"/>
      <c r="G565" s="32" t="b">
        <v>0</v>
      </c>
      <c r="H565" s="94" t="b">
        <v>0</v>
      </c>
    </row>
    <row r="566">
      <c r="A566" s="13">
        <v>45852.0</v>
      </c>
      <c r="B566" s="14" t="s">
        <v>18</v>
      </c>
      <c r="C566" s="133" t="s">
        <v>114</v>
      </c>
      <c r="D566" s="133" t="s">
        <v>515</v>
      </c>
      <c r="E566" s="135" t="s">
        <v>16</v>
      </c>
      <c r="F566" s="152" t="s">
        <v>69</v>
      </c>
      <c r="G566" s="32" t="b">
        <v>1</v>
      </c>
      <c r="H566" s="94" t="b">
        <v>0</v>
      </c>
    </row>
    <row r="567">
      <c r="A567" s="13">
        <v>45853.0</v>
      </c>
      <c r="B567" s="14" t="s">
        <v>10</v>
      </c>
      <c r="C567" s="133" t="s">
        <v>253</v>
      </c>
      <c r="D567" s="133" t="s">
        <v>343</v>
      </c>
      <c r="E567" s="135" t="s">
        <v>1198</v>
      </c>
      <c r="F567" s="152" t="s">
        <v>1199</v>
      </c>
      <c r="G567" s="32" t="b">
        <v>0</v>
      </c>
      <c r="H567" s="94" t="b">
        <v>0</v>
      </c>
    </row>
    <row r="568">
      <c r="A568" s="13">
        <v>45855.0</v>
      </c>
      <c r="B568" s="14" t="s">
        <v>18</v>
      </c>
      <c r="C568" s="133" t="s">
        <v>19</v>
      </c>
      <c r="D568" s="133" t="s">
        <v>268</v>
      </c>
      <c r="E568" s="135" t="s">
        <v>16</v>
      </c>
      <c r="F568" s="152" t="s">
        <v>69</v>
      </c>
      <c r="G568" s="32" t="b">
        <v>1</v>
      </c>
      <c r="H568" s="94" t="b">
        <v>0</v>
      </c>
    </row>
    <row r="569">
      <c r="A569" s="13">
        <v>45855.0</v>
      </c>
      <c r="B569" s="14" t="s">
        <v>18</v>
      </c>
      <c r="C569" s="133" t="s">
        <v>19</v>
      </c>
      <c r="D569" s="133" t="s">
        <v>83</v>
      </c>
      <c r="E569" s="135" t="s">
        <v>338</v>
      </c>
      <c r="F569" s="152"/>
      <c r="G569" s="32" t="b">
        <v>0</v>
      </c>
      <c r="H569" s="94" t="b">
        <v>0</v>
      </c>
    </row>
    <row r="570">
      <c r="A570" s="13">
        <v>45855.0</v>
      </c>
      <c r="B570" s="14" t="s">
        <v>18</v>
      </c>
      <c r="C570" s="133" t="s">
        <v>19</v>
      </c>
      <c r="D570" s="133" t="s">
        <v>1031</v>
      </c>
      <c r="E570" s="135" t="s">
        <v>104</v>
      </c>
      <c r="F570" s="152"/>
      <c r="G570" s="32" t="b">
        <v>0</v>
      </c>
      <c r="H570" s="94" t="b">
        <v>0</v>
      </c>
    </row>
    <row r="571">
      <c r="A571" s="13">
        <v>45855.0</v>
      </c>
      <c r="B571" s="14" t="s">
        <v>10</v>
      </c>
      <c r="C571" s="133" t="s">
        <v>79</v>
      </c>
      <c r="D571" s="133" t="s">
        <v>140</v>
      </c>
      <c r="E571" s="135"/>
      <c r="F571" s="152" t="s">
        <v>1200</v>
      </c>
      <c r="G571" s="32" t="b">
        <v>0</v>
      </c>
      <c r="H571" s="94" t="b">
        <v>0</v>
      </c>
    </row>
    <row r="572">
      <c r="A572" s="13">
        <v>45860.0</v>
      </c>
      <c r="B572" s="14" t="s">
        <v>18</v>
      </c>
      <c r="C572" s="133" t="s">
        <v>338</v>
      </c>
      <c r="D572" s="133" t="s">
        <v>96</v>
      </c>
      <c r="E572" s="135" t="s">
        <v>16</v>
      </c>
      <c r="F572" s="152" t="s">
        <v>627</v>
      </c>
      <c r="G572" s="32" t="b">
        <v>0</v>
      </c>
      <c r="H572" s="94" t="b">
        <v>0</v>
      </c>
    </row>
    <row r="573">
      <c r="A573" s="13">
        <v>45860.0</v>
      </c>
      <c r="B573" s="14" t="s">
        <v>59</v>
      </c>
      <c r="C573" s="133" t="s">
        <v>79</v>
      </c>
      <c r="D573" s="133" t="s">
        <v>1201</v>
      </c>
      <c r="E573" s="135"/>
      <c r="F573" s="152" t="s">
        <v>1202</v>
      </c>
      <c r="G573" s="32" t="b">
        <v>0</v>
      </c>
      <c r="H573" s="94" t="b">
        <v>0</v>
      </c>
    </row>
    <row r="574">
      <c r="A574" s="13">
        <v>45855.0</v>
      </c>
      <c r="B574" s="14" t="s">
        <v>10</v>
      </c>
      <c r="C574" s="133" t="s">
        <v>79</v>
      </c>
      <c r="D574" s="133" t="s">
        <v>1194</v>
      </c>
      <c r="E574" s="135"/>
      <c r="F574" s="152" t="s">
        <v>1203</v>
      </c>
      <c r="G574" s="32" t="b">
        <v>0</v>
      </c>
      <c r="H574" s="94" t="b">
        <v>0</v>
      </c>
    </row>
    <row r="575">
      <c r="A575" s="218"/>
      <c r="B575" s="10"/>
      <c r="C575" s="10"/>
      <c r="D575" s="219" t="s">
        <v>609</v>
      </c>
      <c r="E575" s="10"/>
      <c r="F575" s="155"/>
      <c r="G575" s="36" t="b">
        <v>0</v>
      </c>
      <c r="H575" s="12" t="b">
        <v>0</v>
      </c>
    </row>
    <row r="576">
      <c r="A576" s="220"/>
      <c r="B576" s="221"/>
      <c r="C576" s="221"/>
      <c r="D576" s="222" t="s">
        <v>608</v>
      </c>
      <c r="E576" s="221"/>
      <c r="F576" s="223"/>
      <c r="G576" s="224" t="b">
        <v>0</v>
      </c>
      <c r="H576" s="225" t="b">
        <v>0</v>
      </c>
    </row>
    <row r="577">
      <c r="A577" s="226"/>
      <c r="B577" s="227"/>
      <c r="C577" s="228"/>
      <c r="D577" s="229" t="s">
        <v>601</v>
      </c>
      <c r="E577" s="230"/>
      <c r="F577" s="231"/>
      <c r="G577" s="232" t="b">
        <v>0</v>
      </c>
      <c r="H577" s="233" t="b">
        <v>0</v>
      </c>
    </row>
    <row r="578">
      <c r="A578" s="234"/>
      <c r="B578" s="235"/>
      <c r="C578" s="236"/>
      <c r="D578" s="237"/>
      <c r="E578" s="238"/>
      <c r="F578" s="239"/>
      <c r="G578" s="240"/>
      <c r="H578" s="241"/>
    </row>
    <row r="579">
      <c r="A579" s="242"/>
      <c r="B579" s="243"/>
      <c r="C579" s="244"/>
      <c r="D579" s="245"/>
      <c r="E579" s="246"/>
      <c r="F579" s="247"/>
      <c r="G579" s="248"/>
      <c r="H579" s="249"/>
    </row>
    <row r="580">
      <c r="A580" s="37"/>
      <c r="B580" s="38"/>
      <c r="C580" s="250"/>
      <c r="D580" s="40"/>
      <c r="E580" s="83"/>
      <c r="F580" s="88"/>
      <c r="G580" s="29" t="b">
        <v>0</v>
      </c>
      <c r="H580" s="29" t="b">
        <v>0</v>
      </c>
    </row>
    <row r="581">
      <c r="A581" s="37"/>
      <c r="B581" s="38"/>
      <c r="C581" s="39"/>
      <c r="D581" s="40"/>
      <c r="E581" s="83"/>
      <c r="F581" s="88"/>
      <c r="G581" s="29" t="b">
        <v>0</v>
      </c>
      <c r="H581" s="29" t="b">
        <v>0</v>
      </c>
    </row>
    <row r="582">
      <c r="A582" s="37"/>
      <c r="B582" s="38"/>
      <c r="C582" s="39"/>
      <c r="D582" s="40"/>
      <c r="E582" s="83"/>
      <c r="F582" s="88"/>
      <c r="G582" s="29" t="b">
        <v>0</v>
      </c>
      <c r="H582" s="29" t="b">
        <v>0</v>
      </c>
    </row>
    <row r="583">
      <c r="A583" s="37"/>
      <c r="B583" s="38"/>
      <c r="C583" s="39"/>
      <c r="D583" s="40"/>
      <c r="E583" s="83"/>
      <c r="F583" s="88"/>
      <c r="G583" s="29" t="b">
        <v>0</v>
      </c>
      <c r="H583" s="29" t="b">
        <v>0</v>
      </c>
    </row>
    <row r="584">
      <c r="A584" s="37"/>
      <c r="B584" s="38"/>
      <c r="C584" s="39"/>
      <c r="D584" s="40"/>
      <c r="E584" s="83"/>
      <c r="F584" s="88"/>
      <c r="G584" s="29" t="b">
        <v>0</v>
      </c>
      <c r="H584" s="29" t="b">
        <v>0</v>
      </c>
    </row>
    <row r="585">
      <c r="A585" s="37"/>
      <c r="B585" s="38"/>
      <c r="C585" s="39"/>
      <c r="D585" s="40"/>
      <c r="E585" s="83"/>
      <c r="F585" s="88"/>
      <c r="G585" s="29" t="b">
        <v>0</v>
      </c>
      <c r="H585" s="29" t="b">
        <v>0</v>
      </c>
    </row>
    <row r="586">
      <c r="A586" s="37"/>
      <c r="B586" s="38"/>
      <c r="C586" s="39"/>
      <c r="D586" s="40"/>
      <c r="E586" s="83"/>
      <c r="F586" s="88"/>
      <c r="G586" s="29" t="b">
        <v>0</v>
      </c>
      <c r="H586" s="29" t="b">
        <v>0</v>
      </c>
    </row>
    <row r="587">
      <c r="A587" s="37"/>
      <c r="B587" s="38"/>
      <c r="C587" s="39"/>
      <c r="D587" s="40"/>
      <c r="E587" s="83"/>
      <c r="F587" s="88"/>
      <c r="G587" s="29" t="b">
        <v>0</v>
      </c>
      <c r="H587" s="29" t="b">
        <v>0</v>
      </c>
    </row>
    <row r="588">
      <c r="A588" s="37"/>
      <c r="B588" s="38"/>
      <c r="C588" s="39"/>
      <c r="D588" s="40"/>
      <c r="E588" s="83"/>
      <c r="F588" s="88"/>
      <c r="G588" s="29" t="b">
        <v>0</v>
      </c>
      <c r="H588" s="29" t="b">
        <v>0</v>
      </c>
    </row>
    <row r="589">
      <c r="A589" s="37"/>
      <c r="B589" s="38"/>
      <c r="C589" s="39"/>
      <c r="D589" s="40"/>
      <c r="E589" s="83"/>
      <c r="F589" s="88"/>
      <c r="G589" s="29" t="b">
        <v>0</v>
      </c>
      <c r="H589" s="29" t="b">
        <v>0</v>
      </c>
    </row>
    <row r="590">
      <c r="A590" s="37"/>
      <c r="B590" s="38"/>
      <c r="C590" s="39"/>
      <c r="D590" s="40"/>
      <c r="E590" s="83"/>
      <c r="F590" s="88"/>
      <c r="G590" s="29" t="b">
        <v>0</v>
      </c>
      <c r="H590" s="29" t="b">
        <v>0</v>
      </c>
    </row>
    <row r="591">
      <c r="A591" s="37"/>
      <c r="B591" s="38"/>
      <c r="C591" s="39"/>
      <c r="D591" s="40"/>
      <c r="E591" s="83"/>
      <c r="F591" s="88"/>
      <c r="G591" s="29" t="b">
        <v>0</v>
      </c>
      <c r="H591" s="29" t="b">
        <v>0</v>
      </c>
    </row>
    <row r="592">
      <c r="A592" s="37"/>
      <c r="B592" s="38"/>
      <c r="C592" s="39"/>
      <c r="D592" s="40"/>
      <c r="E592" s="83"/>
      <c r="F592" s="88"/>
      <c r="G592" s="29" t="b">
        <v>0</v>
      </c>
      <c r="H592" s="29" t="b">
        <v>0</v>
      </c>
    </row>
    <row r="593">
      <c r="A593" s="37"/>
      <c r="B593" s="38"/>
      <c r="C593" s="39"/>
      <c r="D593" s="40"/>
      <c r="E593" s="83"/>
      <c r="F593" s="88"/>
      <c r="G593" s="29" t="b">
        <v>0</v>
      </c>
      <c r="H593" s="29" t="b">
        <v>0</v>
      </c>
    </row>
    <row r="594">
      <c r="A594" s="37"/>
      <c r="B594" s="38"/>
      <c r="C594" s="39"/>
      <c r="D594" s="40"/>
      <c r="E594" s="83"/>
      <c r="F594" s="88"/>
      <c r="G594" s="29" t="b">
        <v>0</v>
      </c>
      <c r="H594" s="29" t="b">
        <v>0</v>
      </c>
    </row>
    <row r="595">
      <c r="A595" s="37"/>
      <c r="B595" s="38"/>
      <c r="C595" s="39"/>
      <c r="D595" s="40"/>
      <c r="E595" s="83"/>
      <c r="F595" s="88"/>
      <c r="G595" s="29" t="b">
        <v>0</v>
      </c>
      <c r="H595" s="29" t="b">
        <v>0</v>
      </c>
    </row>
    <row r="596">
      <c r="A596" s="37"/>
      <c r="B596" s="38"/>
      <c r="C596" s="39"/>
      <c r="D596" s="40"/>
      <c r="E596" s="83"/>
      <c r="F596" s="88"/>
      <c r="G596" s="29" t="b">
        <v>0</v>
      </c>
      <c r="H596" s="29" t="b">
        <v>0</v>
      </c>
    </row>
    <row r="597">
      <c r="A597" s="37"/>
      <c r="B597" s="38"/>
      <c r="C597" s="39"/>
      <c r="D597" s="40"/>
      <c r="E597" s="83"/>
      <c r="F597" s="88"/>
      <c r="G597" s="29" t="b">
        <v>0</v>
      </c>
      <c r="H597" s="29" t="b">
        <v>0</v>
      </c>
    </row>
    <row r="598">
      <c r="A598" s="37"/>
      <c r="B598" s="38"/>
      <c r="C598" s="39"/>
      <c r="D598" s="40"/>
      <c r="E598" s="83"/>
      <c r="F598" s="88"/>
      <c r="G598" s="29" t="b">
        <v>0</v>
      </c>
      <c r="H598" s="29" t="b">
        <v>0</v>
      </c>
    </row>
    <row r="599">
      <c r="A599" s="37"/>
      <c r="B599" s="38"/>
      <c r="C599" s="39"/>
      <c r="D599" s="40"/>
      <c r="E599" s="83"/>
      <c r="F599" s="88"/>
      <c r="G599" s="29" t="b">
        <v>0</v>
      </c>
      <c r="H599" s="29" t="b">
        <v>0</v>
      </c>
    </row>
    <row r="600">
      <c r="A600" s="37"/>
      <c r="B600" s="38"/>
      <c r="C600" s="39"/>
      <c r="D600" s="40"/>
      <c r="E600" s="83"/>
      <c r="F600" s="88"/>
      <c r="G600" s="29" t="b">
        <v>0</v>
      </c>
      <c r="H600" s="29" t="b">
        <v>0</v>
      </c>
    </row>
    <row r="601">
      <c r="A601" s="37"/>
      <c r="B601" s="38"/>
      <c r="C601" s="39"/>
      <c r="D601" s="40"/>
      <c r="E601" s="83"/>
      <c r="F601" s="88"/>
      <c r="G601" s="29" t="b">
        <v>0</v>
      </c>
      <c r="H601" s="29" t="b">
        <v>0</v>
      </c>
    </row>
    <row r="602">
      <c r="A602" s="37"/>
      <c r="B602" s="38"/>
      <c r="C602" s="39"/>
      <c r="D602" s="40"/>
      <c r="E602" s="83"/>
      <c r="F602" s="88"/>
      <c r="G602" s="29" t="b">
        <v>0</v>
      </c>
      <c r="H602" s="29" t="b">
        <v>0</v>
      </c>
    </row>
    <row r="603">
      <c r="A603" s="37"/>
      <c r="B603" s="38"/>
      <c r="C603" s="39"/>
      <c r="D603" s="40"/>
      <c r="E603" s="83"/>
      <c r="F603" s="88"/>
      <c r="G603" s="29" t="b">
        <v>0</v>
      </c>
      <c r="H603" s="29" t="b">
        <v>0</v>
      </c>
    </row>
    <row r="604">
      <c r="A604" s="37"/>
      <c r="B604" s="38"/>
      <c r="C604" s="39"/>
      <c r="D604" s="40"/>
      <c r="E604" s="83"/>
      <c r="F604" s="88"/>
      <c r="G604" s="29" t="b">
        <v>0</v>
      </c>
      <c r="H604" s="29" t="b">
        <v>0</v>
      </c>
    </row>
    <row r="605">
      <c r="A605" s="37"/>
      <c r="B605" s="38"/>
      <c r="C605" s="39"/>
      <c r="D605" s="40"/>
      <c r="E605" s="83"/>
      <c r="F605" s="88"/>
      <c r="G605" s="29" t="b">
        <v>0</v>
      </c>
      <c r="H605" s="29" t="b">
        <v>0</v>
      </c>
    </row>
    <row r="606">
      <c r="A606" s="37"/>
      <c r="B606" s="38"/>
      <c r="C606" s="39"/>
      <c r="D606" s="251"/>
      <c r="E606" s="83"/>
      <c r="F606" s="88"/>
      <c r="G606" s="29" t="b">
        <v>0</v>
      </c>
      <c r="H606" s="29" t="b">
        <v>0</v>
      </c>
    </row>
    <row r="607">
      <c r="A607" s="37"/>
      <c r="B607" s="38"/>
      <c r="C607" s="39"/>
      <c r="D607" s="40"/>
      <c r="E607" s="83"/>
      <c r="F607" s="88"/>
      <c r="G607" s="29" t="b">
        <v>0</v>
      </c>
      <c r="H607" s="29" t="b">
        <v>0</v>
      </c>
    </row>
    <row r="608">
      <c r="A608" s="37"/>
      <c r="B608" s="38"/>
      <c r="C608" s="39"/>
      <c r="D608" s="40"/>
      <c r="E608" s="83"/>
      <c r="F608" s="88"/>
      <c r="G608" s="29" t="b">
        <v>0</v>
      </c>
      <c r="H608" s="29" t="b">
        <v>0</v>
      </c>
    </row>
    <row r="609">
      <c r="A609" s="37"/>
      <c r="B609" s="38"/>
      <c r="C609" s="39"/>
      <c r="D609" s="40"/>
      <c r="E609" s="83"/>
      <c r="F609" s="88"/>
      <c r="G609" s="29" t="b">
        <v>0</v>
      </c>
      <c r="H609" s="29" t="b">
        <v>0</v>
      </c>
    </row>
    <row r="610">
      <c r="A610" s="37"/>
      <c r="B610" s="38"/>
      <c r="C610" s="39"/>
      <c r="D610" s="40"/>
      <c r="E610" s="83"/>
      <c r="F610" s="88"/>
      <c r="G610" s="29" t="b">
        <v>0</v>
      </c>
      <c r="H610" s="29" t="b">
        <v>0</v>
      </c>
    </row>
    <row r="611">
      <c r="A611" s="37"/>
      <c r="B611" s="38"/>
      <c r="C611" s="39"/>
      <c r="D611" s="40"/>
      <c r="E611" s="83"/>
      <c r="F611" s="88"/>
      <c r="G611" s="29" t="b">
        <v>0</v>
      </c>
      <c r="H611" s="29" t="b">
        <v>0</v>
      </c>
    </row>
    <row r="612">
      <c r="A612" s="37"/>
      <c r="B612" s="38"/>
      <c r="C612" s="39"/>
      <c r="D612" s="40"/>
      <c r="E612" s="83"/>
      <c r="F612" s="88"/>
      <c r="G612" s="29" t="b">
        <v>0</v>
      </c>
      <c r="H612" s="29" t="b">
        <v>0</v>
      </c>
    </row>
    <row r="613">
      <c r="A613" s="37"/>
      <c r="B613" s="38"/>
      <c r="C613" s="39"/>
      <c r="D613" s="40"/>
      <c r="E613" s="83"/>
      <c r="F613" s="88"/>
      <c r="G613" s="29" t="b">
        <v>0</v>
      </c>
      <c r="H613" s="29" t="b">
        <v>0</v>
      </c>
    </row>
    <row r="614">
      <c r="A614" s="37"/>
      <c r="B614" s="38"/>
      <c r="C614" s="39"/>
      <c r="D614" s="40"/>
      <c r="E614" s="83"/>
      <c r="F614" s="88"/>
      <c r="G614" s="29" t="b">
        <v>0</v>
      </c>
      <c r="H614" s="29" t="b">
        <v>0</v>
      </c>
    </row>
    <row r="615">
      <c r="A615" s="37"/>
      <c r="B615" s="38"/>
      <c r="C615" s="39"/>
      <c r="D615" s="40"/>
      <c r="E615" s="83"/>
      <c r="F615" s="88"/>
      <c r="G615" s="29" t="b">
        <v>0</v>
      </c>
      <c r="H615" s="29" t="b">
        <v>0</v>
      </c>
    </row>
    <row r="616">
      <c r="A616" s="37"/>
      <c r="B616" s="38"/>
      <c r="C616" s="39"/>
      <c r="D616" s="40"/>
      <c r="E616" s="83"/>
      <c r="F616" s="88"/>
      <c r="G616" s="29" t="b">
        <v>0</v>
      </c>
      <c r="H616" s="29" t="b">
        <v>0</v>
      </c>
    </row>
    <row r="617">
      <c r="A617" s="37"/>
      <c r="B617" s="38"/>
      <c r="C617" s="39"/>
      <c r="D617" s="40"/>
      <c r="E617" s="83"/>
      <c r="F617" s="88"/>
      <c r="G617" s="29" t="b">
        <v>0</v>
      </c>
      <c r="H617" s="29" t="b">
        <v>0</v>
      </c>
    </row>
    <row r="618">
      <c r="A618" s="37"/>
      <c r="B618" s="38"/>
      <c r="C618" s="39"/>
      <c r="D618" s="40"/>
      <c r="E618" s="83"/>
      <c r="F618" s="88"/>
      <c r="G618" s="29" t="b">
        <v>0</v>
      </c>
      <c r="H618" s="29" t="b">
        <v>0</v>
      </c>
    </row>
    <row r="619">
      <c r="A619" s="37"/>
      <c r="B619" s="38"/>
      <c r="C619" s="39"/>
      <c r="D619" s="40"/>
      <c r="E619" s="83"/>
      <c r="F619" s="88"/>
      <c r="G619" s="29" t="b">
        <v>0</v>
      </c>
      <c r="H619" s="29" t="b">
        <v>0</v>
      </c>
    </row>
    <row r="620">
      <c r="A620" s="37"/>
      <c r="B620" s="38"/>
      <c r="C620" s="39"/>
      <c r="D620" s="40"/>
      <c r="E620" s="83"/>
      <c r="F620" s="88"/>
      <c r="G620" s="29" t="b">
        <v>0</v>
      </c>
      <c r="H620" s="29" t="b">
        <v>0</v>
      </c>
    </row>
    <row r="621">
      <c r="A621" s="37"/>
      <c r="B621" s="38"/>
      <c r="C621" s="39"/>
      <c r="D621" s="40"/>
      <c r="E621" s="83"/>
      <c r="F621" s="88"/>
      <c r="G621" s="29" t="b">
        <v>0</v>
      </c>
      <c r="H621" s="29" t="b">
        <v>0</v>
      </c>
    </row>
    <row r="622">
      <c r="A622" s="37"/>
      <c r="B622" s="38"/>
      <c r="C622" s="39"/>
      <c r="D622" s="40"/>
      <c r="E622" s="83"/>
      <c r="F622" s="88"/>
      <c r="G622" s="29" t="b">
        <v>0</v>
      </c>
      <c r="H622" s="29" t="b">
        <v>0</v>
      </c>
    </row>
    <row r="623">
      <c r="A623" s="37"/>
      <c r="B623" s="38"/>
      <c r="C623" s="39"/>
      <c r="D623" s="40"/>
      <c r="E623" s="83"/>
      <c r="F623" s="88"/>
      <c r="G623" s="29" t="b">
        <v>0</v>
      </c>
      <c r="H623" s="29" t="b">
        <v>0</v>
      </c>
    </row>
    <row r="624">
      <c r="A624" s="37"/>
      <c r="B624" s="38"/>
      <c r="C624" s="39"/>
      <c r="D624" s="40"/>
      <c r="E624" s="83"/>
      <c r="F624" s="88"/>
      <c r="G624" s="29" t="b">
        <v>0</v>
      </c>
      <c r="H624" s="29" t="b">
        <v>0</v>
      </c>
    </row>
    <row r="625">
      <c r="A625" s="37"/>
      <c r="B625" s="38"/>
      <c r="C625" s="39"/>
      <c r="D625" s="40"/>
      <c r="E625" s="83"/>
      <c r="F625" s="88"/>
      <c r="G625" s="29" t="b">
        <v>0</v>
      </c>
      <c r="H625" s="29" t="b">
        <v>0</v>
      </c>
    </row>
    <row r="626">
      <c r="A626" s="37"/>
      <c r="B626" s="38"/>
      <c r="C626" s="39"/>
      <c r="D626" s="40"/>
      <c r="E626" s="83"/>
      <c r="F626" s="88"/>
      <c r="G626" s="29" t="b">
        <v>0</v>
      </c>
      <c r="H626" s="29" t="b">
        <v>0</v>
      </c>
    </row>
    <row r="627">
      <c r="A627" s="37"/>
      <c r="B627" s="38"/>
      <c r="C627" s="39"/>
      <c r="D627" s="40"/>
      <c r="E627" s="83"/>
      <c r="F627" s="88"/>
      <c r="G627" s="29" t="b">
        <v>0</v>
      </c>
      <c r="H627" s="29" t="b">
        <v>0</v>
      </c>
    </row>
    <row r="628">
      <c r="A628" s="37"/>
      <c r="B628" s="38"/>
      <c r="C628" s="39"/>
      <c r="D628" s="40"/>
      <c r="E628" s="83"/>
      <c r="F628" s="88"/>
      <c r="G628" s="29" t="b">
        <v>0</v>
      </c>
      <c r="H628" s="29" t="b">
        <v>0</v>
      </c>
    </row>
    <row r="629">
      <c r="A629" s="37"/>
      <c r="B629" s="38"/>
      <c r="C629" s="39"/>
      <c r="D629" s="40"/>
      <c r="E629" s="83"/>
      <c r="F629" s="88"/>
      <c r="G629" s="29" t="b">
        <v>0</v>
      </c>
      <c r="H629" s="29" t="b">
        <v>0</v>
      </c>
    </row>
    <row r="630">
      <c r="A630" s="37"/>
      <c r="B630" s="38"/>
      <c r="C630" s="39"/>
      <c r="D630" s="40"/>
      <c r="E630" s="83"/>
      <c r="F630" s="88"/>
      <c r="G630" s="29" t="b">
        <v>0</v>
      </c>
      <c r="H630" s="29" t="b">
        <v>0</v>
      </c>
    </row>
    <row r="631">
      <c r="A631" s="37"/>
      <c r="B631" s="38"/>
      <c r="C631" s="39"/>
      <c r="D631" s="40"/>
      <c r="E631" s="83"/>
      <c r="F631" s="88"/>
      <c r="G631" s="29" t="b">
        <v>0</v>
      </c>
      <c r="H631" s="29" t="b">
        <v>0</v>
      </c>
    </row>
    <row r="632">
      <c r="A632" s="37"/>
      <c r="B632" s="38"/>
      <c r="C632" s="39"/>
      <c r="D632" s="40"/>
      <c r="E632" s="83"/>
      <c r="F632" s="88"/>
      <c r="G632" s="29" t="b">
        <v>0</v>
      </c>
      <c r="H632" s="29" t="b">
        <v>0</v>
      </c>
    </row>
    <row r="633">
      <c r="A633" s="37"/>
      <c r="B633" s="252"/>
      <c r="C633" s="253"/>
      <c r="D633" s="254"/>
      <c r="E633" s="145"/>
      <c r="F633" s="255"/>
      <c r="G633" s="149" t="b">
        <v>0</v>
      </c>
      <c r="H633" s="149" t="b">
        <v>0</v>
      </c>
    </row>
    <row r="634">
      <c r="A634" s="37"/>
      <c r="B634" s="252"/>
      <c r="C634" s="253"/>
      <c r="D634" s="254"/>
      <c r="E634" s="145"/>
      <c r="F634" s="255"/>
      <c r="G634" s="149" t="b">
        <v>0</v>
      </c>
      <c r="H634" s="149" t="b">
        <v>0</v>
      </c>
    </row>
    <row r="635">
      <c r="A635" s="37"/>
      <c r="B635" s="38"/>
      <c r="C635" s="39"/>
      <c r="D635" s="40"/>
      <c r="E635" s="83"/>
      <c r="F635" s="88"/>
      <c r="G635" s="29" t="b">
        <v>0</v>
      </c>
      <c r="H635" s="29" t="b">
        <v>0</v>
      </c>
    </row>
    <row r="636">
      <c r="A636" s="37"/>
      <c r="B636" s="38"/>
      <c r="C636" s="39"/>
      <c r="D636" s="40"/>
      <c r="E636" s="83"/>
      <c r="F636" s="88"/>
      <c r="G636" s="29" t="b">
        <v>0</v>
      </c>
      <c r="H636" s="29" t="b">
        <v>0</v>
      </c>
    </row>
    <row r="637">
      <c r="A637" s="37"/>
      <c r="B637" s="38"/>
      <c r="C637" s="39"/>
      <c r="D637" s="40"/>
      <c r="E637" s="83"/>
      <c r="F637" s="88"/>
      <c r="G637" s="29" t="b">
        <v>0</v>
      </c>
      <c r="H637" s="29" t="b">
        <v>0</v>
      </c>
    </row>
    <row r="638">
      <c r="A638" s="37"/>
      <c r="B638" s="38"/>
      <c r="C638" s="39"/>
      <c r="D638" s="40"/>
      <c r="E638" s="83"/>
      <c r="F638" s="88"/>
      <c r="G638" s="29" t="b">
        <v>0</v>
      </c>
      <c r="H638" s="29" t="b">
        <v>0</v>
      </c>
    </row>
    <row r="639">
      <c r="A639" s="37"/>
      <c r="B639" s="38"/>
      <c r="C639" s="77"/>
      <c r="D639" s="77"/>
      <c r="E639" s="86"/>
      <c r="F639" s="256"/>
      <c r="G639" s="79" t="b">
        <v>0</v>
      </c>
      <c r="H639" s="79" t="b">
        <v>0</v>
      </c>
    </row>
    <row r="640">
      <c r="A640" s="130"/>
      <c r="B640" s="38"/>
      <c r="C640" s="77"/>
      <c r="D640" s="77"/>
      <c r="E640" s="86"/>
      <c r="F640" s="256"/>
      <c r="G640" s="79" t="b">
        <v>0</v>
      </c>
      <c r="H640" s="79" t="b">
        <v>0</v>
      </c>
    </row>
    <row r="641">
      <c r="A641" s="37"/>
      <c r="B641" s="38"/>
      <c r="C641" s="39"/>
      <c r="D641" s="40"/>
      <c r="E641" s="88"/>
      <c r="F641" s="88"/>
      <c r="G641" s="29" t="b">
        <v>0</v>
      </c>
      <c r="H641" s="29" t="b">
        <v>0</v>
      </c>
    </row>
    <row r="642">
      <c r="A642" s="37"/>
      <c r="B642" s="38"/>
      <c r="C642" s="39"/>
      <c r="D642" s="40"/>
      <c r="E642" s="141"/>
      <c r="F642" s="88"/>
      <c r="G642" s="29" t="b">
        <v>0</v>
      </c>
      <c r="H642" s="29" t="b">
        <v>0</v>
      </c>
    </row>
    <row r="643">
      <c r="A643" s="37"/>
      <c r="B643" s="38"/>
      <c r="C643" s="39"/>
      <c r="D643" s="40"/>
      <c r="E643" s="141"/>
      <c r="F643" s="88"/>
      <c r="G643" s="29" t="b">
        <v>0</v>
      </c>
      <c r="H643" s="29" t="b">
        <v>0</v>
      </c>
    </row>
    <row r="644">
      <c r="A644" s="37"/>
      <c r="B644" s="38"/>
      <c r="C644" s="39"/>
      <c r="D644" s="40"/>
      <c r="E644" s="83"/>
      <c r="F644" s="88"/>
      <c r="G644" s="29" t="b">
        <v>0</v>
      </c>
      <c r="H644" s="29" t="b">
        <v>0</v>
      </c>
    </row>
    <row r="645">
      <c r="A645" s="37"/>
      <c r="B645" s="38"/>
      <c r="C645" s="39"/>
      <c r="D645" s="40"/>
      <c r="E645" s="83"/>
      <c r="F645" s="88"/>
      <c r="G645" s="29" t="b">
        <v>0</v>
      </c>
      <c r="H645" s="29" t="b">
        <v>0</v>
      </c>
    </row>
    <row r="646">
      <c r="A646" s="37"/>
      <c r="B646" s="38"/>
      <c r="C646" s="39"/>
      <c r="D646" s="40"/>
      <c r="E646" s="83"/>
      <c r="F646" s="88"/>
      <c r="G646" s="29" t="b">
        <v>0</v>
      </c>
      <c r="H646" s="29" t="b">
        <v>0</v>
      </c>
    </row>
    <row r="647">
      <c r="A647" s="37"/>
      <c r="B647" s="38"/>
      <c r="C647" s="39"/>
      <c r="D647" s="40"/>
      <c r="E647" s="83"/>
      <c r="F647" s="88"/>
      <c r="G647" s="29" t="b">
        <v>0</v>
      </c>
      <c r="H647" s="29" t="b">
        <v>0</v>
      </c>
    </row>
    <row r="648">
      <c r="A648" s="37"/>
      <c r="B648" s="38"/>
      <c r="C648" s="39"/>
      <c r="D648" s="40"/>
      <c r="E648" s="83"/>
      <c r="F648" s="88"/>
      <c r="G648" s="29" t="b">
        <v>0</v>
      </c>
      <c r="H648" s="29" t="b">
        <v>0</v>
      </c>
    </row>
    <row r="649">
      <c r="A649" s="37"/>
      <c r="B649" s="38"/>
      <c r="C649" s="39"/>
      <c r="D649" s="40"/>
      <c r="E649" s="83"/>
      <c r="F649" s="88"/>
      <c r="G649" s="29" t="b">
        <v>0</v>
      </c>
      <c r="H649" s="29" t="b">
        <v>0</v>
      </c>
    </row>
    <row r="650">
      <c r="A650" s="37"/>
      <c r="B650" s="38"/>
      <c r="C650" s="39"/>
      <c r="D650" s="40"/>
      <c r="E650" s="83"/>
      <c r="F650" s="88"/>
      <c r="G650" s="29" t="b">
        <v>0</v>
      </c>
      <c r="H650" s="29" t="b">
        <v>0</v>
      </c>
    </row>
    <row r="651">
      <c r="A651" s="37"/>
      <c r="B651" s="38"/>
      <c r="C651" s="39"/>
      <c r="D651" s="40"/>
      <c r="E651" s="83"/>
      <c r="F651" s="88"/>
      <c r="G651" s="29" t="b">
        <v>0</v>
      </c>
      <c r="H651" s="29" t="b">
        <v>0</v>
      </c>
    </row>
    <row r="652">
      <c r="A652" s="37"/>
      <c r="B652" s="38"/>
      <c r="C652" s="39"/>
      <c r="D652" s="40"/>
      <c r="E652" s="83"/>
      <c r="F652" s="88"/>
      <c r="G652" s="29" t="b">
        <v>0</v>
      </c>
      <c r="H652" s="29" t="b">
        <v>0</v>
      </c>
    </row>
    <row r="653">
      <c r="A653" s="37"/>
      <c r="B653" s="38"/>
      <c r="C653" s="39"/>
      <c r="D653" s="40"/>
      <c r="E653" s="83"/>
      <c r="F653" s="88"/>
      <c r="G653" s="29" t="b">
        <v>0</v>
      </c>
      <c r="H653" s="29" t="b">
        <v>0</v>
      </c>
    </row>
    <row r="654">
      <c r="A654" s="37"/>
      <c r="B654" s="38"/>
      <c r="C654" s="39"/>
      <c r="D654" s="40"/>
      <c r="E654" s="83"/>
      <c r="F654" s="88"/>
      <c r="G654" s="29" t="b">
        <v>0</v>
      </c>
      <c r="H654" s="29" t="b">
        <v>0</v>
      </c>
    </row>
    <row r="655">
      <c r="A655" s="37"/>
      <c r="B655" s="38"/>
      <c r="C655" s="39"/>
      <c r="D655" s="40"/>
      <c r="E655" s="83"/>
      <c r="F655" s="88"/>
      <c r="G655" s="29" t="b">
        <v>0</v>
      </c>
      <c r="H655" s="29" t="b">
        <v>0</v>
      </c>
    </row>
    <row r="656">
      <c r="A656" s="37"/>
      <c r="B656" s="38"/>
      <c r="C656" s="39"/>
      <c r="D656" s="40"/>
      <c r="E656" s="83"/>
      <c r="F656" s="88"/>
      <c r="G656" s="29" t="b">
        <v>0</v>
      </c>
      <c r="H656" s="29" t="b">
        <v>0</v>
      </c>
    </row>
    <row r="657">
      <c r="A657" s="37"/>
      <c r="B657" s="38"/>
      <c r="C657" s="39"/>
      <c r="D657" s="40"/>
      <c r="E657" s="83"/>
      <c r="F657" s="88"/>
      <c r="G657" s="29" t="b">
        <v>0</v>
      </c>
      <c r="H657" s="29" t="b">
        <v>0</v>
      </c>
    </row>
    <row r="658">
      <c r="A658" s="257"/>
      <c r="B658" s="252"/>
      <c r="C658" s="253"/>
      <c r="D658" s="40"/>
      <c r="E658" s="83"/>
      <c r="F658" s="129"/>
      <c r="G658" s="29" t="b">
        <v>0</v>
      </c>
      <c r="H658" s="149" t="b">
        <v>0</v>
      </c>
    </row>
    <row r="659">
      <c r="A659" s="37"/>
      <c r="B659" s="38"/>
      <c r="C659" s="39"/>
      <c r="D659" s="40"/>
      <c r="E659" s="83"/>
      <c r="F659" s="88"/>
      <c r="G659" s="29" t="b">
        <v>0</v>
      </c>
      <c r="H659" s="29" t="b">
        <v>0</v>
      </c>
    </row>
    <row r="660">
      <c r="A660" s="37"/>
      <c r="B660" s="38"/>
      <c r="C660" s="77"/>
      <c r="D660" s="77"/>
      <c r="E660" s="86"/>
      <c r="F660" s="88"/>
      <c r="G660" s="29" t="b">
        <v>0</v>
      </c>
      <c r="H660" s="79" t="b">
        <v>0</v>
      </c>
    </row>
    <row r="661">
      <c r="A661" s="37"/>
      <c r="B661" s="38"/>
      <c r="C661" s="39"/>
      <c r="D661" s="40"/>
      <c r="E661" s="83"/>
      <c r="F661" s="88"/>
      <c r="G661" s="29" t="b">
        <v>0</v>
      </c>
      <c r="H661" s="29" t="b">
        <v>0</v>
      </c>
    </row>
    <row r="662">
      <c r="A662" s="37"/>
      <c r="B662" s="38"/>
      <c r="C662" s="39"/>
      <c r="D662" s="40"/>
      <c r="E662" s="83"/>
      <c r="F662" s="88"/>
      <c r="G662" s="29" t="b">
        <v>0</v>
      </c>
      <c r="H662" s="29" t="b">
        <v>0</v>
      </c>
    </row>
    <row r="663">
      <c r="A663" s="37"/>
      <c r="B663" s="38"/>
      <c r="C663" s="39"/>
      <c r="D663" s="40"/>
      <c r="E663" s="83"/>
      <c r="F663" s="88"/>
      <c r="G663" s="29" t="b">
        <v>0</v>
      </c>
      <c r="H663" s="29" t="b">
        <v>0</v>
      </c>
    </row>
    <row r="664">
      <c r="A664" s="37"/>
      <c r="B664" s="38"/>
      <c r="C664" s="39"/>
      <c r="D664" s="40"/>
      <c r="E664" s="83"/>
      <c r="F664" s="141"/>
      <c r="G664" s="29" t="b">
        <v>0</v>
      </c>
      <c r="H664" s="29" t="b">
        <v>0</v>
      </c>
    </row>
    <row r="665">
      <c r="A665" s="37"/>
      <c r="B665" s="38"/>
      <c r="C665" s="39"/>
      <c r="D665" s="40"/>
      <c r="E665" s="83"/>
      <c r="F665" s="88"/>
      <c r="G665" s="29" t="b">
        <v>0</v>
      </c>
      <c r="H665" s="29" t="b">
        <v>0</v>
      </c>
    </row>
    <row r="666">
      <c r="A666" s="37"/>
      <c r="B666" s="38"/>
      <c r="C666" s="39"/>
      <c r="D666" s="40"/>
      <c r="E666" s="83"/>
      <c r="F666" s="88"/>
      <c r="G666" s="29" t="b">
        <v>0</v>
      </c>
      <c r="H666" s="29" t="b">
        <v>0</v>
      </c>
    </row>
    <row r="667">
      <c r="A667" s="37"/>
      <c r="B667" s="38"/>
      <c r="C667" s="39"/>
      <c r="D667" s="40"/>
      <c r="E667" s="83"/>
      <c r="F667" s="88"/>
      <c r="G667" s="29" t="b">
        <v>0</v>
      </c>
      <c r="H667" s="29" t="b">
        <v>0</v>
      </c>
    </row>
    <row r="668">
      <c r="A668" s="37"/>
      <c r="B668" s="38"/>
      <c r="C668" s="39"/>
      <c r="D668" s="40"/>
      <c r="E668" s="83"/>
      <c r="F668" s="88"/>
      <c r="G668" s="29" t="b">
        <v>0</v>
      </c>
      <c r="H668" s="29" t="b">
        <v>0</v>
      </c>
    </row>
    <row r="669">
      <c r="A669" s="37"/>
      <c r="B669" s="38"/>
      <c r="C669" s="39"/>
      <c r="D669" s="40"/>
      <c r="E669" s="83"/>
      <c r="F669" s="88"/>
      <c r="G669" s="29" t="b">
        <v>0</v>
      </c>
      <c r="H669" s="29" t="b">
        <v>0</v>
      </c>
    </row>
    <row r="670">
      <c r="A670" s="37"/>
      <c r="B670" s="38"/>
      <c r="C670" s="39"/>
      <c r="D670" s="40"/>
      <c r="E670" s="145"/>
      <c r="F670" s="88"/>
      <c r="G670" s="29" t="b">
        <v>0</v>
      </c>
      <c r="H670" s="29" t="b">
        <v>0</v>
      </c>
    </row>
    <row r="671">
      <c r="A671" s="37"/>
      <c r="B671" s="38"/>
      <c r="C671" s="39"/>
      <c r="D671" s="40"/>
      <c r="E671" s="83"/>
      <c r="F671" s="88"/>
      <c r="G671" s="29" t="b">
        <v>0</v>
      </c>
      <c r="H671" s="29" t="b">
        <v>0</v>
      </c>
    </row>
    <row r="672">
      <c r="A672" s="37"/>
      <c r="B672" s="38"/>
      <c r="C672" s="39"/>
      <c r="D672" s="40"/>
      <c r="E672" s="83"/>
      <c r="F672" s="88"/>
      <c r="G672" s="29" t="b">
        <v>0</v>
      </c>
      <c r="H672" s="29" t="b">
        <v>0</v>
      </c>
    </row>
    <row r="673">
      <c r="A673" s="37"/>
      <c r="B673" s="38"/>
      <c r="C673" s="77"/>
      <c r="D673" s="77"/>
      <c r="E673" s="86"/>
      <c r="F673" s="256"/>
      <c r="G673" s="29" t="b">
        <v>0</v>
      </c>
      <c r="H673" s="29" t="b">
        <v>0</v>
      </c>
    </row>
    <row r="674">
      <c r="A674" s="37"/>
      <c r="B674" s="38"/>
      <c r="C674" s="39"/>
      <c r="D674" s="40"/>
      <c r="E674" s="83"/>
      <c r="F674" s="88"/>
      <c r="G674" s="29" t="b">
        <v>0</v>
      </c>
      <c r="H674" s="29" t="b">
        <v>0</v>
      </c>
    </row>
    <row r="675">
      <c r="A675" s="37"/>
      <c r="B675" s="38"/>
      <c r="C675" s="39"/>
      <c r="D675" s="40"/>
      <c r="E675" s="83"/>
      <c r="F675" s="88"/>
      <c r="G675" s="29" t="b">
        <v>0</v>
      </c>
      <c r="H675" s="29" t="b">
        <v>0</v>
      </c>
    </row>
    <row r="676">
      <c r="A676" s="37"/>
      <c r="B676" s="38"/>
      <c r="C676" s="253"/>
      <c r="D676" s="40"/>
      <c r="E676" s="258"/>
      <c r="F676" s="255"/>
      <c r="G676" s="29" t="b">
        <v>0</v>
      </c>
      <c r="H676" s="29" t="b">
        <v>0</v>
      </c>
    </row>
    <row r="677">
      <c r="A677" s="37"/>
      <c r="B677" s="38"/>
      <c r="C677" s="39"/>
      <c r="D677" s="40"/>
      <c r="E677" s="83"/>
      <c r="F677" s="88"/>
      <c r="G677" s="29" t="b">
        <v>0</v>
      </c>
      <c r="H677" s="29" t="b">
        <v>0</v>
      </c>
    </row>
    <row r="678">
      <c r="A678" s="37"/>
      <c r="B678" s="38"/>
      <c r="C678" s="39"/>
      <c r="D678" s="40"/>
      <c r="E678" s="83"/>
      <c r="F678" s="88"/>
      <c r="G678" s="29" t="b">
        <v>0</v>
      </c>
      <c r="H678" s="29" t="b">
        <v>0</v>
      </c>
    </row>
    <row r="679">
      <c r="A679" s="37"/>
      <c r="B679" s="38"/>
      <c r="C679" s="39"/>
      <c r="D679" s="40"/>
      <c r="E679" s="83"/>
      <c r="F679" s="88"/>
      <c r="G679" s="29" t="b">
        <v>0</v>
      </c>
      <c r="H679" s="29" t="b">
        <v>0</v>
      </c>
    </row>
    <row r="680">
      <c r="A680" s="37"/>
      <c r="B680" s="38"/>
      <c r="C680" s="39"/>
      <c r="D680" s="40"/>
      <c r="E680" s="83"/>
      <c r="F680" s="88"/>
      <c r="G680" s="29" t="b">
        <v>0</v>
      </c>
      <c r="H680" s="29" t="b">
        <v>0</v>
      </c>
    </row>
    <row r="681">
      <c r="A681" s="37"/>
      <c r="B681" s="38"/>
      <c r="C681" s="39"/>
      <c r="D681" s="40"/>
      <c r="E681" s="83"/>
      <c r="F681" s="88"/>
      <c r="G681" s="29" t="b">
        <v>0</v>
      </c>
      <c r="H681" s="29" t="b">
        <v>0</v>
      </c>
    </row>
    <row r="682">
      <c r="A682" s="37"/>
      <c r="B682" s="38"/>
      <c r="C682" s="39"/>
      <c r="D682" s="40"/>
      <c r="E682" s="83"/>
      <c r="F682" s="88"/>
      <c r="G682" s="29" t="b">
        <v>0</v>
      </c>
      <c r="H682" s="29" t="b">
        <v>0</v>
      </c>
    </row>
    <row r="683">
      <c r="A683" s="37"/>
      <c r="B683" s="38"/>
      <c r="C683" s="39"/>
      <c r="D683" s="40"/>
      <c r="E683" s="83"/>
      <c r="F683" s="88"/>
      <c r="G683" s="29" t="b">
        <v>0</v>
      </c>
      <c r="H683" s="29" t="b">
        <v>0</v>
      </c>
    </row>
    <row r="684">
      <c r="A684" s="37"/>
      <c r="B684" s="38"/>
      <c r="C684" s="39"/>
      <c r="D684" s="40"/>
      <c r="E684" s="83"/>
      <c r="F684" s="88"/>
      <c r="G684" s="29" t="b">
        <v>0</v>
      </c>
      <c r="H684" s="29" t="b">
        <v>0</v>
      </c>
    </row>
    <row r="685">
      <c r="A685" s="257"/>
      <c r="B685" s="252"/>
      <c r="C685" s="253"/>
      <c r="D685" s="40"/>
      <c r="E685" s="145"/>
      <c r="F685" s="259"/>
      <c r="G685" s="29" t="b">
        <v>0</v>
      </c>
      <c r="H685" s="29" t="b">
        <v>0</v>
      </c>
    </row>
    <row r="686">
      <c r="A686" s="37"/>
      <c r="B686" s="38"/>
      <c r="C686" s="39"/>
      <c r="D686" s="40"/>
      <c r="E686" s="83"/>
      <c r="F686" s="88"/>
      <c r="G686" s="29" t="b">
        <v>0</v>
      </c>
      <c r="H686" s="29" t="b">
        <v>0</v>
      </c>
    </row>
    <row r="687">
      <c r="A687" s="37"/>
      <c r="B687" s="38"/>
      <c r="C687" s="39"/>
      <c r="D687" s="40"/>
      <c r="E687" s="83"/>
      <c r="F687" s="88"/>
      <c r="G687" s="29" t="b">
        <v>0</v>
      </c>
      <c r="H687" s="29" t="b">
        <v>0</v>
      </c>
    </row>
    <row r="688">
      <c r="A688" s="37"/>
      <c r="B688" s="38"/>
      <c r="C688" s="39"/>
      <c r="D688" s="40"/>
      <c r="E688" s="83"/>
      <c r="F688" s="88"/>
      <c r="G688" s="29" t="b">
        <v>0</v>
      </c>
      <c r="H688" s="29" t="b">
        <v>0</v>
      </c>
    </row>
    <row r="689">
      <c r="A689" s="257"/>
      <c r="B689" s="252"/>
      <c r="C689" s="253"/>
      <c r="D689" s="40"/>
      <c r="E689" s="145"/>
      <c r="F689" s="259"/>
      <c r="G689" s="29" t="b">
        <v>0</v>
      </c>
      <c r="H689" s="29" t="b">
        <v>0</v>
      </c>
    </row>
    <row r="690">
      <c r="A690" s="37"/>
      <c r="B690" s="38"/>
      <c r="C690" s="39"/>
      <c r="D690" s="40"/>
      <c r="E690" s="83"/>
      <c r="F690" s="88"/>
      <c r="G690" s="29" t="b">
        <v>0</v>
      </c>
      <c r="H690" s="29" t="b">
        <v>0</v>
      </c>
    </row>
    <row r="691">
      <c r="A691" s="37"/>
      <c r="B691" s="252"/>
      <c r="C691" s="253"/>
      <c r="D691" s="254"/>
      <c r="E691" s="145"/>
      <c r="F691" s="88"/>
      <c r="G691" s="29" t="b">
        <v>0</v>
      </c>
      <c r="H691" s="29" t="b">
        <v>0</v>
      </c>
    </row>
    <row r="692">
      <c r="A692" s="37"/>
      <c r="B692" s="38"/>
      <c r="C692" s="39"/>
      <c r="D692" s="40"/>
      <c r="E692" s="83"/>
      <c r="F692" s="88"/>
      <c r="G692" s="29" t="b">
        <v>0</v>
      </c>
      <c r="H692" s="29" t="b">
        <v>0</v>
      </c>
    </row>
    <row r="693">
      <c r="A693" s="37"/>
      <c r="B693" s="38"/>
      <c r="C693" s="39"/>
      <c r="D693" s="40"/>
      <c r="E693" s="83"/>
      <c r="F693" s="88"/>
      <c r="G693" s="29" t="b">
        <v>0</v>
      </c>
      <c r="H693" s="29" t="b">
        <v>0</v>
      </c>
    </row>
    <row r="694">
      <c r="A694" s="37"/>
      <c r="B694" s="38"/>
      <c r="C694" s="39"/>
      <c r="D694" s="40"/>
      <c r="E694" s="83"/>
      <c r="F694" s="88"/>
      <c r="G694" s="29" t="b">
        <v>0</v>
      </c>
      <c r="H694" s="29" t="b">
        <v>0</v>
      </c>
    </row>
    <row r="695">
      <c r="A695" s="37"/>
      <c r="B695" s="38"/>
      <c r="C695" s="39"/>
      <c r="D695" s="40"/>
      <c r="E695" s="83"/>
      <c r="F695" s="88"/>
      <c r="G695" s="29" t="b">
        <v>0</v>
      </c>
      <c r="H695" s="29" t="b">
        <v>0</v>
      </c>
    </row>
    <row r="696">
      <c r="A696" s="37"/>
      <c r="B696" s="38"/>
      <c r="C696" s="39"/>
      <c r="D696" s="40"/>
      <c r="E696" s="83"/>
      <c r="F696" s="88"/>
      <c r="G696" s="29" t="b">
        <v>0</v>
      </c>
      <c r="H696" s="29" t="b">
        <v>0</v>
      </c>
    </row>
    <row r="697">
      <c r="A697" s="37"/>
      <c r="B697" s="38"/>
      <c r="C697" s="77"/>
      <c r="D697" s="77"/>
      <c r="E697" s="86"/>
      <c r="F697" s="256"/>
      <c r="G697" s="29" t="b">
        <v>0</v>
      </c>
      <c r="H697" s="79" t="b">
        <v>0</v>
      </c>
    </row>
    <row r="698">
      <c r="A698" s="37"/>
      <c r="B698" s="38"/>
      <c r="C698" s="77"/>
      <c r="D698" s="77"/>
      <c r="E698" s="86"/>
      <c r="F698" s="256"/>
      <c r="G698" s="29" t="b">
        <v>0</v>
      </c>
      <c r="H698" s="79" t="b">
        <v>0</v>
      </c>
    </row>
    <row r="699">
      <c r="A699" s="37"/>
      <c r="B699" s="38"/>
      <c r="C699" s="77"/>
      <c r="D699" s="77"/>
      <c r="E699" s="86"/>
      <c r="F699" s="256"/>
      <c r="G699" s="29" t="b">
        <v>0</v>
      </c>
      <c r="H699" s="79" t="b">
        <v>0</v>
      </c>
    </row>
    <row r="700">
      <c r="A700" s="37"/>
      <c r="B700" s="38"/>
      <c r="C700" s="77"/>
      <c r="D700" s="77"/>
      <c r="E700" s="86"/>
      <c r="F700" s="256"/>
      <c r="G700" s="29" t="b">
        <v>0</v>
      </c>
      <c r="H700" s="79" t="b">
        <v>0</v>
      </c>
    </row>
    <row r="701">
      <c r="A701" s="37"/>
      <c r="B701" s="38"/>
      <c r="C701" s="77"/>
      <c r="D701" s="77"/>
      <c r="E701" s="86"/>
      <c r="F701" s="256"/>
      <c r="G701" s="29" t="b">
        <v>0</v>
      </c>
      <c r="H701" s="79" t="b">
        <v>0</v>
      </c>
    </row>
    <row r="702">
      <c r="A702" s="37"/>
      <c r="B702" s="38"/>
      <c r="C702" s="77"/>
      <c r="D702" s="77"/>
      <c r="E702" s="86"/>
      <c r="F702" s="256"/>
      <c r="G702" s="29" t="b">
        <v>0</v>
      </c>
      <c r="H702" s="79" t="b">
        <v>0</v>
      </c>
    </row>
    <row r="703">
      <c r="A703" s="37"/>
      <c r="B703" s="252"/>
      <c r="C703" s="260"/>
      <c r="D703" s="77"/>
      <c r="E703" s="86"/>
      <c r="F703" s="256"/>
      <c r="G703" s="29" t="b">
        <v>0</v>
      </c>
      <c r="H703" s="79" t="b">
        <v>0</v>
      </c>
    </row>
    <row r="704">
      <c r="A704" s="37"/>
      <c r="B704" s="38"/>
      <c r="C704" s="77"/>
      <c r="D704" s="77"/>
      <c r="E704" s="86"/>
      <c r="F704" s="256"/>
      <c r="G704" s="29" t="b">
        <v>0</v>
      </c>
      <c r="H704" s="79" t="b">
        <v>0</v>
      </c>
    </row>
    <row r="705">
      <c r="A705" s="37"/>
      <c r="B705" s="38"/>
      <c r="C705" s="77"/>
      <c r="D705" s="77"/>
      <c r="E705" s="86"/>
      <c r="F705" s="256"/>
      <c r="G705" s="29" t="b">
        <v>0</v>
      </c>
      <c r="H705" s="79" t="b">
        <v>0</v>
      </c>
    </row>
    <row r="706">
      <c r="A706" s="37"/>
      <c r="B706" s="38"/>
      <c r="C706" s="77"/>
      <c r="D706" s="77"/>
      <c r="E706" s="86"/>
      <c r="F706" s="256"/>
      <c r="G706" s="29" t="b">
        <v>0</v>
      </c>
      <c r="H706" s="79" t="b">
        <v>0</v>
      </c>
    </row>
    <row r="707">
      <c r="A707" s="37"/>
      <c r="B707" s="38"/>
      <c r="C707" s="77"/>
      <c r="D707" s="77"/>
      <c r="E707" s="86"/>
      <c r="F707" s="256"/>
      <c r="G707" s="29" t="b">
        <v>0</v>
      </c>
      <c r="H707" s="79" t="b">
        <v>0</v>
      </c>
    </row>
    <row r="708">
      <c r="A708" s="37"/>
      <c r="B708" s="38"/>
      <c r="C708" s="77"/>
      <c r="D708" s="77"/>
      <c r="E708" s="86"/>
      <c r="F708" s="256"/>
      <c r="G708" s="29" t="b">
        <v>0</v>
      </c>
      <c r="H708" s="79" t="b">
        <v>0</v>
      </c>
    </row>
    <row r="709">
      <c r="A709" s="37"/>
      <c r="B709" s="38"/>
      <c r="C709" s="77"/>
      <c r="D709" s="77"/>
      <c r="E709" s="86"/>
      <c r="F709" s="256"/>
      <c r="G709" s="29" t="b">
        <v>0</v>
      </c>
      <c r="H709" s="79" t="b">
        <v>0</v>
      </c>
    </row>
    <row r="710">
      <c r="A710" s="37"/>
      <c r="B710" s="38"/>
      <c r="C710" s="77"/>
      <c r="D710" s="77"/>
      <c r="E710" s="86"/>
      <c r="F710" s="256"/>
      <c r="G710" s="29" t="b">
        <v>0</v>
      </c>
      <c r="H710" s="79" t="b">
        <v>0</v>
      </c>
    </row>
    <row r="711">
      <c r="A711" s="37"/>
      <c r="B711" s="38"/>
      <c r="C711" s="77"/>
      <c r="D711" s="77"/>
      <c r="E711" s="86"/>
      <c r="F711" s="256"/>
      <c r="G711" s="29" t="b">
        <v>0</v>
      </c>
      <c r="H711" s="79" t="b">
        <v>0</v>
      </c>
    </row>
    <row r="712">
      <c r="A712" s="37"/>
      <c r="B712" s="38"/>
      <c r="C712" s="77"/>
      <c r="D712" s="77"/>
      <c r="E712" s="86"/>
      <c r="F712" s="256"/>
      <c r="G712" s="29" t="b">
        <v>0</v>
      </c>
      <c r="H712" s="79" t="b">
        <v>0</v>
      </c>
    </row>
    <row r="713">
      <c r="A713" s="37"/>
      <c r="B713" s="38"/>
      <c r="C713" s="77"/>
      <c r="D713" s="77"/>
      <c r="E713" s="86"/>
      <c r="F713" s="256"/>
      <c r="G713" s="29" t="b">
        <v>0</v>
      </c>
      <c r="H713" s="79" t="b">
        <v>0</v>
      </c>
    </row>
    <row r="714">
      <c r="A714" s="37"/>
      <c r="B714" s="38"/>
      <c r="C714" s="77"/>
      <c r="D714" s="77"/>
      <c r="E714" s="86"/>
      <c r="F714" s="256"/>
      <c r="G714" s="29" t="b">
        <v>0</v>
      </c>
      <c r="H714" s="79" t="b">
        <v>0</v>
      </c>
    </row>
    <row r="715">
      <c r="A715" s="37"/>
      <c r="B715" s="38"/>
      <c r="C715" s="77"/>
      <c r="D715" s="77"/>
      <c r="E715" s="86"/>
      <c r="F715" s="256"/>
      <c r="G715" s="29" t="b">
        <v>0</v>
      </c>
      <c r="H715" s="79" t="b">
        <v>0</v>
      </c>
    </row>
    <row r="716">
      <c r="A716" s="37"/>
      <c r="B716" s="38"/>
      <c r="C716" s="77"/>
      <c r="D716" s="77"/>
      <c r="E716" s="86"/>
      <c r="F716" s="256"/>
      <c r="G716" s="29" t="b">
        <v>0</v>
      </c>
      <c r="H716" s="79" t="b">
        <v>0</v>
      </c>
    </row>
    <row r="717">
      <c r="A717" s="37"/>
      <c r="B717" s="38"/>
      <c r="C717" s="77"/>
      <c r="D717" s="77"/>
      <c r="E717" s="86"/>
      <c r="F717" s="256"/>
      <c r="G717" s="29" t="b">
        <v>0</v>
      </c>
      <c r="H717" s="79" t="b">
        <v>0</v>
      </c>
    </row>
    <row r="718">
      <c r="A718" s="37"/>
      <c r="B718" s="252"/>
      <c r="C718" s="260"/>
      <c r="D718" s="260"/>
      <c r="E718" s="86"/>
      <c r="F718" s="256"/>
      <c r="G718" s="29" t="b">
        <v>0</v>
      </c>
      <c r="H718" s="79" t="b">
        <v>0</v>
      </c>
    </row>
    <row r="719">
      <c r="A719" s="37"/>
      <c r="B719" s="38"/>
      <c r="C719" s="77"/>
      <c r="D719" s="77"/>
      <c r="E719" s="86"/>
      <c r="F719" s="256"/>
      <c r="G719" s="29" t="b">
        <v>0</v>
      </c>
      <c r="H719" s="79" t="b">
        <v>0</v>
      </c>
    </row>
    <row r="720">
      <c r="A720" s="37"/>
      <c r="B720" s="38"/>
      <c r="C720" s="77"/>
      <c r="D720" s="77"/>
      <c r="E720" s="86"/>
      <c r="F720" s="256"/>
      <c r="G720" s="29" t="b">
        <v>0</v>
      </c>
      <c r="H720" s="79" t="b">
        <v>0</v>
      </c>
    </row>
    <row r="721">
      <c r="A721" s="37"/>
      <c r="B721" s="38"/>
      <c r="C721" s="260"/>
      <c r="D721" s="260"/>
      <c r="E721" s="86"/>
      <c r="F721" s="256"/>
      <c r="G721" s="29" t="b">
        <v>0</v>
      </c>
      <c r="H721" s="79" t="b">
        <v>0</v>
      </c>
    </row>
    <row r="722">
      <c r="A722" s="37"/>
      <c r="B722" s="38"/>
      <c r="C722" s="77"/>
      <c r="D722" s="77"/>
      <c r="E722" s="86"/>
      <c r="F722" s="256"/>
      <c r="G722" s="29" t="b">
        <v>0</v>
      </c>
      <c r="H722" s="79" t="b">
        <v>0</v>
      </c>
    </row>
    <row r="723">
      <c r="A723" s="37"/>
      <c r="B723" s="38"/>
      <c r="C723" s="77"/>
      <c r="D723" s="77"/>
      <c r="E723" s="86"/>
      <c r="F723" s="256"/>
      <c r="G723" s="29" t="b">
        <v>0</v>
      </c>
      <c r="H723" s="79" t="b">
        <v>0</v>
      </c>
    </row>
    <row r="724">
      <c r="A724" s="37"/>
      <c r="B724" s="38"/>
      <c r="C724" s="77"/>
      <c r="D724" s="77"/>
      <c r="E724" s="86"/>
      <c r="F724" s="256"/>
      <c r="G724" s="29" t="b">
        <v>0</v>
      </c>
      <c r="H724" s="79" t="b">
        <v>0</v>
      </c>
    </row>
    <row r="725">
      <c r="A725" s="37"/>
      <c r="B725" s="38"/>
      <c r="C725" s="77"/>
      <c r="D725" s="77"/>
      <c r="E725" s="86"/>
      <c r="F725" s="256"/>
      <c r="G725" s="29" t="b">
        <v>0</v>
      </c>
      <c r="H725" s="79" t="b">
        <v>0</v>
      </c>
    </row>
    <row r="726">
      <c r="A726" s="37"/>
      <c r="B726" s="38"/>
      <c r="C726" s="77"/>
      <c r="D726" s="77"/>
      <c r="E726" s="86"/>
      <c r="F726" s="153"/>
      <c r="G726" s="29" t="b">
        <v>0</v>
      </c>
      <c r="H726" s="190" t="b">
        <v>0</v>
      </c>
    </row>
    <row r="727">
      <c r="A727" s="37"/>
      <c r="B727" s="38"/>
      <c r="C727" s="77"/>
      <c r="D727" s="77"/>
      <c r="E727" s="86"/>
      <c r="F727" s="256"/>
      <c r="G727" s="29" t="b">
        <v>0</v>
      </c>
      <c r="H727" s="79" t="b">
        <v>0</v>
      </c>
    </row>
    <row r="728">
      <c r="A728" s="37"/>
      <c r="B728" s="38"/>
      <c r="C728" s="39"/>
      <c r="D728" s="40"/>
      <c r="E728" s="83"/>
      <c r="F728" s="88"/>
      <c r="G728" s="29" t="b">
        <v>0</v>
      </c>
      <c r="H728" s="29" t="b">
        <v>0</v>
      </c>
    </row>
    <row r="729">
      <c r="A729" s="37"/>
      <c r="B729" s="38"/>
      <c r="C729" s="39"/>
      <c r="D729" s="40"/>
      <c r="E729" s="83"/>
      <c r="F729" s="88"/>
      <c r="G729" s="29" t="b">
        <v>0</v>
      </c>
      <c r="H729" s="29" t="b">
        <v>0</v>
      </c>
    </row>
    <row r="730">
      <c r="A730" s="37"/>
      <c r="B730" s="38"/>
      <c r="C730" s="39"/>
      <c r="D730" s="40"/>
      <c r="E730" s="83"/>
      <c r="F730" s="88"/>
      <c r="G730" s="29" t="b">
        <v>0</v>
      </c>
      <c r="H730" s="29" t="b">
        <v>0</v>
      </c>
    </row>
    <row r="731">
      <c r="A731" s="37"/>
      <c r="B731" s="38"/>
      <c r="C731" s="39"/>
      <c r="D731" s="40"/>
      <c r="E731" s="83"/>
      <c r="F731" s="88"/>
      <c r="G731" s="29" t="b">
        <v>0</v>
      </c>
      <c r="H731" s="29" t="b">
        <v>0</v>
      </c>
    </row>
    <row r="732">
      <c r="A732" s="37"/>
      <c r="B732" s="38"/>
      <c r="C732" s="39"/>
      <c r="D732" s="40"/>
      <c r="E732" s="83"/>
      <c r="F732" s="88"/>
      <c r="G732" s="29" t="b">
        <v>0</v>
      </c>
      <c r="H732" s="29" t="b">
        <v>0</v>
      </c>
    </row>
    <row r="733">
      <c r="A733" s="37"/>
      <c r="B733" s="38"/>
      <c r="C733" s="39"/>
      <c r="D733" s="40"/>
      <c r="E733" s="83"/>
      <c r="F733" s="88"/>
      <c r="G733" s="29" t="b">
        <v>0</v>
      </c>
      <c r="H733" s="29" t="b">
        <v>0</v>
      </c>
    </row>
    <row r="734">
      <c r="A734" s="37"/>
      <c r="B734" s="38"/>
      <c r="C734" s="39"/>
      <c r="D734" s="40"/>
      <c r="E734" s="83"/>
      <c r="F734" s="88"/>
      <c r="G734" s="29" t="b">
        <v>0</v>
      </c>
      <c r="H734" s="29" t="b">
        <v>0</v>
      </c>
    </row>
    <row r="735">
      <c r="A735" s="37"/>
      <c r="B735" s="38"/>
      <c r="C735" s="39"/>
      <c r="D735" s="40"/>
      <c r="E735" s="83"/>
      <c r="F735" s="88"/>
      <c r="G735" s="29" t="b">
        <v>0</v>
      </c>
      <c r="H735" s="29" t="b">
        <v>0</v>
      </c>
    </row>
    <row r="736">
      <c r="A736" s="37"/>
      <c r="B736" s="38"/>
      <c r="C736" s="39"/>
      <c r="D736" s="40"/>
      <c r="E736" s="83"/>
      <c r="F736" s="88"/>
      <c r="G736" s="29" t="b">
        <v>0</v>
      </c>
      <c r="H736" s="29" t="b">
        <v>0</v>
      </c>
    </row>
    <row r="737">
      <c r="A737" s="37"/>
      <c r="B737" s="38"/>
      <c r="C737" s="39"/>
      <c r="D737" s="40"/>
      <c r="E737" s="83"/>
      <c r="F737" s="88"/>
      <c r="G737" s="29" t="b">
        <v>0</v>
      </c>
      <c r="H737" s="29" t="b">
        <v>0</v>
      </c>
    </row>
    <row r="738">
      <c r="A738" s="37"/>
      <c r="B738" s="38"/>
      <c r="C738" s="39"/>
      <c r="D738" s="40"/>
      <c r="E738" s="83"/>
      <c r="F738" s="88"/>
      <c r="G738" s="29" t="b">
        <v>0</v>
      </c>
      <c r="H738" s="29" t="b">
        <v>0</v>
      </c>
    </row>
    <row r="739">
      <c r="A739" s="37"/>
      <c r="B739" s="38"/>
      <c r="C739" s="39"/>
      <c r="D739" s="40"/>
      <c r="E739" s="83"/>
      <c r="F739" s="88"/>
      <c r="G739" s="29" t="b">
        <v>0</v>
      </c>
      <c r="H739" s="29" t="b">
        <v>0</v>
      </c>
    </row>
    <row r="740">
      <c r="A740" s="37"/>
      <c r="B740" s="38"/>
      <c r="C740" s="39"/>
      <c r="D740" s="40"/>
      <c r="E740" s="83"/>
      <c r="F740" s="88"/>
      <c r="G740" s="29" t="b">
        <v>0</v>
      </c>
      <c r="H740" s="29" t="b">
        <v>0</v>
      </c>
    </row>
    <row r="741">
      <c r="A741" s="37"/>
      <c r="B741" s="38"/>
      <c r="C741" s="39"/>
      <c r="D741" s="40"/>
      <c r="E741" s="83"/>
      <c r="F741" s="88"/>
      <c r="G741" s="29" t="b">
        <v>0</v>
      </c>
      <c r="H741" s="29" t="b">
        <v>0</v>
      </c>
    </row>
    <row r="742">
      <c r="A742" s="37"/>
      <c r="B742" s="38"/>
      <c r="C742" s="39"/>
      <c r="D742" s="40"/>
      <c r="E742" s="83"/>
      <c r="F742" s="88"/>
      <c r="G742" s="29" t="b">
        <v>0</v>
      </c>
      <c r="H742" s="29" t="b">
        <v>0</v>
      </c>
    </row>
    <row r="743">
      <c r="A743" s="37"/>
      <c r="B743" s="38"/>
      <c r="C743" s="39"/>
      <c r="D743" s="40"/>
      <c r="E743" s="83"/>
      <c r="F743" s="88"/>
      <c r="G743" s="29" t="b">
        <v>0</v>
      </c>
      <c r="H743" s="29" t="b">
        <v>0</v>
      </c>
    </row>
    <row r="744">
      <c r="A744" s="37"/>
      <c r="B744" s="38"/>
      <c r="C744" s="39"/>
      <c r="D744" s="40"/>
      <c r="E744" s="83"/>
      <c r="F744" s="88"/>
      <c r="G744" s="29" t="b">
        <v>0</v>
      </c>
      <c r="H744" s="29" t="b">
        <v>0</v>
      </c>
    </row>
    <row r="745">
      <c r="A745" s="37"/>
      <c r="B745" s="38"/>
      <c r="C745" s="39"/>
      <c r="D745" s="40"/>
      <c r="E745" s="83"/>
      <c r="F745" s="88"/>
      <c r="G745" s="29" t="b">
        <v>0</v>
      </c>
      <c r="H745" s="29" t="b">
        <v>0</v>
      </c>
    </row>
    <row r="746">
      <c r="A746" s="37"/>
      <c r="B746" s="38"/>
      <c r="C746" s="39"/>
      <c r="D746" s="40"/>
      <c r="E746" s="83"/>
      <c r="F746" s="88"/>
      <c r="G746" s="29" t="b">
        <v>0</v>
      </c>
      <c r="H746" s="29" t="b">
        <v>0</v>
      </c>
    </row>
    <row r="747">
      <c r="A747" s="37"/>
      <c r="B747" s="38"/>
      <c r="C747" s="39"/>
      <c r="D747" s="40"/>
      <c r="E747" s="83"/>
      <c r="F747" s="88"/>
      <c r="G747" s="29" t="b">
        <v>0</v>
      </c>
      <c r="H747" s="29" t="b">
        <v>0</v>
      </c>
    </row>
    <row r="748">
      <c r="A748" s="37"/>
      <c r="B748" s="38"/>
      <c r="C748" s="39"/>
      <c r="D748" s="40"/>
      <c r="E748" s="83"/>
      <c r="F748" s="88"/>
      <c r="G748" s="29" t="b">
        <v>0</v>
      </c>
      <c r="H748" s="29" t="b">
        <v>0</v>
      </c>
    </row>
    <row r="749">
      <c r="A749" s="37"/>
      <c r="B749" s="38"/>
      <c r="C749" s="39"/>
      <c r="D749" s="40"/>
      <c r="E749" s="83"/>
      <c r="F749" s="88"/>
      <c r="G749" s="29" t="b">
        <v>0</v>
      </c>
      <c r="H749" s="29" t="b">
        <v>0</v>
      </c>
    </row>
    <row r="750">
      <c r="A750" s="37"/>
      <c r="B750" s="38"/>
      <c r="C750" s="253"/>
      <c r="D750" s="254"/>
      <c r="E750" s="145"/>
      <c r="F750" s="88"/>
      <c r="G750" s="29" t="b">
        <v>0</v>
      </c>
      <c r="H750" s="29" t="b">
        <v>0</v>
      </c>
    </row>
    <row r="751">
      <c r="A751" s="37"/>
      <c r="B751" s="38"/>
      <c r="C751" s="39"/>
      <c r="D751" s="40"/>
      <c r="E751" s="83"/>
      <c r="F751" s="88"/>
      <c r="G751" s="29" t="b">
        <v>0</v>
      </c>
      <c r="H751" s="29" t="b">
        <v>0</v>
      </c>
    </row>
    <row r="752">
      <c r="A752" s="37"/>
      <c r="B752" s="38"/>
      <c r="C752" s="39"/>
      <c r="D752" s="40"/>
      <c r="E752" s="83"/>
      <c r="F752" s="88"/>
      <c r="G752" s="29" t="b">
        <v>0</v>
      </c>
      <c r="H752" s="29" t="b">
        <v>0</v>
      </c>
    </row>
    <row r="753">
      <c r="A753" s="37"/>
      <c r="B753" s="38"/>
      <c r="C753" s="39"/>
      <c r="D753" s="40"/>
      <c r="E753" s="83"/>
      <c r="F753" s="88"/>
      <c r="G753" s="29" t="b">
        <v>0</v>
      </c>
      <c r="H753" s="29" t="b">
        <v>0</v>
      </c>
    </row>
    <row r="754">
      <c r="A754" s="37"/>
      <c r="B754" s="38"/>
      <c r="C754" s="39"/>
      <c r="D754" s="40"/>
      <c r="E754" s="83"/>
      <c r="F754" s="88"/>
      <c r="G754" s="29" t="b">
        <v>0</v>
      </c>
      <c r="H754" s="29" t="b">
        <v>0</v>
      </c>
    </row>
    <row r="755">
      <c r="A755" s="37"/>
      <c r="B755" s="38"/>
      <c r="C755" s="39"/>
      <c r="D755" s="40"/>
      <c r="E755" s="83"/>
      <c r="F755" s="88"/>
      <c r="G755" s="29" t="b">
        <v>0</v>
      </c>
      <c r="H755" s="29" t="b">
        <v>0</v>
      </c>
    </row>
    <row r="756">
      <c r="A756" s="37"/>
      <c r="B756" s="38"/>
      <c r="C756" s="39"/>
      <c r="D756" s="40"/>
      <c r="E756" s="83"/>
      <c r="F756" s="88"/>
      <c r="G756" s="29" t="b">
        <v>0</v>
      </c>
      <c r="H756" s="29" t="b">
        <v>0</v>
      </c>
    </row>
    <row r="757">
      <c r="A757" s="37"/>
      <c r="B757" s="38"/>
      <c r="C757" s="39"/>
      <c r="D757" s="40"/>
      <c r="E757" s="83"/>
      <c r="F757" s="88"/>
      <c r="G757" s="29" t="b">
        <v>0</v>
      </c>
      <c r="H757" s="29" t="b">
        <v>0</v>
      </c>
    </row>
    <row r="758">
      <c r="A758" s="37"/>
      <c r="B758" s="38"/>
      <c r="C758" s="39"/>
      <c r="D758" s="40"/>
      <c r="E758" s="83"/>
      <c r="F758" s="88"/>
      <c r="G758" s="29" t="b">
        <v>0</v>
      </c>
      <c r="H758" s="29" t="b">
        <v>0</v>
      </c>
    </row>
    <row r="759">
      <c r="A759" s="37"/>
      <c r="B759" s="38"/>
      <c r="C759" s="39"/>
      <c r="D759" s="40"/>
      <c r="E759" s="83"/>
      <c r="F759" s="88"/>
      <c r="G759" s="29" t="b">
        <v>0</v>
      </c>
      <c r="H759" s="29" t="b">
        <v>0</v>
      </c>
    </row>
    <row r="760">
      <c r="A760" s="37"/>
      <c r="B760" s="38"/>
      <c r="C760" s="39"/>
      <c r="D760" s="40"/>
      <c r="E760" s="83"/>
      <c r="F760" s="88"/>
      <c r="G760" s="29" t="b">
        <v>0</v>
      </c>
      <c r="H760" s="29" t="b">
        <v>0</v>
      </c>
    </row>
    <row r="761">
      <c r="A761" s="37"/>
      <c r="B761" s="38"/>
      <c r="C761" s="39"/>
      <c r="D761" s="40"/>
      <c r="E761" s="83"/>
      <c r="F761" s="88"/>
      <c r="G761" s="29" t="b">
        <v>0</v>
      </c>
      <c r="H761" s="29" t="b">
        <v>0</v>
      </c>
    </row>
    <row r="762">
      <c r="A762" s="37"/>
      <c r="B762" s="38"/>
      <c r="C762" s="39"/>
      <c r="D762" s="40"/>
      <c r="E762" s="83"/>
      <c r="F762" s="88"/>
      <c r="G762" s="29" t="b">
        <v>0</v>
      </c>
      <c r="H762" s="29" t="b">
        <v>0</v>
      </c>
    </row>
    <row r="763">
      <c r="A763" s="37"/>
      <c r="B763" s="38"/>
      <c r="C763" s="39"/>
      <c r="D763" s="40"/>
      <c r="E763" s="83"/>
      <c r="F763" s="88"/>
      <c r="G763" s="29" t="b">
        <v>0</v>
      </c>
      <c r="H763" s="29" t="b">
        <v>0</v>
      </c>
    </row>
    <row r="764">
      <c r="A764" s="37"/>
      <c r="B764" s="38"/>
      <c r="C764" s="39"/>
      <c r="D764" s="40"/>
      <c r="E764" s="83"/>
      <c r="F764" s="88"/>
      <c r="G764" s="29" t="b">
        <v>0</v>
      </c>
      <c r="H764" s="29" t="b">
        <v>0</v>
      </c>
    </row>
    <row r="765">
      <c r="A765" s="37"/>
      <c r="B765" s="38"/>
      <c r="C765" s="39"/>
      <c r="D765" s="40"/>
      <c r="E765" s="83"/>
      <c r="F765" s="88"/>
      <c r="G765" s="29" t="b">
        <v>0</v>
      </c>
      <c r="H765" s="29" t="b">
        <v>0</v>
      </c>
    </row>
    <row r="766">
      <c r="A766" s="37"/>
      <c r="B766" s="38"/>
      <c r="C766" s="39"/>
      <c r="D766" s="40"/>
      <c r="E766" s="83"/>
      <c r="F766" s="88"/>
      <c r="G766" s="29" t="b">
        <v>0</v>
      </c>
      <c r="H766" s="29" t="b">
        <v>0</v>
      </c>
    </row>
    <row r="767">
      <c r="A767" s="37"/>
      <c r="B767" s="38"/>
      <c r="C767" s="39"/>
      <c r="D767" s="40"/>
      <c r="E767" s="83"/>
      <c r="F767" s="88"/>
      <c r="G767" s="29" t="b">
        <v>0</v>
      </c>
      <c r="H767" s="29" t="b">
        <v>0</v>
      </c>
    </row>
    <row r="768">
      <c r="A768" s="37"/>
      <c r="B768" s="38"/>
      <c r="C768" s="39"/>
      <c r="D768" s="40"/>
      <c r="E768" s="83"/>
      <c r="F768" s="88"/>
      <c r="G768" s="29" t="b">
        <v>0</v>
      </c>
      <c r="H768" s="29" t="b">
        <v>0</v>
      </c>
    </row>
    <row r="769">
      <c r="A769" s="37"/>
      <c r="B769" s="38"/>
      <c r="C769" s="39"/>
      <c r="D769" s="40"/>
      <c r="E769" s="83"/>
      <c r="F769" s="88"/>
      <c r="G769" s="29" t="b">
        <v>0</v>
      </c>
      <c r="H769" s="29" t="b">
        <v>0</v>
      </c>
    </row>
    <row r="770">
      <c r="A770" s="37"/>
      <c r="B770" s="38"/>
      <c r="C770" s="39"/>
      <c r="D770" s="40"/>
      <c r="E770" s="83"/>
      <c r="F770" s="88"/>
      <c r="G770" s="29" t="b">
        <v>0</v>
      </c>
      <c r="H770" s="29" t="b">
        <v>0</v>
      </c>
    </row>
    <row r="771">
      <c r="A771" s="37"/>
      <c r="B771" s="38"/>
      <c r="C771" s="39"/>
      <c r="D771" s="40"/>
      <c r="E771" s="83"/>
      <c r="F771" s="88"/>
      <c r="G771" s="29" t="b">
        <v>0</v>
      </c>
      <c r="H771" s="29" t="b">
        <v>0</v>
      </c>
    </row>
    <row r="772">
      <c r="A772" s="37"/>
      <c r="B772" s="38"/>
      <c r="C772" s="39"/>
      <c r="D772" s="40"/>
      <c r="E772" s="83"/>
      <c r="F772" s="88"/>
      <c r="G772" s="29" t="b">
        <v>0</v>
      </c>
      <c r="H772" s="29" t="b">
        <v>0</v>
      </c>
    </row>
    <row r="773">
      <c r="A773" s="37"/>
      <c r="B773" s="38"/>
      <c r="C773" s="39"/>
      <c r="D773" s="40"/>
      <c r="E773" s="83"/>
      <c r="F773" s="88"/>
      <c r="G773" s="29" t="b">
        <v>0</v>
      </c>
      <c r="H773" s="29" t="b">
        <v>0</v>
      </c>
    </row>
    <row r="774">
      <c r="A774" s="37"/>
      <c r="B774" s="38"/>
      <c r="C774" s="39"/>
      <c r="D774" s="40"/>
      <c r="E774" s="83"/>
      <c r="F774" s="261"/>
      <c r="G774" s="29" t="b">
        <v>0</v>
      </c>
      <c r="H774" s="29" t="b">
        <v>0</v>
      </c>
    </row>
    <row r="775">
      <c r="A775" s="37"/>
      <c r="B775" s="38"/>
      <c r="C775" s="39"/>
      <c r="D775" s="40"/>
      <c r="E775" s="83"/>
      <c r="F775" s="88"/>
      <c r="G775" s="29" t="b">
        <v>0</v>
      </c>
      <c r="H775" s="29" t="b">
        <v>0</v>
      </c>
    </row>
    <row r="776">
      <c r="A776" s="37"/>
      <c r="B776" s="38"/>
      <c r="C776" s="39"/>
      <c r="D776" s="40"/>
      <c r="E776" s="83"/>
      <c r="F776" s="256"/>
      <c r="G776" s="29" t="b">
        <v>0</v>
      </c>
      <c r="H776" s="29" t="b">
        <v>0</v>
      </c>
    </row>
    <row r="777">
      <c r="A777" s="37"/>
      <c r="B777" s="38"/>
      <c r="C777" s="39"/>
      <c r="D777" s="40"/>
      <c r="E777" s="83"/>
      <c r="F777" s="88"/>
      <c r="G777" s="29" t="b">
        <v>0</v>
      </c>
      <c r="H777" s="29" t="b">
        <v>0</v>
      </c>
    </row>
    <row r="778">
      <c r="A778" s="37"/>
      <c r="B778" s="38"/>
      <c r="C778" s="39"/>
      <c r="D778" s="40"/>
      <c r="E778" s="83"/>
      <c r="F778" s="88"/>
      <c r="G778" s="29" t="b">
        <v>0</v>
      </c>
      <c r="H778" s="29" t="b">
        <v>0</v>
      </c>
    </row>
    <row r="779">
      <c r="A779" s="37"/>
      <c r="B779" s="38"/>
      <c r="C779" s="39"/>
      <c r="D779" s="40"/>
      <c r="E779" s="83"/>
      <c r="F779" s="88"/>
      <c r="G779" s="29" t="b">
        <v>0</v>
      </c>
      <c r="H779" s="29" t="b">
        <v>0</v>
      </c>
    </row>
    <row r="780">
      <c r="A780" s="37"/>
      <c r="B780" s="38"/>
      <c r="C780" s="39"/>
      <c r="D780" s="40"/>
      <c r="E780" s="83"/>
      <c r="F780" s="88"/>
      <c r="G780" s="29" t="b">
        <v>0</v>
      </c>
      <c r="H780" s="29" t="b">
        <v>0</v>
      </c>
    </row>
    <row r="781">
      <c r="A781" s="37"/>
      <c r="B781" s="38"/>
      <c r="C781" s="39"/>
      <c r="D781" s="40"/>
      <c r="E781" s="83"/>
      <c r="F781" s="88"/>
      <c r="G781" s="29" t="b">
        <v>0</v>
      </c>
      <c r="H781" s="29" t="b">
        <v>0</v>
      </c>
    </row>
    <row r="782">
      <c r="A782" s="37"/>
      <c r="B782" s="38"/>
      <c r="C782" s="39"/>
      <c r="D782" s="40"/>
      <c r="E782" s="83"/>
      <c r="F782" s="88"/>
      <c r="G782" s="29" t="b">
        <v>0</v>
      </c>
      <c r="H782" s="29" t="b">
        <v>0</v>
      </c>
    </row>
    <row r="783">
      <c r="A783" s="37"/>
      <c r="B783" s="38"/>
      <c r="C783" s="39"/>
      <c r="D783" s="40"/>
      <c r="E783" s="83"/>
      <c r="F783" s="88"/>
      <c r="G783" s="29" t="b">
        <v>0</v>
      </c>
      <c r="H783" s="29" t="b">
        <v>0</v>
      </c>
    </row>
    <row r="784">
      <c r="A784" s="37"/>
      <c r="B784" s="38"/>
      <c r="C784" s="39"/>
      <c r="D784" s="40"/>
      <c r="E784" s="83"/>
      <c r="F784" s="88"/>
      <c r="G784" s="29" t="b">
        <v>0</v>
      </c>
      <c r="H784" s="29" t="b">
        <v>0</v>
      </c>
    </row>
    <row r="785">
      <c r="A785" s="37"/>
      <c r="B785" s="38"/>
      <c r="C785" s="39"/>
      <c r="D785" s="40"/>
      <c r="E785" s="83"/>
      <c r="F785" s="88"/>
      <c r="G785" s="29" t="b">
        <v>0</v>
      </c>
      <c r="H785" s="29" t="b">
        <v>0</v>
      </c>
    </row>
    <row r="786">
      <c r="A786" s="37"/>
      <c r="B786" s="38"/>
      <c r="C786" s="39"/>
      <c r="D786" s="40"/>
      <c r="E786" s="83"/>
      <c r="F786" s="88"/>
      <c r="G786" s="29" t="b">
        <v>0</v>
      </c>
      <c r="H786" s="29" t="b">
        <v>0</v>
      </c>
    </row>
    <row r="787">
      <c r="A787" s="37"/>
      <c r="B787" s="38"/>
      <c r="C787" s="39"/>
      <c r="D787" s="40"/>
      <c r="E787" s="83"/>
      <c r="F787" s="88"/>
      <c r="G787" s="29" t="b">
        <v>0</v>
      </c>
      <c r="H787" s="29" t="b">
        <v>0</v>
      </c>
    </row>
    <row r="788">
      <c r="A788" s="37"/>
      <c r="B788" s="38"/>
      <c r="C788" s="39"/>
      <c r="D788" s="40"/>
      <c r="E788" s="83"/>
      <c r="F788" s="88"/>
      <c r="G788" s="29" t="b">
        <v>0</v>
      </c>
      <c r="H788" s="29" t="b">
        <v>0</v>
      </c>
    </row>
    <row r="789">
      <c r="A789" s="37"/>
      <c r="B789" s="38"/>
      <c r="C789" s="39"/>
      <c r="D789" s="40"/>
      <c r="E789" s="83"/>
      <c r="F789" s="88"/>
      <c r="G789" s="29" t="b">
        <v>0</v>
      </c>
      <c r="H789" s="29" t="b">
        <v>0</v>
      </c>
    </row>
    <row r="790">
      <c r="A790" s="37"/>
      <c r="B790" s="38"/>
      <c r="C790" s="39"/>
      <c r="D790" s="40"/>
      <c r="E790" s="83"/>
      <c r="F790" s="88"/>
      <c r="G790" s="29" t="b">
        <v>0</v>
      </c>
      <c r="H790" s="29" t="b">
        <v>0</v>
      </c>
    </row>
    <row r="791">
      <c r="A791" s="37"/>
      <c r="B791" s="38"/>
      <c r="C791" s="39"/>
      <c r="D791" s="40"/>
      <c r="E791" s="83"/>
      <c r="F791" s="88"/>
      <c r="G791" s="29" t="b">
        <v>0</v>
      </c>
      <c r="H791" s="29" t="b">
        <v>0</v>
      </c>
    </row>
    <row r="792">
      <c r="A792" s="37"/>
      <c r="B792" s="38"/>
      <c r="C792" s="39"/>
      <c r="D792" s="40"/>
      <c r="E792" s="83"/>
      <c r="F792" s="88"/>
      <c r="G792" s="29" t="b">
        <v>0</v>
      </c>
      <c r="H792" s="29" t="b">
        <v>0</v>
      </c>
    </row>
    <row r="793">
      <c r="A793" s="37"/>
      <c r="B793" s="38"/>
      <c r="C793" s="39"/>
      <c r="D793" s="40"/>
      <c r="E793" s="83"/>
      <c r="F793" s="88"/>
      <c r="G793" s="29" t="b">
        <v>0</v>
      </c>
      <c r="H793" s="29" t="b">
        <v>0</v>
      </c>
    </row>
    <row r="794">
      <c r="A794" s="37"/>
      <c r="B794" s="38"/>
      <c r="C794" s="39"/>
      <c r="D794" s="40"/>
      <c r="E794" s="83"/>
      <c r="F794" s="88"/>
      <c r="G794" s="29" t="b">
        <v>0</v>
      </c>
      <c r="H794" s="29" t="b">
        <v>0</v>
      </c>
    </row>
    <row r="795">
      <c r="A795" s="37"/>
      <c r="B795" s="38"/>
      <c r="C795" s="39"/>
      <c r="D795" s="40"/>
      <c r="E795" s="83"/>
      <c r="F795" s="88"/>
      <c r="G795" s="29" t="b">
        <v>0</v>
      </c>
      <c r="H795" s="29" t="b">
        <v>0</v>
      </c>
    </row>
    <row r="796">
      <c r="A796" s="37"/>
      <c r="B796" s="38"/>
      <c r="C796" s="39"/>
      <c r="D796" s="40"/>
      <c r="E796" s="83"/>
      <c r="F796" s="88"/>
      <c r="G796" s="29" t="b">
        <v>0</v>
      </c>
      <c r="H796" s="29" t="b">
        <v>0</v>
      </c>
    </row>
    <row r="797">
      <c r="A797" s="37"/>
      <c r="B797" s="38"/>
      <c r="C797" s="39"/>
      <c r="D797" s="40"/>
      <c r="E797" s="83"/>
      <c r="F797" s="88"/>
      <c r="G797" s="29" t="b">
        <v>0</v>
      </c>
      <c r="H797" s="29" t="b">
        <v>0</v>
      </c>
    </row>
    <row r="798">
      <c r="A798" s="37"/>
      <c r="B798" s="38"/>
      <c r="C798" s="39"/>
      <c r="D798" s="40"/>
      <c r="E798" s="83"/>
      <c r="F798" s="88"/>
      <c r="G798" s="29" t="b">
        <v>0</v>
      </c>
      <c r="H798" s="29" t="b">
        <v>0</v>
      </c>
    </row>
    <row r="799">
      <c r="A799" s="37"/>
      <c r="B799" s="38"/>
      <c r="C799" s="39"/>
      <c r="D799" s="40"/>
      <c r="E799" s="83"/>
      <c r="F799" s="88"/>
      <c r="G799" s="29" t="b">
        <v>0</v>
      </c>
      <c r="H799" s="29" t="b">
        <v>0</v>
      </c>
    </row>
    <row r="800">
      <c r="A800" s="37"/>
      <c r="B800" s="38"/>
      <c r="C800" s="39"/>
      <c r="D800" s="40"/>
      <c r="E800" s="83"/>
      <c r="F800" s="88"/>
      <c r="G800" s="29" t="b">
        <v>0</v>
      </c>
      <c r="H800" s="29" t="b">
        <v>0</v>
      </c>
    </row>
    <row r="801">
      <c r="A801" s="37"/>
      <c r="B801" s="38"/>
      <c r="C801" s="39"/>
      <c r="D801" s="40"/>
      <c r="E801" s="83"/>
      <c r="F801" s="88"/>
      <c r="G801" s="29" t="b">
        <v>0</v>
      </c>
      <c r="H801" s="29" t="b">
        <v>0</v>
      </c>
    </row>
    <row r="802">
      <c r="A802" s="37"/>
      <c r="B802" s="38"/>
      <c r="C802" s="39"/>
      <c r="D802" s="40"/>
      <c r="E802" s="83"/>
      <c r="F802" s="88"/>
      <c r="G802" s="29" t="b">
        <v>0</v>
      </c>
      <c r="H802" s="29" t="b">
        <v>0</v>
      </c>
    </row>
    <row r="803">
      <c r="A803" s="37"/>
      <c r="B803" s="38"/>
      <c r="C803" s="39"/>
      <c r="D803" s="40"/>
      <c r="E803" s="83"/>
      <c r="F803" s="88"/>
      <c r="G803" s="29" t="b">
        <v>0</v>
      </c>
      <c r="H803" s="29" t="b">
        <v>0</v>
      </c>
    </row>
    <row r="804">
      <c r="A804" s="37"/>
      <c r="B804" s="38"/>
      <c r="C804" s="39"/>
      <c r="D804" s="40"/>
      <c r="E804" s="83"/>
      <c r="F804" s="88"/>
      <c r="G804" s="29" t="b">
        <v>0</v>
      </c>
      <c r="H804" s="29" t="b">
        <v>0</v>
      </c>
    </row>
    <row r="805">
      <c r="A805" s="37"/>
      <c r="B805" s="38"/>
      <c r="C805" s="39"/>
      <c r="D805" s="40"/>
      <c r="E805" s="83"/>
      <c r="F805" s="88"/>
      <c r="G805" s="29" t="b">
        <v>0</v>
      </c>
      <c r="H805" s="29" t="b">
        <v>0</v>
      </c>
    </row>
    <row r="806">
      <c r="A806" s="37"/>
      <c r="B806" s="38"/>
      <c r="C806" s="39"/>
      <c r="D806" s="40"/>
      <c r="E806" s="86"/>
      <c r="F806" s="256"/>
      <c r="G806" s="29" t="b">
        <v>0</v>
      </c>
      <c r="H806" s="29" t="b">
        <v>0</v>
      </c>
    </row>
    <row r="807">
      <c r="A807" s="37"/>
      <c r="B807" s="38"/>
      <c r="C807" s="39"/>
      <c r="D807" s="40"/>
      <c r="E807" s="86"/>
      <c r="F807" s="256"/>
      <c r="G807" s="29" t="b">
        <v>0</v>
      </c>
      <c r="H807" s="29" t="b">
        <v>0</v>
      </c>
    </row>
    <row r="808">
      <c r="A808" s="37"/>
      <c r="B808" s="38"/>
      <c r="C808" s="39"/>
      <c r="D808" s="40"/>
      <c r="E808" s="262"/>
      <c r="F808" s="263"/>
      <c r="G808" s="29" t="b">
        <v>0</v>
      </c>
      <c r="H808" s="29" t="b">
        <v>0</v>
      </c>
    </row>
    <row r="809">
      <c r="A809" s="37"/>
      <c r="B809" s="38"/>
      <c r="C809" s="39"/>
      <c r="D809" s="40"/>
      <c r="E809" s="262"/>
      <c r="F809" s="262"/>
      <c r="G809" s="29" t="b">
        <v>0</v>
      </c>
      <c r="H809" s="29" t="b">
        <v>0</v>
      </c>
    </row>
    <row r="810">
      <c r="A810" s="264"/>
      <c r="B810" s="265"/>
      <c r="C810" s="266"/>
      <c r="D810" s="267"/>
      <c r="E810" s="268"/>
      <c r="F810" s="256"/>
      <c r="G810" s="29" t="b">
        <v>0</v>
      </c>
      <c r="H810" s="29" t="b">
        <v>0</v>
      </c>
    </row>
    <row r="811">
      <c r="A811" s="37"/>
      <c r="B811" s="38"/>
      <c r="C811" s="39"/>
      <c r="D811" s="40"/>
      <c r="E811" s="262"/>
      <c r="F811" s="263"/>
      <c r="G811" s="29" t="b">
        <v>0</v>
      </c>
      <c r="H811" s="29" t="b">
        <v>0</v>
      </c>
    </row>
    <row r="812">
      <c r="A812" s="37"/>
      <c r="B812" s="38"/>
      <c r="C812" s="39"/>
      <c r="D812" s="40"/>
      <c r="E812" s="262"/>
      <c r="F812" s="263"/>
      <c r="G812" s="29" t="b">
        <v>0</v>
      </c>
      <c r="H812" s="29" t="b">
        <v>0</v>
      </c>
    </row>
    <row r="813">
      <c r="A813" s="37"/>
      <c r="B813" s="38"/>
      <c r="C813" s="39"/>
      <c r="D813" s="40"/>
      <c r="E813" s="86"/>
      <c r="F813" s="256"/>
      <c r="G813" s="29" t="b">
        <v>0</v>
      </c>
      <c r="H813" s="29" t="b">
        <v>0</v>
      </c>
    </row>
    <row r="814">
      <c r="A814" s="37"/>
      <c r="B814" s="38"/>
      <c r="C814" s="39"/>
      <c r="D814" s="40"/>
      <c r="E814" s="262"/>
      <c r="F814" s="262"/>
      <c r="G814" s="29" t="b">
        <v>0</v>
      </c>
      <c r="H814" s="29" t="b">
        <v>0</v>
      </c>
    </row>
    <row r="815">
      <c r="A815" s="37"/>
      <c r="B815" s="38"/>
      <c r="C815" s="39"/>
      <c r="D815" s="40"/>
      <c r="E815" s="269"/>
      <c r="F815" s="269"/>
      <c r="G815" s="29" t="b">
        <v>0</v>
      </c>
      <c r="H815" s="29" t="b">
        <v>0</v>
      </c>
    </row>
    <row r="816">
      <c r="A816" s="37"/>
      <c r="B816" s="38"/>
      <c r="C816" s="39"/>
      <c r="D816" s="40"/>
      <c r="E816" s="262"/>
      <c r="F816" s="262"/>
      <c r="G816" s="29" t="b">
        <v>0</v>
      </c>
      <c r="H816" s="29" t="b">
        <v>0</v>
      </c>
    </row>
    <row r="817">
      <c r="A817" s="37"/>
      <c r="B817" s="38"/>
      <c r="C817" s="39"/>
      <c r="D817" s="40"/>
      <c r="E817" s="262"/>
      <c r="F817" s="262"/>
      <c r="G817" s="29" t="b">
        <v>0</v>
      </c>
      <c r="H817" s="29" t="b">
        <v>0</v>
      </c>
    </row>
    <row r="818">
      <c r="A818" s="37"/>
      <c r="B818" s="38"/>
      <c r="C818" s="39"/>
      <c r="D818" s="40"/>
      <c r="E818" s="262"/>
      <c r="F818" s="269"/>
      <c r="G818" s="29" t="b">
        <v>0</v>
      </c>
      <c r="H818" s="29" t="b">
        <v>0</v>
      </c>
    </row>
    <row r="819">
      <c r="A819" s="37"/>
      <c r="B819" s="38"/>
      <c r="C819" s="39"/>
      <c r="D819" s="40"/>
      <c r="E819" s="262"/>
      <c r="F819" s="269"/>
      <c r="G819" s="29" t="b">
        <v>0</v>
      </c>
      <c r="H819" s="29" t="b">
        <v>0</v>
      </c>
    </row>
    <row r="820">
      <c r="A820" s="37"/>
      <c r="B820" s="38"/>
      <c r="C820" s="39"/>
      <c r="D820" s="40"/>
      <c r="E820" s="262"/>
      <c r="F820" s="262"/>
      <c r="G820" s="29" t="b">
        <v>0</v>
      </c>
      <c r="H820" s="29" t="b">
        <v>0</v>
      </c>
    </row>
    <row r="821" ht="19.5" customHeight="1">
      <c r="A821" s="37"/>
      <c r="B821" s="38"/>
      <c r="C821" s="39"/>
      <c r="D821" s="40"/>
      <c r="E821" s="86"/>
      <c r="F821" s="256"/>
      <c r="G821" s="29" t="b">
        <v>0</v>
      </c>
      <c r="H821" s="29" t="b">
        <v>0</v>
      </c>
    </row>
    <row r="822" ht="19.5" customHeight="1">
      <c r="A822" s="37"/>
      <c r="B822" s="38"/>
      <c r="C822" s="39"/>
      <c r="D822" s="40"/>
      <c r="E822" s="86"/>
      <c r="F822" s="256"/>
      <c r="G822" s="29" t="b">
        <v>0</v>
      </c>
      <c r="H822" s="29" t="b">
        <v>0</v>
      </c>
    </row>
    <row r="823" ht="19.5" customHeight="1">
      <c r="A823" s="37"/>
      <c r="B823" s="38"/>
      <c r="C823" s="39"/>
      <c r="D823" s="40"/>
      <c r="E823" s="83"/>
      <c r="F823" s="88"/>
      <c r="G823" s="29" t="b">
        <v>0</v>
      </c>
      <c r="H823" s="29" t="b">
        <v>0</v>
      </c>
    </row>
    <row r="824">
      <c r="A824" s="37"/>
      <c r="B824" s="38"/>
      <c r="C824" s="39"/>
      <c r="D824" s="40"/>
      <c r="E824" s="83"/>
      <c r="F824" s="88"/>
      <c r="G824" s="29" t="b">
        <v>0</v>
      </c>
      <c r="H824" s="29" t="b">
        <v>0</v>
      </c>
    </row>
    <row r="825">
      <c r="A825" s="37"/>
      <c r="B825" s="38"/>
      <c r="C825" s="39"/>
      <c r="D825" s="40"/>
      <c r="E825" s="83"/>
      <c r="F825" s="88"/>
      <c r="G825" s="29" t="b">
        <v>0</v>
      </c>
      <c r="H825" s="29" t="b">
        <v>0</v>
      </c>
    </row>
    <row r="826">
      <c r="A826" s="37"/>
      <c r="B826" s="38"/>
      <c r="C826" s="39"/>
      <c r="D826" s="40"/>
      <c r="E826" s="86"/>
      <c r="F826" s="256"/>
      <c r="G826" s="29" t="b">
        <v>0</v>
      </c>
      <c r="H826" s="29" t="b">
        <v>0</v>
      </c>
    </row>
    <row r="827">
      <c r="A827" s="37"/>
      <c r="B827" s="38"/>
      <c r="C827" s="39"/>
      <c r="D827" s="40"/>
      <c r="E827" s="86"/>
      <c r="F827" s="256"/>
      <c r="G827" s="29" t="b">
        <v>0</v>
      </c>
      <c r="H827" s="29" t="b">
        <v>0</v>
      </c>
    </row>
    <row r="828">
      <c r="A828" s="37"/>
      <c r="B828" s="38"/>
      <c r="C828" s="39"/>
      <c r="D828" s="40"/>
      <c r="E828" s="86"/>
      <c r="F828" s="256"/>
      <c r="G828" s="29" t="b">
        <v>0</v>
      </c>
      <c r="H828" s="29" t="b">
        <v>0</v>
      </c>
    </row>
    <row r="829">
      <c r="A829" s="37"/>
      <c r="B829" s="38"/>
      <c r="C829" s="253"/>
      <c r="D829" s="40"/>
      <c r="E829" s="86"/>
      <c r="F829" s="256"/>
      <c r="G829" s="29" t="b">
        <v>0</v>
      </c>
      <c r="H829" s="270" t="b">
        <v>0</v>
      </c>
    </row>
    <row r="830">
      <c r="A830" s="37"/>
      <c r="B830" s="38"/>
      <c r="C830" s="253"/>
      <c r="D830" s="40"/>
      <c r="E830" s="86"/>
      <c r="F830" s="256"/>
      <c r="G830" s="29" t="b">
        <v>0</v>
      </c>
      <c r="H830" s="270" t="b">
        <v>0</v>
      </c>
    </row>
    <row r="831">
      <c r="A831" s="37"/>
      <c r="B831" s="38"/>
      <c r="C831" s="253"/>
      <c r="D831" s="40"/>
      <c r="E831" s="86"/>
      <c r="F831" s="256"/>
      <c r="G831" s="29" t="b">
        <v>0</v>
      </c>
      <c r="H831" s="270" t="b">
        <v>0</v>
      </c>
    </row>
    <row r="832">
      <c r="A832" s="37"/>
      <c r="B832" s="38"/>
      <c r="C832" s="253"/>
      <c r="D832" s="40"/>
      <c r="E832" s="86"/>
      <c r="F832" s="256"/>
      <c r="G832" s="29" t="b">
        <v>0</v>
      </c>
      <c r="H832" s="270" t="b">
        <v>0</v>
      </c>
    </row>
    <row r="833">
      <c r="A833" s="37"/>
      <c r="B833" s="38"/>
      <c r="C833" s="253"/>
      <c r="D833" s="40"/>
      <c r="E833" s="86"/>
      <c r="F833" s="256"/>
      <c r="G833" s="29" t="b">
        <v>0</v>
      </c>
      <c r="H833" s="270" t="b">
        <v>0</v>
      </c>
    </row>
    <row r="834">
      <c r="A834" s="37"/>
      <c r="B834" s="38"/>
      <c r="C834" s="253"/>
      <c r="D834" s="40"/>
      <c r="E834" s="86"/>
      <c r="F834" s="256"/>
      <c r="G834" s="29" t="b">
        <v>0</v>
      </c>
      <c r="H834" s="270" t="b">
        <v>0</v>
      </c>
    </row>
    <row r="835">
      <c r="A835" s="37"/>
      <c r="B835" s="38"/>
      <c r="C835" s="253"/>
      <c r="D835" s="40"/>
      <c r="E835" s="86"/>
      <c r="F835" s="256"/>
      <c r="G835" s="29" t="b">
        <v>0</v>
      </c>
      <c r="H835" s="270" t="b">
        <v>0</v>
      </c>
    </row>
    <row r="836">
      <c r="A836" s="37"/>
      <c r="B836" s="38"/>
      <c r="C836" s="39"/>
      <c r="D836" s="40"/>
      <c r="E836" s="86"/>
      <c r="F836" s="256"/>
      <c r="G836" s="29" t="b">
        <v>0</v>
      </c>
      <c r="H836" s="29" t="b">
        <v>0</v>
      </c>
    </row>
    <row r="837">
      <c r="A837" s="37"/>
      <c r="B837" s="38"/>
      <c r="C837" s="39"/>
      <c r="D837" s="40"/>
      <c r="E837" s="269"/>
      <c r="F837" s="262"/>
      <c r="G837" s="29" t="b">
        <v>0</v>
      </c>
      <c r="H837" s="29" t="b">
        <v>0</v>
      </c>
    </row>
    <row r="838">
      <c r="A838" s="37"/>
      <c r="B838" s="38"/>
      <c r="C838" s="39"/>
      <c r="D838" s="40"/>
      <c r="E838" s="262"/>
      <c r="F838" s="262"/>
      <c r="G838" s="29" t="b">
        <v>0</v>
      </c>
      <c r="H838" s="29" t="b">
        <v>0</v>
      </c>
    </row>
    <row r="839">
      <c r="A839" s="37"/>
      <c r="B839" s="38"/>
      <c r="C839" s="39"/>
      <c r="D839" s="40"/>
      <c r="E839" s="262"/>
      <c r="F839" s="262"/>
      <c r="G839" s="29" t="b">
        <v>0</v>
      </c>
      <c r="H839" s="29" t="b">
        <v>0</v>
      </c>
    </row>
    <row r="840">
      <c r="A840" s="37"/>
      <c r="B840" s="38"/>
      <c r="C840" s="39"/>
      <c r="D840" s="40"/>
      <c r="E840" s="269"/>
      <c r="F840" s="262"/>
      <c r="G840" s="29" t="b">
        <v>0</v>
      </c>
      <c r="H840" s="29" t="b">
        <v>0</v>
      </c>
    </row>
    <row r="841">
      <c r="A841" s="37"/>
      <c r="B841" s="38"/>
      <c r="C841" s="39"/>
      <c r="D841" s="40"/>
      <c r="E841" s="269"/>
      <c r="F841" s="262"/>
      <c r="G841" s="29" t="b">
        <v>0</v>
      </c>
      <c r="H841" s="29" t="b">
        <v>0</v>
      </c>
    </row>
    <row r="842">
      <c r="A842" s="37"/>
      <c r="B842" s="38"/>
      <c r="C842" s="39"/>
      <c r="D842" s="40"/>
      <c r="E842" s="269"/>
      <c r="F842" s="262"/>
      <c r="G842" s="29" t="b">
        <v>0</v>
      </c>
      <c r="H842" s="29" t="b">
        <v>0</v>
      </c>
    </row>
    <row r="843">
      <c r="A843" s="37"/>
      <c r="B843" s="38"/>
      <c r="C843" s="39"/>
      <c r="D843" s="40"/>
      <c r="E843" s="269"/>
      <c r="F843" s="262"/>
      <c r="G843" s="29" t="b">
        <v>0</v>
      </c>
      <c r="H843" s="29" t="b">
        <v>0</v>
      </c>
    </row>
    <row r="844">
      <c r="A844" s="37"/>
      <c r="B844" s="38"/>
      <c r="C844" s="39"/>
      <c r="D844" s="40"/>
      <c r="E844" s="262"/>
      <c r="F844" s="269"/>
      <c r="G844" s="29" t="b">
        <v>0</v>
      </c>
      <c r="H844" s="29" t="b">
        <v>0</v>
      </c>
    </row>
    <row r="845">
      <c r="A845" s="37"/>
      <c r="B845" s="38"/>
      <c r="C845" s="39"/>
      <c r="D845" s="40"/>
      <c r="E845" s="86"/>
      <c r="F845" s="256"/>
      <c r="G845" s="29" t="b">
        <v>0</v>
      </c>
      <c r="H845" s="29" t="b">
        <v>0</v>
      </c>
    </row>
    <row r="846">
      <c r="A846" s="37"/>
      <c r="B846" s="38"/>
      <c r="C846" s="39"/>
      <c r="D846" s="40"/>
      <c r="E846" s="86"/>
      <c r="F846" s="256"/>
      <c r="G846" s="29" t="b">
        <v>0</v>
      </c>
      <c r="H846" s="29" t="b">
        <v>0</v>
      </c>
    </row>
    <row r="847">
      <c r="A847" s="37"/>
      <c r="B847" s="38"/>
      <c r="C847" s="39"/>
      <c r="D847" s="40"/>
      <c r="E847" s="83"/>
      <c r="F847" s="88"/>
      <c r="G847" s="29" t="b">
        <v>0</v>
      </c>
      <c r="H847" s="29" t="b">
        <v>0</v>
      </c>
    </row>
    <row r="848">
      <c r="A848" s="37"/>
      <c r="B848" s="38"/>
      <c r="C848" s="39"/>
      <c r="D848" s="40"/>
      <c r="E848" s="83"/>
      <c r="F848" s="88"/>
      <c r="G848" s="29" t="b">
        <v>0</v>
      </c>
      <c r="H848" s="29" t="b">
        <v>0</v>
      </c>
    </row>
    <row r="849">
      <c r="A849" s="37"/>
      <c r="B849" s="38"/>
      <c r="C849" s="39"/>
      <c r="D849" s="40"/>
      <c r="E849" s="83"/>
      <c r="F849" s="88"/>
      <c r="G849" s="29" t="b">
        <v>0</v>
      </c>
      <c r="H849" s="29" t="b">
        <v>0</v>
      </c>
    </row>
    <row r="850">
      <c r="A850" s="37"/>
      <c r="B850" s="38"/>
      <c r="C850" s="39"/>
      <c r="D850" s="77"/>
      <c r="E850" s="83"/>
      <c r="F850" s="88"/>
      <c r="G850" s="29" t="b">
        <v>0</v>
      </c>
      <c r="H850" s="29" t="b">
        <v>0</v>
      </c>
    </row>
    <row r="851">
      <c r="A851" s="37"/>
      <c r="B851" s="38"/>
      <c r="C851" s="39"/>
      <c r="D851" s="77"/>
      <c r="E851" s="83"/>
      <c r="F851" s="88"/>
      <c r="G851" s="29" t="b">
        <v>0</v>
      </c>
      <c r="H851" s="29" t="b">
        <v>0</v>
      </c>
    </row>
    <row r="852">
      <c r="A852" s="37"/>
      <c r="B852" s="38"/>
      <c r="C852" s="39"/>
      <c r="D852" s="77"/>
      <c r="E852" s="83"/>
      <c r="F852" s="88"/>
      <c r="G852" s="29" t="b">
        <v>0</v>
      </c>
      <c r="H852" s="29" t="b">
        <v>0</v>
      </c>
    </row>
    <row r="853">
      <c r="A853" s="37"/>
      <c r="B853" s="38"/>
      <c r="C853" s="39"/>
      <c r="D853" s="77"/>
      <c r="E853" s="83"/>
      <c r="F853" s="88"/>
      <c r="G853" s="29" t="b">
        <v>0</v>
      </c>
      <c r="H853" s="29" t="b">
        <v>0</v>
      </c>
    </row>
    <row r="854">
      <c r="A854" s="37"/>
      <c r="B854" s="38"/>
      <c r="C854" s="39"/>
      <c r="D854" s="77"/>
      <c r="E854" s="83"/>
      <c r="F854" s="88"/>
      <c r="G854" s="29" t="b">
        <v>0</v>
      </c>
      <c r="H854" s="29" t="b">
        <v>0</v>
      </c>
    </row>
    <row r="855">
      <c r="A855" s="37"/>
      <c r="B855" s="252"/>
      <c r="C855" s="39"/>
      <c r="D855" s="77"/>
      <c r="E855" s="83"/>
      <c r="F855" s="88"/>
      <c r="G855" s="29" t="b">
        <v>0</v>
      </c>
      <c r="H855" s="29" t="b">
        <v>0</v>
      </c>
    </row>
    <row r="856">
      <c r="A856" s="37"/>
      <c r="B856" s="252"/>
      <c r="C856" s="39"/>
      <c r="D856" s="77"/>
      <c r="E856" s="83"/>
      <c r="F856" s="88"/>
      <c r="G856" s="29" t="b">
        <v>0</v>
      </c>
      <c r="H856" s="29" t="b">
        <v>0</v>
      </c>
    </row>
    <row r="857">
      <c r="A857" s="37"/>
      <c r="B857" s="38"/>
      <c r="C857" s="39"/>
      <c r="D857" s="77"/>
      <c r="E857" s="83"/>
      <c r="F857" s="88"/>
      <c r="G857" s="29" t="b">
        <v>0</v>
      </c>
      <c r="H857" s="29" t="b">
        <v>0</v>
      </c>
    </row>
    <row r="858">
      <c r="A858" s="37"/>
      <c r="B858" s="38"/>
      <c r="C858" s="39"/>
      <c r="D858" s="77"/>
      <c r="E858" s="83"/>
      <c r="F858" s="88"/>
      <c r="G858" s="29" t="b">
        <v>0</v>
      </c>
      <c r="H858" s="29" t="b">
        <v>0</v>
      </c>
    </row>
    <row r="859">
      <c r="A859" s="37"/>
      <c r="B859" s="38"/>
      <c r="C859" s="39"/>
      <c r="D859" s="77"/>
      <c r="E859" s="83"/>
      <c r="F859" s="88"/>
      <c r="G859" s="29" t="b">
        <v>0</v>
      </c>
      <c r="H859" s="29" t="b">
        <v>0</v>
      </c>
    </row>
    <row r="860">
      <c r="A860" s="37"/>
      <c r="B860" s="252"/>
      <c r="C860" s="39"/>
      <c r="D860" s="77"/>
      <c r="E860" s="83"/>
      <c r="F860" s="88"/>
      <c r="G860" s="29" t="b">
        <v>0</v>
      </c>
      <c r="H860" s="29" t="b">
        <v>0</v>
      </c>
    </row>
    <row r="861">
      <c r="A861" s="37"/>
      <c r="B861" s="38"/>
      <c r="C861" s="39"/>
      <c r="D861" s="77"/>
      <c r="E861" s="83"/>
      <c r="F861" s="88"/>
      <c r="G861" s="29" t="b">
        <v>0</v>
      </c>
      <c r="H861" s="29" t="b">
        <v>0</v>
      </c>
    </row>
    <row r="862">
      <c r="A862" s="37"/>
      <c r="B862" s="38"/>
      <c r="C862" s="39"/>
      <c r="D862" s="77"/>
      <c r="E862" s="83"/>
      <c r="F862" s="88"/>
      <c r="G862" s="29" t="b">
        <v>0</v>
      </c>
      <c r="H862" s="29" t="b">
        <v>0</v>
      </c>
    </row>
    <row r="863">
      <c r="A863" s="37"/>
      <c r="B863" s="38"/>
      <c r="C863" s="39"/>
      <c r="D863" s="77"/>
      <c r="E863" s="83"/>
      <c r="F863" s="88"/>
      <c r="G863" s="29" t="b">
        <v>0</v>
      </c>
      <c r="H863" s="29" t="b">
        <v>0</v>
      </c>
    </row>
    <row r="864">
      <c r="A864" s="37"/>
      <c r="B864" s="38"/>
      <c r="C864" s="39"/>
      <c r="D864" s="77"/>
      <c r="E864" s="83"/>
      <c r="F864" s="88"/>
      <c r="G864" s="29" t="b">
        <v>0</v>
      </c>
      <c r="H864" s="29" t="b">
        <v>0</v>
      </c>
    </row>
    <row r="865">
      <c r="A865" s="37"/>
      <c r="B865" s="38"/>
      <c r="C865" s="39"/>
      <c r="D865" s="77"/>
      <c r="E865" s="83"/>
      <c r="F865" s="88"/>
      <c r="G865" s="29" t="b">
        <v>0</v>
      </c>
      <c r="H865" s="29" t="b">
        <v>0</v>
      </c>
    </row>
    <row r="866">
      <c r="A866" s="37"/>
      <c r="B866" s="38"/>
      <c r="C866" s="39"/>
      <c r="D866" s="77"/>
      <c r="E866" s="83"/>
      <c r="F866" s="88"/>
      <c r="G866" s="29" t="b">
        <v>0</v>
      </c>
      <c r="H866" s="29" t="b">
        <v>0</v>
      </c>
    </row>
    <row r="867">
      <c r="A867" s="37"/>
      <c r="B867" s="38"/>
      <c r="C867" s="39"/>
      <c r="D867" s="77"/>
      <c r="E867" s="83"/>
      <c r="F867" s="88"/>
      <c r="G867" s="29" t="b">
        <v>0</v>
      </c>
      <c r="H867" s="29" t="b">
        <v>0</v>
      </c>
    </row>
    <row r="868">
      <c r="A868" s="37"/>
      <c r="B868" s="38"/>
      <c r="C868" s="39"/>
      <c r="D868" s="77"/>
      <c r="E868" s="83"/>
      <c r="F868" s="88"/>
      <c r="G868" s="29" t="b">
        <v>0</v>
      </c>
      <c r="H868" s="29" t="b">
        <v>0</v>
      </c>
    </row>
    <row r="869">
      <c r="A869" s="37"/>
      <c r="B869" s="38"/>
      <c r="C869" s="39"/>
      <c r="D869" s="77"/>
      <c r="E869" s="83"/>
      <c r="F869" s="88"/>
      <c r="G869" s="29" t="b">
        <v>0</v>
      </c>
      <c r="H869" s="29" t="b">
        <v>0</v>
      </c>
    </row>
    <row r="870">
      <c r="A870" s="37"/>
      <c r="B870" s="38"/>
      <c r="C870" s="39"/>
      <c r="D870" s="77"/>
      <c r="E870" s="83"/>
      <c r="F870" s="88"/>
      <c r="G870" s="29" t="b">
        <v>0</v>
      </c>
      <c r="H870" s="29" t="b">
        <v>0</v>
      </c>
    </row>
    <row r="871">
      <c r="A871" s="37"/>
      <c r="B871" s="38"/>
      <c r="C871" s="39"/>
      <c r="D871" s="77"/>
      <c r="E871" s="83"/>
      <c r="F871" s="88"/>
      <c r="G871" s="29" t="b">
        <v>0</v>
      </c>
      <c r="H871" s="29" t="b">
        <v>0</v>
      </c>
    </row>
    <row r="872">
      <c r="A872" s="37"/>
      <c r="B872" s="38"/>
      <c r="C872" s="39"/>
      <c r="D872" s="77"/>
      <c r="E872" s="83"/>
      <c r="F872" s="88"/>
      <c r="G872" s="29" t="b">
        <v>0</v>
      </c>
      <c r="H872" s="29" t="b">
        <v>0</v>
      </c>
    </row>
    <row r="873">
      <c r="A873" s="37"/>
      <c r="B873" s="38"/>
      <c r="C873" s="39"/>
      <c r="D873" s="77"/>
      <c r="E873" s="83"/>
      <c r="F873" s="88"/>
      <c r="G873" s="29" t="b">
        <v>0</v>
      </c>
      <c r="H873" s="29" t="b">
        <v>0</v>
      </c>
    </row>
    <row r="874">
      <c r="A874" s="37"/>
      <c r="B874" s="38"/>
      <c r="C874" s="39"/>
      <c r="D874" s="77"/>
      <c r="E874" s="83"/>
      <c r="F874" s="88"/>
      <c r="G874" s="29" t="b">
        <v>0</v>
      </c>
      <c r="H874" s="29" t="b">
        <v>0</v>
      </c>
    </row>
    <row r="875">
      <c r="A875" s="37"/>
      <c r="B875" s="38"/>
      <c r="C875" s="39"/>
      <c r="D875" s="40"/>
      <c r="E875" s="83"/>
      <c r="F875" s="88"/>
      <c r="G875" s="29" t="b">
        <v>0</v>
      </c>
      <c r="H875" s="29" t="b">
        <v>0</v>
      </c>
    </row>
    <row r="876">
      <c r="A876" s="37"/>
      <c r="B876" s="38"/>
      <c r="C876" s="39"/>
      <c r="D876" s="40"/>
      <c r="E876" s="83"/>
      <c r="F876" s="88"/>
      <c r="G876" s="29" t="b">
        <v>0</v>
      </c>
      <c r="H876" s="29" t="b">
        <v>0</v>
      </c>
    </row>
    <row r="877">
      <c r="A877" s="37"/>
      <c r="B877" s="38"/>
      <c r="C877" s="39"/>
      <c r="D877" s="40"/>
      <c r="E877" s="83"/>
      <c r="F877" s="88"/>
      <c r="G877" s="29" t="b">
        <v>0</v>
      </c>
      <c r="H877" s="29" t="b">
        <v>0</v>
      </c>
    </row>
    <row r="878">
      <c r="A878" s="37"/>
      <c r="B878" s="38"/>
      <c r="C878" s="39"/>
      <c r="D878" s="40"/>
      <c r="E878" s="83"/>
      <c r="F878" s="88"/>
      <c r="G878" s="29" t="b">
        <v>0</v>
      </c>
      <c r="H878" s="29" t="b">
        <v>0</v>
      </c>
    </row>
    <row r="879">
      <c r="A879" s="37"/>
      <c r="B879" s="38"/>
      <c r="C879" s="39"/>
      <c r="D879" s="40"/>
      <c r="E879" s="83"/>
      <c r="F879" s="88"/>
      <c r="G879" s="29" t="b">
        <v>0</v>
      </c>
      <c r="H879" s="29" t="b">
        <v>0</v>
      </c>
    </row>
    <row r="880">
      <c r="A880" s="37"/>
      <c r="B880" s="38"/>
      <c r="C880" s="39"/>
      <c r="D880" s="40"/>
      <c r="E880" s="83"/>
      <c r="F880" s="88"/>
      <c r="G880" s="29" t="b">
        <v>0</v>
      </c>
      <c r="H880" s="29" t="b">
        <v>0</v>
      </c>
    </row>
    <row r="881">
      <c r="A881" s="37"/>
      <c r="B881" s="38"/>
      <c r="C881" s="39"/>
      <c r="D881" s="40"/>
      <c r="E881" s="83"/>
      <c r="F881" s="88"/>
      <c r="G881" s="29" t="b">
        <v>0</v>
      </c>
      <c r="H881" s="29" t="b">
        <v>0</v>
      </c>
    </row>
    <row r="882">
      <c r="A882" s="37"/>
      <c r="B882" s="38"/>
      <c r="C882" s="39"/>
      <c r="D882" s="40"/>
      <c r="E882" s="83"/>
      <c r="F882" s="88"/>
      <c r="G882" s="29" t="b">
        <v>0</v>
      </c>
      <c r="H882" s="29" t="b">
        <v>0</v>
      </c>
    </row>
    <row r="883">
      <c r="A883" s="37"/>
      <c r="B883" s="38"/>
      <c r="C883" s="39"/>
      <c r="D883" s="40"/>
      <c r="E883" s="83"/>
      <c r="F883" s="88"/>
      <c r="G883" s="29" t="b">
        <v>0</v>
      </c>
      <c r="H883" s="29" t="b">
        <v>0</v>
      </c>
    </row>
    <row r="884">
      <c r="A884" s="37"/>
      <c r="B884" s="38"/>
      <c r="C884" s="39"/>
      <c r="D884" s="40"/>
      <c r="E884" s="83"/>
      <c r="F884" s="88"/>
      <c r="G884" s="29" t="b">
        <v>0</v>
      </c>
      <c r="H884" s="29" t="b">
        <v>0</v>
      </c>
    </row>
    <row r="885">
      <c r="A885" s="37"/>
      <c r="B885" s="38"/>
      <c r="C885" s="39"/>
      <c r="D885" s="40"/>
      <c r="E885" s="83"/>
      <c r="F885" s="88"/>
      <c r="G885" s="29" t="b">
        <v>0</v>
      </c>
      <c r="H885" s="29" t="b">
        <v>0</v>
      </c>
    </row>
    <row r="886">
      <c r="A886" s="37"/>
      <c r="B886" s="38"/>
      <c r="C886" s="39"/>
      <c r="D886" s="40"/>
      <c r="E886" s="83"/>
      <c r="F886" s="88"/>
      <c r="G886" s="29" t="b">
        <v>0</v>
      </c>
      <c r="H886" s="29" t="b">
        <v>0</v>
      </c>
    </row>
    <row r="887">
      <c r="A887" s="37"/>
      <c r="B887" s="38"/>
      <c r="C887" s="39"/>
      <c r="D887" s="40"/>
      <c r="E887" s="83"/>
      <c r="F887" s="88"/>
      <c r="G887" s="29" t="b">
        <v>0</v>
      </c>
      <c r="H887" s="29" t="b">
        <v>0</v>
      </c>
    </row>
    <row r="888">
      <c r="A888" s="37"/>
      <c r="B888" s="38"/>
      <c r="C888" s="39"/>
      <c r="D888" s="40"/>
      <c r="E888" s="83"/>
      <c r="F888" s="88"/>
      <c r="G888" s="29" t="b">
        <v>0</v>
      </c>
      <c r="H888" s="29" t="b">
        <v>0</v>
      </c>
    </row>
    <row r="889">
      <c r="A889" s="37"/>
      <c r="B889" s="38"/>
      <c r="C889" s="39"/>
      <c r="D889" s="40"/>
      <c r="E889" s="83"/>
      <c r="F889" s="88"/>
      <c r="G889" s="29" t="b">
        <v>0</v>
      </c>
      <c r="H889" s="29" t="b">
        <v>0</v>
      </c>
    </row>
    <row r="890">
      <c r="A890" s="37"/>
      <c r="B890" s="38"/>
      <c r="C890" s="39"/>
      <c r="D890" s="40"/>
      <c r="E890" s="83"/>
      <c r="F890" s="88"/>
      <c r="G890" s="29" t="b">
        <v>0</v>
      </c>
      <c r="H890" s="29" t="b">
        <v>0</v>
      </c>
    </row>
    <row r="891">
      <c r="A891" s="37"/>
      <c r="B891" s="38"/>
      <c r="C891" s="39"/>
      <c r="D891" s="40"/>
      <c r="E891" s="83"/>
      <c r="F891" s="88"/>
      <c r="G891" s="29" t="b">
        <v>0</v>
      </c>
      <c r="H891" s="29" t="b">
        <v>0</v>
      </c>
    </row>
    <row r="892">
      <c r="A892" s="37"/>
      <c r="B892" s="38"/>
      <c r="C892" s="39"/>
      <c r="D892" s="40"/>
      <c r="E892" s="83"/>
      <c r="F892" s="88"/>
      <c r="G892" s="29" t="b">
        <v>0</v>
      </c>
      <c r="H892" s="29" t="b">
        <v>0</v>
      </c>
    </row>
    <row r="893">
      <c r="A893" s="37"/>
      <c r="B893" s="38"/>
      <c r="C893" s="39"/>
      <c r="D893" s="40"/>
      <c r="E893" s="83"/>
      <c r="F893" s="88"/>
      <c r="G893" s="29" t="b">
        <v>0</v>
      </c>
      <c r="H893" s="29" t="b">
        <v>0</v>
      </c>
    </row>
    <row r="894">
      <c r="A894" s="37"/>
      <c r="B894" s="38"/>
      <c r="C894" s="39"/>
      <c r="D894" s="40"/>
      <c r="E894" s="83"/>
      <c r="F894" s="88"/>
      <c r="G894" s="29" t="b">
        <v>0</v>
      </c>
      <c r="H894" s="29" t="b">
        <v>0</v>
      </c>
    </row>
    <row r="895">
      <c r="A895" s="37"/>
      <c r="B895" s="38"/>
      <c r="C895" s="39"/>
      <c r="D895" s="40"/>
      <c r="E895" s="83"/>
      <c r="F895" s="88"/>
      <c r="G895" s="29" t="b">
        <v>0</v>
      </c>
      <c r="H895" s="29" t="b">
        <v>0</v>
      </c>
    </row>
    <row r="896">
      <c r="A896" s="37"/>
      <c r="B896" s="38"/>
      <c r="C896" s="39"/>
      <c r="D896" s="40"/>
      <c r="E896" s="83"/>
      <c r="F896" s="88"/>
      <c r="G896" s="29" t="b">
        <v>0</v>
      </c>
      <c r="H896" s="29" t="b">
        <v>0</v>
      </c>
    </row>
    <row r="897">
      <c r="A897" s="37"/>
      <c r="B897" s="38"/>
      <c r="C897" s="39"/>
      <c r="D897" s="40"/>
      <c r="E897" s="83"/>
      <c r="F897" s="88"/>
      <c r="G897" s="29" t="b">
        <v>0</v>
      </c>
      <c r="H897" s="29" t="b">
        <v>0</v>
      </c>
    </row>
    <row r="898">
      <c r="A898" s="37"/>
      <c r="B898" s="38"/>
      <c r="C898" s="271"/>
      <c r="D898" s="40"/>
      <c r="E898" s="83"/>
      <c r="F898" s="88"/>
      <c r="G898" s="29" t="b">
        <v>0</v>
      </c>
      <c r="H898" s="29" t="b">
        <v>0</v>
      </c>
    </row>
    <row r="899">
      <c r="A899" s="37"/>
      <c r="B899" s="38"/>
      <c r="C899" s="39"/>
      <c r="D899" s="40"/>
      <c r="E899" s="83"/>
      <c r="F899" s="88"/>
      <c r="G899" s="29" t="b">
        <v>0</v>
      </c>
      <c r="H899" s="29" t="b">
        <v>0</v>
      </c>
    </row>
    <row r="900">
      <c r="A900" s="37"/>
      <c r="B900" s="38"/>
      <c r="C900" s="39"/>
      <c r="D900" s="40"/>
      <c r="E900" s="83"/>
      <c r="F900" s="88"/>
      <c r="G900" s="29" t="b">
        <v>0</v>
      </c>
      <c r="H900" s="29" t="b">
        <v>0</v>
      </c>
    </row>
    <row r="901">
      <c r="A901" s="37"/>
      <c r="B901" s="38"/>
      <c r="C901" s="39"/>
      <c r="D901" s="40"/>
      <c r="E901" s="83"/>
      <c r="F901" s="88"/>
      <c r="G901" s="29" t="b">
        <v>0</v>
      </c>
      <c r="H901" s="29" t="b">
        <v>0</v>
      </c>
    </row>
    <row r="902">
      <c r="A902" s="37"/>
      <c r="B902" s="38"/>
      <c r="C902" s="39"/>
      <c r="D902" s="40"/>
      <c r="E902" s="83"/>
      <c r="F902" s="88"/>
      <c r="G902" s="29" t="b">
        <v>0</v>
      </c>
      <c r="H902" s="29" t="b">
        <v>0</v>
      </c>
    </row>
    <row r="903">
      <c r="A903" s="37"/>
      <c r="B903" s="38"/>
      <c r="C903" s="39"/>
      <c r="D903" s="40"/>
      <c r="E903" s="83"/>
      <c r="F903" s="88"/>
      <c r="G903" s="29" t="b">
        <v>0</v>
      </c>
      <c r="H903" s="29" t="b">
        <v>0</v>
      </c>
    </row>
    <row r="904">
      <c r="A904" s="37"/>
      <c r="B904" s="38"/>
      <c r="C904" s="39"/>
      <c r="D904" s="40"/>
      <c r="E904" s="83"/>
      <c r="F904" s="88"/>
      <c r="G904" s="29" t="b">
        <v>0</v>
      </c>
      <c r="H904" s="29" t="b">
        <v>0</v>
      </c>
    </row>
    <row r="905">
      <c r="A905" s="37"/>
      <c r="B905" s="38"/>
      <c r="C905" s="39"/>
      <c r="D905" s="40"/>
      <c r="E905" s="83"/>
      <c r="F905" s="88"/>
      <c r="G905" s="29" t="b">
        <v>0</v>
      </c>
      <c r="H905" s="29" t="b">
        <v>0</v>
      </c>
    </row>
    <row r="906">
      <c r="A906" s="37"/>
      <c r="B906" s="38"/>
      <c r="C906" s="39"/>
      <c r="D906" s="40"/>
      <c r="E906" s="83"/>
      <c r="F906" s="88"/>
      <c r="G906" s="29" t="b">
        <v>0</v>
      </c>
      <c r="H906" s="29" t="b">
        <v>0</v>
      </c>
    </row>
    <row r="907">
      <c r="A907" s="37"/>
      <c r="B907" s="38"/>
      <c r="C907" s="39"/>
      <c r="D907" s="40"/>
      <c r="E907" s="83"/>
      <c r="F907" s="88"/>
      <c r="G907" s="29" t="b">
        <v>0</v>
      </c>
      <c r="H907" s="29" t="b">
        <v>0</v>
      </c>
    </row>
    <row r="908">
      <c r="A908" s="37"/>
      <c r="B908" s="38"/>
      <c r="C908" s="39"/>
      <c r="D908" s="40"/>
      <c r="E908" s="83"/>
      <c r="F908" s="88"/>
      <c r="G908" s="29" t="b">
        <v>0</v>
      </c>
      <c r="H908" s="29" t="b">
        <v>0</v>
      </c>
    </row>
    <row r="909">
      <c r="A909" s="37"/>
      <c r="B909" s="38"/>
      <c r="C909" s="39"/>
      <c r="D909" s="40"/>
      <c r="E909" s="83"/>
      <c r="F909" s="88"/>
      <c r="G909" s="29" t="b">
        <v>0</v>
      </c>
      <c r="H909" s="29" t="b">
        <v>0</v>
      </c>
    </row>
    <row r="910">
      <c r="A910" s="37"/>
      <c r="B910" s="38"/>
      <c r="C910" s="39"/>
      <c r="D910" s="40"/>
      <c r="E910" s="83"/>
      <c r="F910" s="88"/>
      <c r="G910" s="29" t="b">
        <v>0</v>
      </c>
      <c r="H910" s="29" t="b">
        <v>0</v>
      </c>
    </row>
    <row r="911">
      <c r="A911" s="37"/>
      <c r="B911" s="38"/>
      <c r="C911" s="253"/>
      <c r="D911" s="40"/>
      <c r="E911" s="145"/>
      <c r="F911" s="88"/>
      <c r="G911" s="29" t="b">
        <v>0</v>
      </c>
      <c r="H911" s="29" t="b">
        <v>0</v>
      </c>
    </row>
    <row r="912">
      <c r="A912" s="37"/>
      <c r="B912" s="38"/>
      <c r="C912" s="39"/>
      <c r="D912" s="40"/>
      <c r="E912" s="83"/>
      <c r="F912" s="88"/>
      <c r="G912" s="29" t="b">
        <v>0</v>
      </c>
      <c r="H912" s="29" t="b">
        <v>0</v>
      </c>
    </row>
    <row r="913">
      <c r="A913" s="37"/>
      <c r="B913" s="38"/>
      <c r="C913" s="39"/>
      <c r="D913" s="40"/>
      <c r="E913" s="83"/>
      <c r="F913" s="88"/>
      <c r="G913" s="29" t="b">
        <v>0</v>
      </c>
      <c r="H913" s="29" t="b">
        <v>0</v>
      </c>
    </row>
    <row r="914">
      <c r="A914" s="37"/>
      <c r="B914" s="38"/>
      <c r="C914" s="39"/>
      <c r="D914" s="40"/>
      <c r="E914" s="83"/>
      <c r="F914" s="88"/>
      <c r="G914" s="29" t="b">
        <v>0</v>
      </c>
      <c r="H914" s="29" t="b">
        <v>0</v>
      </c>
    </row>
    <row r="915">
      <c r="A915" s="37"/>
      <c r="B915" s="38"/>
      <c r="C915" s="39"/>
      <c r="D915" s="40"/>
      <c r="E915" s="83"/>
      <c r="F915" s="88"/>
      <c r="G915" s="29" t="b">
        <v>0</v>
      </c>
      <c r="H915" s="29" t="b">
        <v>0</v>
      </c>
    </row>
    <row r="916">
      <c r="A916" s="37"/>
      <c r="B916" s="38"/>
      <c r="C916" s="39"/>
      <c r="D916" s="40"/>
      <c r="E916" s="83"/>
      <c r="F916" s="88"/>
      <c r="G916" s="29" t="b">
        <v>0</v>
      </c>
      <c r="H916" s="29" t="b">
        <v>0</v>
      </c>
    </row>
    <row r="917">
      <c r="A917" s="37"/>
      <c r="B917" s="38"/>
      <c r="C917" s="39"/>
      <c r="D917" s="40"/>
      <c r="E917" s="83"/>
      <c r="F917" s="88"/>
      <c r="G917" s="29" t="b">
        <v>0</v>
      </c>
      <c r="H917" s="29" t="b">
        <v>0</v>
      </c>
    </row>
    <row r="918">
      <c r="A918" s="37"/>
      <c r="B918" s="38"/>
      <c r="C918" s="39"/>
      <c r="D918" s="40"/>
      <c r="E918" s="83"/>
      <c r="F918" s="88"/>
      <c r="G918" s="29" t="b">
        <v>0</v>
      </c>
      <c r="H918" s="29" t="b">
        <v>0</v>
      </c>
    </row>
    <row r="919">
      <c r="A919" s="37"/>
      <c r="B919" s="38"/>
      <c r="C919" s="39"/>
      <c r="D919" s="40"/>
      <c r="E919" s="83"/>
      <c r="F919" s="88"/>
      <c r="G919" s="29" t="b">
        <v>0</v>
      </c>
      <c r="H919" s="29" t="b">
        <v>0</v>
      </c>
    </row>
    <row r="920">
      <c r="A920" s="37"/>
      <c r="B920" s="38"/>
      <c r="C920" s="39"/>
      <c r="D920" s="40"/>
      <c r="E920" s="83"/>
      <c r="F920" s="88"/>
      <c r="G920" s="29" t="b">
        <v>0</v>
      </c>
      <c r="H920" s="29" t="b">
        <v>0</v>
      </c>
    </row>
    <row r="921">
      <c r="A921" s="37"/>
      <c r="B921" s="38"/>
      <c r="C921" s="39"/>
      <c r="D921" s="40"/>
      <c r="E921" s="83"/>
      <c r="F921" s="88"/>
      <c r="G921" s="29" t="b">
        <v>0</v>
      </c>
      <c r="H921" s="29" t="b">
        <v>0</v>
      </c>
    </row>
    <row r="922">
      <c r="A922" s="37"/>
      <c r="B922" s="38"/>
      <c r="C922" s="39"/>
      <c r="D922" s="40"/>
      <c r="E922" s="83"/>
      <c r="F922" s="88"/>
      <c r="G922" s="29" t="b">
        <v>0</v>
      </c>
      <c r="H922" s="29" t="b">
        <v>0</v>
      </c>
    </row>
    <row r="923">
      <c r="A923" s="37"/>
      <c r="B923" s="38"/>
      <c r="C923" s="39"/>
      <c r="D923" s="40"/>
      <c r="E923" s="83"/>
      <c r="F923" s="88"/>
      <c r="G923" s="29" t="b">
        <v>0</v>
      </c>
      <c r="H923" s="29" t="b">
        <v>0</v>
      </c>
    </row>
    <row r="924">
      <c r="A924" s="37"/>
      <c r="B924" s="38"/>
      <c r="C924" s="39"/>
      <c r="D924" s="40"/>
      <c r="E924" s="83"/>
      <c r="F924" s="88"/>
      <c r="G924" s="29" t="b">
        <v>0</v>
      </c>
      <c r="H924" s="29" t="b">
        <v>0</v>
      </c>
    </row>
    <row r="925">
      <c r="A925" s="37"/>
      <c r="B925" s="38"/>
      <c r="C925" s="39"/>
      <c r="D925" s="40"/>
      <c r="E925" s="83"/>
      <c r="F925" s="88"/>
      <c r="G925" s="29" t="b">
        <v>0</v>
      </c>
      <c r="H925" s="29" t="b">
        <v>0</v>
      </c>
    </row>
    <row r="926">
      <c r="A926" s="37"/>
      <c r="B926" s="38"/>
      <c r="C926" s="39"/>
      <c r="D926" s="40"/>
      <c r="E926" s="83"/>
      <c r="F926" s="88"/>
      <c r="G926" s="29" t="b">
        <v>0</v>
      </c>
      <c r="H926" s="29" t="b">
        <v>0</v>
      </c>
    </row>
    <row r="927">
      <c r="A927" s="37"/>
      <c r="B927" s="38"/>
      <c r="C927" s="39"/>
      <c r="D927" s="40"/>
      <c r="E927" s="83"/>
      <c r="F927" s="88"/>
      <c r="G927" s="29" t="b">
        <v>0</v>
      </c>
      <c r="H927" s="29" t="b">
        <v>0</v>
      </c>
    </row>
    <row r="928">
      <c r="A928" s="37"/>
      <c r="B928" s="38"/>
      <c r="C928" s="39"/>
      <c r="D928" s="40"/>
      <c r="E928" s="83"/>
      <c r="F928" s="88"/>
      <c r="G928" s="29" t="b">
        <v>0</v>
      </c>
      <c r="H928" s="29" t="b">
        <v>0</v>
      </c>
    </row>
    <row r="929">
      <c r="A929" s="37"/>
      <c r="B929" s="38"/>
      <c r="C929" s="39"/>
      <c r="D929" s="40"/>
      <c r="E929" s="83"/>
      <c r="F929" s="88"/>
      <c r="G929" s="29" t="b">
        <v>0</v>
      </c>
      <c r="H929" s="29" t="b">
        <v>0</v>
      </c>
    </row>
    <row r="930">
      <c r="A930" s="37"/>
      <c r="B930" s="38"/>
      <c r="C930" s="39"/>
      <c r="D930" s="40"/>
      <c r="E930" s="83"/>
      <c r="F930" s="88"/>
      <c r="G930" s="29" t="b">
        <v>0</v>
      </c>
      <c r="H930" s="29" t="b">
        <v>0</v>
      </c>
    </row>
    <row r="931">
      <c r="A931" s="37"/>
      <c r="B931" s="38"/>
      <c r="C931" s="39"/>
      <c r="D931" s="40"/>
      <c r="E931" s="83"/>
      <c r="F931" s="88"/>
      <c r="G931" s="29" t="b">
        <v>0</v>
      </c>
      <c r="H931" s="29" t="b">
        <v>0</v>
      </c>
    </row>
    <row r="932">
      <c r="A932" s="37"/>
      <c r="B932" s="38"/>
      <c r="C932" s="39"/>
      <c r="D932" s="40"/>
      <c r="E932" s="83"/>
      <c r="F932" s="88"/>
      <c r="G932" s="29" t="b">
        <v>0</v>
      </c>
      <c r="H932" s="29" t="b">
        <v>0</v>
      </c>
    </row>
    <row r="933">
      <c r="A933" s="37"/>
      <c r="B933" s="38"/>
      <c r="C933" s="39"/>
      <c r="D933" s="40"/>
      <c r="E933" s="83"/>
      <c r="F933" s="88"/>
      <c r="G933" s="29" t="b">
        <v>0</v>
      </c>
      <c r="H933" s="29" t="b">
        <v>0</v>
      </c>
    </row>
    <row r="934">
      <c r="A934" s="37"/>
      <c r="B934" s="38"/>
      <c r="C934" s="39"/>
      <c r="D934" s="40"/>
      <c r="E934" s="83"/>
      <c r="F934" s="88"/>
      <c r="G934" s="29" t="b">
        <v>0</v>
      </c>
      <c r="H934" s="29" t="b">
        <v>0</v>
      </c>
    </row>
    <row r="935">
      <c r="A935" s="37"/>
      <c r="B935" s="38"/>
      <c r="C935" s="39"/>
      <c r="D935" s="40"/>
      <c r="E935" s="83"/>
      <c r="F935" s="88"/>
      <c r="G935" s="29" t="b">
        <v>0</v>
      </c>
      <c r="H935" s="29" t="b">
        <v>0</v>
      </c>
    </row>
    <row r="936">
      <c r="A936" s="37"/>
      <c r="B936" s="38"/>
      <c r="C936" s="39"/>
      <c r="D936" s="40"/>
      <c r="E936" s="83"/>
      <c r="F936" s="88"/>
      <c r="G936" s="29" t="b">
        <v>0</v>
      </c>
      <c r="H936" s="29" t="b">
        <v>0</v>
      </c>
    </row>
    <row r="937">
      <c r="A937" s="37"/>
      <c r="B937" s="38"/>
      <c r="C937" s="39"/>
      <c r="D937" s="40"/>
      <c r="E937" s="83"/>
      <c r="F937" s="88"/>
      <c r="G937" s="29" t="b">
        <v>0</v>
      </c>
      <c r="H937" s="29" t="b">
        <v>0</v>
      </c>
    </row>
    <row r="938">
      <c r="A938" s="37"/>
      <c r="B938" s="38"/>
      <c r="C938" s="39"/>
      <c r="D938" s="40"/>
      <c r="E938" s="83"/>
      <c r="F938" s="88"/>
      <c r="G938" s="29" t="b">
        <v>0</v>
      </c>
      <c r="H938" s="29" t="b">
        <v>0</v>
      </c>
    </row>
    <row r="939">
      <c r="A939" s="37"/>
      <c r="B939" s="38"/>
      <c r="C939" s="39"/>
      <c r="D939" s="40"/>
      <c r="E939" s="83"/>
      <c r="F939" s="88"/>
      <c r="G939" s="29" t="b">
        <v>0</v>
      </c>
      <c r="H939" s="29" t="b">
        <v>0</v>
      </c>
    </row>
    <row r="940">
      <c r="A940" s="37"/>
      <c r="B940" s="38"/>
      <c r="C940" s="39"/>
      <c r="D940" s="40"/>
      <c r="E940" s="83"/>
      <c r="F940" s="88"/>
      <c r="G940" s="29" t="b">
        <v>0</v>
      </c>
      <c r="H940" s="29" t="b">
        <v>0</v>
      </c>
    </row>
    <row r="941">
      <c r="A941" s="37"/>
      <c r="B941" s="38"/>
      <c r="C941" s="39"/>
      <c r="D941" s="40"/>
      <c r="E941" s="83"/>
      <c r="F941" s="88"/>
      <c r="G941" s="29" t="b">
        <v>0</v>
      </c>
      <c r="H941" s="29" t="b">
        <v>0</v>
      </c>
    </row>
    <row r="942">
      <c r="A942" s="37"/>
      <c r="B942" s="38"/>
      <c r="C942" s="39"/>
      <c r="D942" s="40"/>
      <c r="E942" s="83"/>
      <c r="F942" s="88"/>
      <c r="G942" s="29" t="b">
        <v>0</v>
      </c>
      <c r="H942" s="29" t="b">
        <v>0</v>
      </c>
    </row>
    <row r="943">
      <c r="A943" s="37"/>
      <c r="B943" s="38"/>
      <c r="C943" s="39"/>
      <c r="D943" s="40"/>
      <c r="E943" s="83"/>
      <c r="F943" s="88"/>
      <c r="G943" s="29" t="b">
        <v>0</v>
      </c>
      <c r="H943" s="29" t="b">
        <v>0</v>
      </c>
    </row>
    <row r="944">
      <c r="A944" s="37"/>
      <c r="B944" s="38"/>
      <c r="C944" s="39"/>
      <c r="D944" s="40"/>
      <c r="E944" s="83"/>
      <c r="F944" s="88"/>
      <c r="G944" s="29" t="b">
        <v>0</v>
      </c>
      <c r="H944" s="29" t="b">
        <v>0</v>
      </c>
    </row>
    <row r="945">
      <c r="A945" s="37"/>
      <c r="B945" s="38"/>
      <c r="C945" s="39"/>
      <c r="D945" s="40"/>
      <c r="E945" s="83"/>
      <c r="F945" s="88"/>
      <c r="G945" s="29" t="b">
        <v>0</v>
      </c>
      <c r="H945" s="29" t="b">
        <v>0</v>
      </c>
    </row>
    <row r="946">
      <c r="A946" s="37"/>
      <c r="B946" s="38"/>
      <c r="C946" s="39"/>
      <c r="D946" s="40"/>
      <c r="E946" s="83"/>
      <c r="F946" s="88"/>
      <c r="G946" s="29" t="b">
        <v>0</v>
      </c>
      <c r="H946" s="29" t="b">
        <v>0</v>
      </c>
    </row>
    <row r="947">
      <c r="A947" s="37"/>
      <c r="B947" s="38"/>
      <c r="C947" s="39"/>
      <c r="D947" s="40"/>
      <c r="E947" s="83"/>
      <c r="F947" s="88"/>
      <c r="G947" s="29" t="b">
        <v>0</v>
      </c>
      <c r="H947" s="29" t="b">
        <v>0</v>
      </c>
    </row>
    <row r="948">
      <c r="A948" s="37"/>
      <c r="B948" s="38"/>
      <c r="C948" s="39"/>
      <c r="D948" s="40"/>
      <c r="E948" s="83"/>
      <c r="F948" s="88"/>
      <c r="G948" s="29" t="b">
        <v>0</v>
      </c>
      <c r="H948" s="29" t="b">
        <v>0</v>
      </c>
    </row>
    <row r="949">
      <c r="A949" s="37"/>
      <c r="B949" s="38"/>
      <c r="C949" s="39"/>
      <c r="D949" s="40"/>
      <c r="E949" s="83"/>
      <c r="F949" s="88"/>
      <c r="G949" s="29" t="b">
        <v>0</v>
      </c>
      <c r="H949" s="29" t="b">
        <v>0</v>
      </c>
    </row>
    <row r="950">
      <c r="A950" s="37"/>
      <c r="B950" s="38"/>
      <c r="C950" s="39"/>
      <c r="D950" s="40"/>
      <c r="E950" s="83"/>
      <c r="F950" s="88"/>
      <c r="G950" s="29" t="b">
        <v>0</v>
      </c>
      <c r="H950" s="29" t="b">
        <v>0</v>
      </c>
    </row>
    <row r="951">
      <c r="A951" s="37"/>
      <c r="B951" s="38"/>
      <c r="C951" s="39"/>
      <c r="D951" s="40"/>
      <c r="E951" s="83"/>
      <c r="F951" s="88"/>
      <c r="G951" s="29" t="b">
        <v>0</v>
      </c>
      <c r="H951" s="29" t="b">
        <v>0</v>
      </c>
    </row>
    <row r="952">
      <c r="A952" s="37"/>
      <c r="B952" s="38"/>
      <c r="C952" s="39"/>
      <c r="D952" s="40"/>
      <c r="E952" s="83"/>
      <c r="F952" s="88"/>
      <c r="G952" s="29" t="b">
        <v>0</v>
      </c>
      <c r="H952" s="29" t="b">
        <v>0</v>
      </c>
    </row>
    <row r="953">
      <c r="A953" s="37"/>
      <c r="B953" s="38"/>
      <c r="C953" s="39"/>
      <c r="D953" s="40"/>
      <c r="E953" s="83"/>
      <c r="F953" s="88"/>
      <c r="G953" s="29" t="b">
        <v>0</v>
      </c>
      <c r="H953" s="29" t="b">
        <v>0</v>
      </c>
    </row>
    <row r="954">
      <c r="A954" s="37"/>
      <c r="B954" s="38"/>
      <c r="C954" s="39"/>
      <c r="D954" s="40"/>
      <c r="E954" s="83"/>
      <c r="F954" s="88"/>
      <c r="G954" s="29" t="b">
        <v>0</v>
      </c>
      <c r="H954" s="29" t="b">
        <v>0</v>
      </c>
    </row>
    <row r="955">
      <c r="A955" s="37"/>
      <c r="B955" s="38"/>
      <c r="C955" s="39"/>
      <c r="D955" s="40"/>
      <c r="E955" s="83"/>
      <c r="F955" s="262"/>
      <c r="G955" s="29" t="b">
        <v>0</v>
      </c>
      <c r="H955" s="29" t="b">
        <v>0</v>
      </c>
    </row>
    <row r="956">
      <c r="A956" s="37"/>
      <c r="B956" s="38"/>
      <c r="C956" s="39"/>
      <c r="D956" s="40"/>
      <c r="E956" s="83"/>
      <c r="F956" s="262"/>
      <c r="G956" s="29" t="b">
        <v>0</v>
      </c>
      <c r="H956" s="29" t="b">
        <v>0</v>
      </c>
    </row>
    <row r="957">
      <c r="A957" s="37"/>
      <c r="B957" s="38"/>
      <c r="C957" s="39"/>
      <c r="D957" s="40"/>
      <c r="E957" s="83"/>
      <c r="F957" s="256"/>
      <c r="G957" s="29" t="b">
        <v>0</v>
      </c>
      <c r="H957" s="29" t="b">
        <v>0</v>
      </c>
    </row>
    <row r="958">
      <c r="A958" s="37"/>
      <c r="B958" s="38"/>
      <c r="C958" s="39"/>
      <c r="D958" s="40"/>
      <c r="E958" s="83"/>
      <c r="F958" s="88"/>
      <c r="G958" s="29" t="b">
        <v>0</v>
      </c>
      <c r="H958" s="29" t="b">
        <v>0</v>
      </c>
    </row>
    <row r="959">
      <c r="A959" s="37"/>
      <c r="B959" s="38"/>
      <c r="C959" s="39"/>
      <c r="D959" s="40"/>
      <c r="E959" s="83"/>
      <c r="F959" s="88"/>
      <c r="G959" s="29" t="b">
        <v>0</v>
      </c>
      <c r="H959" s="29" t="b">
        <v>0</v>
      </c>
    </row>
    <row r="960">
      <c r="A960" s="37"/>
      <c r="B960" s="38"/>
      <c r="C960" s="253"/>
      <c r="D960" s="254"/>
      <c r="E960" s="145"/>
      <c r="F960" s="259"/>
      <c r="G960" s="29" t="b">
        <v>0</v>
      </c>
      <c r="H960" s="29" t="b">
        <v>0</v>
      </c>
    </row>
    <row r="961">
      <c r="A961" s="37"/>
      <c r="B961" s="38"/>
      <c r="C961" s="39"/>
      <c r="D961" s="40"/>
      <c r="E961" s="83"/>
      <c r="F961" s="88"/>
      <c r="G961" s="29" t="b">
        <v>0</v>
      </c>
      <c r="H961" s="29" t="b">
        <v>0</v>
      </c>
    </row>
    <row r="962">
      <c r="A962" s="37"/>
      <c r="B962" s="38"/>
      <c r="C962" s="39"/>
      <c r="D962" s="40"/>
      <c r="E962" s="83"/>
      <c r="F962" s="88"/>
      <c r="G962" s="29" t="b">
        <v>0</v>
      </c>
      <c r="H962" s="29" t="b">
        <v>0</v>
      </c>
    </row>
    <row r="963">
      <c r="A963" s="37"/>
      <c r="B963" s="38"/>
      <c r="C963" s="39"/>
      <c r="D963" s="40"/>
      <c r="E963" s="83"/>
      <c r="F963" s="88"/>
      <c r="G963" s="29" t="b">
        <v>0</v>
      </c>
      <c r="H963" s="29" t="b">
        <v>0</v>
      </c>
    </row>
    <row r="964">
      <c r="A964" s="37"/>
      <c r="B964" s="38"/>
      <c r="C964" s="39"/>
      <c r="D964" s="40"/>
      <c r="E964" s="83"/>
      <c r="F964" s="88"/>
      <c r="G964" s="29" t="b">
        <v>0</v>
      </c>
      <c r="H964" s="29" t="b">
        <v>0</v>
      </c>
    </row>
    <row r="965">
      <c r="A965" s="37"/>
      <c r="B965" s="38"/>
      <c r="C965" s="39"/>
      <c r="D965" s="40"/>
      <c r="E965" s="83"/>
      <c r="F965" s="88"/>
      <c r="G965" s="29" t="b">
        <v>0</v>
      </c>
      <c r="H965" s="29" t="b">
        <v>0</v>
      </c>
    </row>
    <row r="966">
      <c r="A966" s="37"/>
      <c r="B966" s="38"/>
      <c r="C966" s="39"/>
      <c r="D966" s="40"/>
      <c r="E966" s="83"/>
      <c r="F966" s="88"/>
      <c r="G966" s="29" t="b">
        <v>0</v>
      </c>
      <c r="H966" s="29" t="b">
        <v>0</v>
      </c>
    </row>
    <row r="967">
      <c r="A967" s="37"/>
      <c r="B967" s="38"/>
      <c r="C967" s="77"/>
      <c r="D967" s="40"/>
      <c r="E967" s="83"/>
      <c r="F967" s="88"/>
      <c r="G967" s="29" t="b">
        <v>0</v>
      </c>
      <c r="H967" s="29" t="b">
        <v>0</v>
      </c>
    </row>
    <row r="968">
      <c r="A968" s="37"/>
      <c r="B968" s="38"/>
      <c r="C968" s="77"/>
      <c r="D968" s="40"/>
      <c r="E968" s="83"/>
      <c r="F968" s="88"/>
      <c r="G968" s="29" t="b">
        <v>0</v>
      </c>
      <c r="H968" s="29" t="b">
        <v>0</v>
      </c>
    </row>
    <row r="969">
      <c r="A969" s="37"/>
      <c r="B969" s="38"/>
      <c r="C969" s="77"/>
      <c r="D969" s="40"/>
      <c r="E969" s="83"/>
      <c r="F969" s="88"/>
      <c r="G969" s="29" t="b">
        <v>0</v>
      </c>
      <c r="H969" s="29" t="b">
        <v>0</v>
      </c>
    </row>
    <row r="970">
      <c r="A970" s="37"/>
      <c r="B970" s="38"/>
      <c r="C970" s="77"/>
      <c r="D970" s="40"/>
      <c r="E970" s="269"/>
      <c r="F970" s="88"/>
      <c r="G970" s="29" t="b">
        <v>0</v>
      </c>
      <c r="H970" s="29" t="b">
        <v>0</v>
      </c>
    </row>
    <row r="971">
      <c r="A971" s="37"/>
      <c r="B971" s="38"/>
      <c r="C971" s="77"/>
      <c r="D971" s="40"/>
      <c r="E971" s="269"/>
      <c r="F971" s="88"/>
      <c r="G971" s="29" t="b">
        <v>0</v>
      </c>
      <c r="H971" s="29" t="b">
        <v>0</v>
      </c>
    </row>
    <row r="972">
      <c r="A972" s="37"/>
      <c r="B972" s="38"/>
      <c r="C972" s="77"/>
      <c r="D972" s="40"/>
      <c r="E972" s="269"/>
      <c r="F972" s="88"/>
      <c r="G972" s="29" t="b">
        <v>0</v>
      </c>
      <c r="H972" s="29" t="b">
        <v>0</v>
      </c>
    </row>
    <row r="973">
      <c r="A973" s="37"/>
      <c r="B973" s="38"/>
      <c r="C973" s="77"/>
      <c r="D973" s="40"/>
      <c r="E973" s="83"/>
      <c r="F973" s="88"/>
      <c r="G973" s="29" t="b">
        <v>0</v>
      </c>
      <c r="H973" s="29" t="b">
        <v>0</v>
      </c>
    </row>
    <row r="974">
      <c r="A974" s="37"/>
      <c r="B974" s="38"/>
      <c r="C974" s="77"/>
      <c r="D974" s="40"/>
      <c r="E974" s="83"/>
      <c r="F974" s="88"/>
      <c r="G974" s="29" t="b">
        <v>0</v>
      </c>
      <c r="H974" s="29" t="b">
        <v>0</v>
      </c>
    </row>
    <row r="975">
      <c r="A975" s="37"/>
      <c r="B975" s="38"/>
      <c r="C975" s="77"/>
      <c r="D975" s="40"/>
      <c r="E975" s="262"/>
      <c r="F975" s="88"/>
      <c r="G975" s="29" t="b">
        <v>0</v>
      </c>
      <c r="H975" s="29" t="b">
        <v>0</v>
      </c>
    </row>
    <row r="976">
      <c r="A976" s="37"/>
      <c r="B976" s="38"/>
      <c r="C976" s="77"/>
      <c r="D976" s="40"/>
      <c r="E976" s="269"/>
      <c r="F976" s="88"/>
      <c r="G976" s="29" t="b">
        <v>0</v>
      </c>
      <c r="H976" s="29" t="b">
        <v>0</v>
      </c>
    </row>
    <row r="977">
      <c r="A977" s="37"/>
      <c r="B977" s="38"/>
      <c r="C977" s="77"/>
      <c r="D977" s="40"/>
      <c r="E977" s="269"/>
      <c r="F977" s="88"/>
      <c r="G977" s="29" t="b">
        <v>0</v>
      </c>
      <c r="H977" s="29" t="b">
        <v>0</v>
      </c>
    </row>
    <row r="978">
      <c r="A978" s="37"/>
      <c r="B978" s="38"/>
      <c r="C978" s="77"/>
      <c r="D978" s="40"/>
      <c r="E978" s="83"/>
      <c r="F978" s="88"/>
      <c r="G978" s="29" t="b">
        <v>0</v>
      </c>
      <c r="H978" s="29" t="b">
        <v>0</v>
      </c>
    </row>
    <row r="979">
      <c r="A979" s="37"/>
      <c r="B979" s="38"/>
      <c r="C979" s="77"/>
      <c r="D979" s="40"/>
      <c r="E979" s="83"/>
      <c r="F979" s="88"/>
      <c r="G979" s="29" t="b">
        <v>0</v>
      </c>
      <c r="H979" s="29" t="b">
        <v>0</v>
      </c>
    </row>
    <row r="980">
      <c r="A980" s="37"/>
      <c r="B980" s="38"/>
      <c r="C980" s="77"/>
      <c r="D980" s="40"/>
      <c r="E980" s="83"/>
      <c r="F980" s="88"/>
      <c r="G980" s="29" t="b">
        <v>0</v>
      </c>
      <c r="H980" s="29" t="b">
        <v>0</v>
      </c>
    </row>
    <row r="981">
      <c r="A981" s="37"/>
      <c r="B981" s="38"/>
      <c r="C981" s="77"/>
      <c r="D981" s="40"/>
      <c r="E981" s="83"/>
      <c r="F981" s="88"/>
      <c r="G981" s="29" t="b">
        <v>0</v>
      </c>
      <c r="H981" s="29" t="b">
        <v>0</v>
      </c>
    </row>
    <row r="982">
      <c r="A982" s="37"/>
      <c r="B982" s="38"/>
      <c r="C982" s="77"/>
      <c r="D982" s="40"/>
      <c r="E982" s="83"/>
      <c r="F982" s="88"/>
      <c r="G982" s="29" t="b">
        <v>0</v>
      </c>
      <c r="H982" s="29" t="b">
        <v>0</v>
      </c>
    </row>
    <row r="983">
      <c r="A983" s="37"/>
      <c r="B983" s="38"/>
      <c r="C983" s="77"/>
      <c r="D983" s="40"/>
      <c r="E983" s="83"/>
      <c r="F983" s="88"/>
      <c r="G983" s="29" t="b">
        <v>0</v>
      </c>
      <c r="H983" s="29" t="b">
        <v>0</v>
      </c>
    </row>
    <row r="984">
      <c r="A984" s="37"/>
      <c r="B984" s="38"/>
      <c r="C984" s="77"/>
      <c r="D984" s="40"/>
      <c r="E984" s="83"/>
      <c r="F984" s="88"/>
      <c r="G984" s="29" t="b">
        <v>0</v>
      </c>
      <c r="H984" s="29" t="b">
        <v>0</v>
      </c>
    </row>
    <row r="985">
      <c r="A985" s="37"/>
      <c r="B985" s="38"/>
      <c r="C985" s="77"/>
      <c r="D985" s="40"/>
      <c r="E985" s="83"/>
      <c r="F985" s="88"/>
      <c r="G985" s="29" t="b">
        <v>0</v>
      </c>
      <c r="H985" s="29" t="b">
        <v>0</v>
      </c>
    </row>
    <row r="986">
      <c r="A986" s="37"/>
      <c r="B986" s="38"/>
      <c r="C986" s="77"/>
      <c r="D986" s="40"/>
      <c r="E986" s="83"/>
      <c r="F986" s="88"/>
      <c r="G986" s="29" t="b">
        <v>0</v>
      </c>
      <c r="H986" s="29" t="b">
        <v>0</v>
      </c>
    </row>
    <row r="987">
      <c r="A987" s="37"/>
      <c r="B987" s="38"/>
      <c r="C987" s="77"/>
      <c r="D987" s="40"/>
      <c r="E987" s="83"/>
      <c r="F987" s="88"/>
      <c r="G987" s="29" t="b">
        <v>0</v>
      </c>
      <c r="H987" s="29" t="b">
        <v>0</v>
      </c>
    </row>
    <row r="988">
      <c r="A988" s="37"/>
      <c r="B988" s="38"/>
      <c r="C988" s="77"/>
      <c r="D988" s="40"/>
      <c r="E988" s="83"/>
      <c r="F988" s="88"/>
      <c r="G988" s="29" t="b">
        <v>0</v>
      </c>
      <c r="H988" s="29" t="b">
        <v>0</v>
      </c>
    </row>
    <row r="989">
      <c r="A989" s="37"/>
      <c r="B989" s="38"/>
      <c r="C989" s="271"/>
      <c r="D989" s="40"/>
      <c r="E989" s="83"/>
      <c r="F989" s="88"/>
      <c r="G989" s="29" t="b">
        <v>0</v>
      </c>
      <c r="H989" s="29" t="b">
        <v>0</v>
      </c>
    </row>
    <row r="990">
      <c r="A990" s="37"/>
      <c r="B990" s="38"/>
      <c r="C990" s="271"/>
      <c r="D990" s="262"/>
      <c r="E990" s="83"/>
      <c r="F990" s="88"/>
      <c r="G990" s="29" t="b">
        <v>0</v>
      </c>
      <c r="H990" s="29" t="b">
        <v>0</v>
      </c>
    </row>
    <row r="991">
      <c r="A991" s="37"/>
      <c r="B991" s="38"/>
      <c r="C991" s="271"/>
      <c r="D991" s="40"/>
      <c r="E991" s="269"/>
      <c r="F991" s="88"/>
      <c r="G991" s="29" t="b">
        <v>0</v>
      </c>
      <c r="H991" s="29" t="b">
        <v>0</v>
      </c>
    </row>
    <row r="992">
      <c r="A992" s="37"/>
      <c r="B992" s="38"/>
      <c r="C992" s="271"/>
      <c r="D992" s="40"/>
      <c r="E992" s="262"/>
      <c r="F992" s="88"/>
      <c r="G992" s="29" t="b">
        <v>0</v>
      </c>
      <c r="H992" s="29" t="b">
        <v>0</v>
      </c>
    </row>
    <row r="993">
      <c r="A993" s="37"/>
      <c r="B993" s="38"/>
      <c r="C993" s="271"/>
      <c r="D993" s="40"/>
      <c r="E993" s="83"/>
      <c r="F993" s="88"/>
      <c r="G993" s="29" t="b">
        <v>0</v>
      </c>
      <c r="H993" s="29" t="b">
        <v>0</v>
      </c>
    </row>
    <row r="994">
      <c r="A994" s="37"/>
      <c r="B994" s="38"/>
      <c r="C994" s="77"/>
      <c r="D994" s="40"/>
      <c r="E994" s="83"/>
      <c r="F994" s="88"/>
      <c r="G994" s="29" t="b">
        <v>0</v>
      </c>
      <c r="H994" s="29" t="b">
        <v>0</v>
      </c>
    </row>
    <row r="995">
      <c r="A995" s="37"/>
      <c r="B995" s="38"/>
      <c r="C995" s="77"/>
      <c r="D995" s="40"/>
      <c r="E995" s="83"/>
      <c r="F995" s="88"/>
      <c r="G995" s="29" t="b">
        <v>0</v>
      </c>
      <c r="H995" s="29" t="b">
        <v>0</v>
      </c>
    </row>
    <row r="996">
      <c r="A996" s="37"/>
      <c r="B996" s="38"/>
      <c r="C996" s="77"/>
      <c r="D996" s="40"/>
      <c r="E996" s="83"/>
      <c r="F996" s="88"/>
      <c r="G996" s="29" t="b">
        <v>0</v>
      </c>
      <c r="H996" s="29" t="b">
        <v>0</v>
      </c>
    </row>
    <row r="997">
      <c r="A997" s="37"/>
      <c r="B997" s="38"/>
      <c r="C997" s="77"/>
      <c r="D997" s="40"/>
      <c r="E997" s="83"/>
      <c r="F997" s="88"/>
      <c r="G997" s="29" t="b">
        <v>0</v>
      </c>
      <c r="H997" s="29" t="b">
        <v>0</v>
      </c>
    </row>
    <row r="998">
      <c r="A998" s="37"/>
      <c r="B998" s="38"/>
      <c r="C998" s="77"/>
      <c r="D998" s="40"/>
      <c r="E998" s="83"/>
      <c r="F998" s="88"/>
      <c r="G998" s="29" t="b">
        <v>0</v>
      </c>
      <c r="H998" s="29" t="b">
        <v>0</v>
      </c>
    </row>
    <row r="999">
      <c r="A999" s="37"/>
      <c r="B999" s="38"/>
      <c r="C999" s="77"/>
      <c r="D999" s="40"/>
      <c r="E999" s="83"/>
      <c r="F999" s="88"/>
      <c r="G999" s="29" t="b">
        <v>0</v>
      </c>
      <c r="H999" s="29" t="b">
        <v>0</v>
      </c>
    </row>
    <row r="1000">
      <c r="A1000" s="37"/>
      <c r="B1000" s="38"/>
      <c r="C1000" s="77"/>
      <c r="D1000" s="40"/>
      <c r="E1000" s="83"/>
      <c r="F1000" s="88"/>
      <c r="G1000" s="29" t="b">
        <v>0</v>
      </c>
      <c r="H1000" s="29" t="b">
        <v>0</v>
      </c>
    </row>
    <row r="1001">
      <c r="A1001" s="37"/>
      <c r="B1001" s="38"/>
      <c r="C1001" s="39"/>
      <c r="D1001" s="40"/>
      <c r="E1001" s="83"/>
      <c r="F1001" s="88"/>
      <c r="G1001" s="29" t="b">
        <v>0</v>
      </c>
      <c r="H1001" s="29" t="b">
        <v>0</v>
      </c>
    </row>
    <row r="1002">
      <c r="A1002" s="37"/>
      <c r="B1002" s="38"/>
      <c r="C1002" s="39"/>
      <c r="D1002" s="40"/>
      <c r="E1002" s="83"/>
      <c r="F1002" s="88"/>
      <c r="G1002" s="29" t="b">
        <v>0</v>
      </c>
      <c r="H1002" s="29" t="b">
        <v>0</v>
      </c>
    </row>
    <row r="1003">
      <c r="A1003" s="37"/>
      <c r="B1003" s="38"/>
      <c r="C1003" s="39"/>
      <c r="D1003" s="40"/>
      <c r="E1003" s="83"/>
      <c r="F1003" s="88"/>
      <c r="G1003" s="29" t="b">
        <v>0</v>
      </c>
      <c r="H1003" s="29" t="b">
        <v>0</v>
      </c>
    </row>
    <row r="1004">
      <c r="A1004" s="37"/>
      <c r="B1004" s="38"/>
      <c r="C1004" s="39"/>
      <c r="D1004" s="40"/>
      <c r="E1004" s="83"/>
      <c r="F1004" s="88"/>
      <c r="G1004" s="29" t="b">
        <v>0</v>
      </c>
      <c r="H1004" s="29" t="b">
        <v>0</v>
      </c>
    </row>
    <row r="1005">
      <c r="A1005" s="37"/>
      <c r="B1005" s="38"/>
      <c r="C1005" s="39"/>
      <c r="D1005" s="40"/>
      <c r="E1005" s="83"/>
      <c r="F1005" s="88"/>
      <c r="G1005" s="29" t="b">
        <v>0</v>
      </c>
      <c r="H1005" s="29" t="b">
        <v>0</v>
      </c>
    </row>
    <row r="1006">
      <c r="A1006" s="37"/>
      <c r="B1006" s="38"/>
      <c r="C1006" s="39"/>
      <c r="D1006" s="40"/>
      <c r="E1006" s="83"/>
      <c r="F1006" s="88"/>
      <c r="G1006" s="29" t="b">
        <v>0</v>
      </c>
      <c r="H1006" s="29" t="b">
        <v>0</v>
      </c>
    </row>
    <row r="1007">
      <c r="A1007" s="37"/>
      <c r="B1007" s="38"/>
      <c r="C1007" s="39"/>
      <c r="D1007" s="40"/>
      <c r="E1007" s="83"/>
      <c r="F1007" s="88"/>
      <c r="G1007" s="29" t="b">
        <v>0</v>
      </c>
      <c r="H1007" s="29" t="b">
        <v>0</v>
      </c>
    </row>
    <row r="1008">
      <c r="A1008" s="37"/>
      <c r="B1008" s="38"/>
      <c r="C1008" s="39"/>
      <c r="D1008" s="40"/>
      <c r="E1008" s="83"/>
      <c r="F1008" s="88"/>
      <c r="G1008" s="29" t="b">
        <v>0</v>
      </c>
      <c r="H1008" s="29" t="b">
        <v>0</v>
      </c>
    </row>
    <row r="1009">
      <c r="A1009" s="37"/>
      <c r="B1009" s="38"/>
      <c r="C1009" s="39"/>
      <c r="D1009" s="40"/>
      <c r="E1009" s="83"/>
      <c r="F1009" s="88"/>
      <c r="G1009" s="29" t="b">
        <v>0</v>
      </c>
      <c r="H1009" s="29" t="b">
        <v>0</v>
      </c>
    </row>
    <row r="1010">
      <c r="A1010" s="37"/>
      <c r="B1010" s="38"/>
      <c r="C1010" s="39"/>
      <c r="D1010" s="40"/>
      <c r="E1010" s="83"/>
      <c r="F1010" s="88"/>
      <c r="G1010" s="29" t="b">
        <v>0</v>
      </c>
      <c r="H1010" s="29" t="b">
        <v>0</v>
      </c>
    </row>
    <row r="1011">
      <c r="A1011" s="37"/>
      <c r="B1011" s="38"/>
      <c r="C1011" s="39"/>
      <c r="D1011" s="40"/>
      <c r="E1011" s="83"/>
      <c r="F1011" s="88"/>
      <c r="G1011" s="29" t="b">
        <v>0</v>
      </c>
      <c r="H1011" s="29" t="b">
        <v>0</v>
      </c>
    </row>
    <row r="1012">
      <c r="A1012" s="37"/>
      <c r="B1012" s="38"/>
      <c r="C1012" s="39"/>
      <c r="D1012" s="40"/>
      <c r="E1012" s="83"/>
      <c r="F1012" s="88"/>
      <c r="G1012" s="29" t="b">
        <v>0</v>
      </c>
      <c r="H1012" s="29" t="b">
        <v>0</v>
      </c>
    </row>
    <row r="1013">
      <c r="A1013" s="37"/>
      <c r="B1013" s="38"/>
      <c r="C1013" s="39"/>
      <c r="D1013" s="40"/>
      <c r="E1013" s="83"/>
      <c r="F1013" s="88"/>
      <c r="G1013" s="29" t="b">
        <v>0</v>
      </c>
      <c r="H1013" s="29" t="b">
        <v>0</v>
      </c>
    </row>
    <row r="1014">
      <c r="A1014" s="37"/>
      <c r="B1014" s="38"/>
      <c r="C1014" s="39"/>
      <c r="D1014" s="40"/>
      <c r="E1014" s="83"/>
      <c r="F1014" s="88"/>
      <c r="G1014" s="29" t="b">
        <v>0</v>
      </c>
      <c r="H1014" s="29" t="b">
        <v>0</v>
      </c>
    </row>
    <row r="1015">
      <c r="A1015" s="37"/>
      <c r="B1015" s="38"/>
      <c r="C1015" s="39"/>
      <c r="D1015" s="40"/>
      <c r="E1015" s="83"/>
      <c r="F1015" s="88"/>
      <c r="G1015" s="29" t="b">
        <v>0</v>
      </c>
      <c r="H1015" s="29" t="b">
        <v>0</v>
      </c>
    </row>
    <row r="1016">
      <c r="A1016" s="37"/>
      <c r="B1016" s="38"/>
      <c r="C1016" s="39"/>
      <c r="D1016" s="40"/>
      <c r="E1016" s="83"/>
      <c r="F1016" s="88"/>
      <c r="G1016" s="29" t="b">
        <v>0</v>
      </c>
      <c r="H1016" s="29" t="b">
        <v>0</v>
      </c>
    </row>
    <row r="1017">
      <c r="A1017" s="37"/>
      <c r="B1017" s="38"/>
      <c r="C1017" s="39"/>
      <c r="D1017" s="40"/>
      <c r="E1017" s="83"/>
      <c r="F1017" s="88"/>
      <c r="G1017" s="29" t="b">
        <v>0</v>
      </c>
      <c r="H1017" s="29" t="b">
        <v>0</v>
      </c>
    </row>
    <row r="1018">
      <c r="A1018" s="37"/>
      <c r="B1018" s="38"/>
      <c r="C1018" s="39"/>
      <c r="D1018" s="40"/>
      <c r="E1018" s="83"/>
      <c r="F1018" s="88"/>
      <c r="G1018" s="29" t="b">
        <v>0</v>
      </c>
      <c r="H1018" s="29" t="b">
        <v>0</v>
      </c>
    </row>
    <row r="1019">
      <c r="A1019" s="37"/>
      <c r="B1019" s="38"/>
      <c r="C1019" s="39"/>
      <c r="D1019" s="40"/>
      <c r="E1019" s="83"/>
      <c r="F1019" s="88"/>
      <c r="G1019" s="29" t="b">
        <v>0</v>
      </c>
      <c r="H1019" s="29" t="b">
        <v>0</v>
      </c>
    </row>
    <row r="1020">
      <c r="A1020" s="37"/>
      <c r="B1020" s="38"/>
      <c r="C1020" s="39"/>
      <c r="D1020" s="40"/>
      <c r="E1020" s="83"/>
      <c r="F1020" s="88"/>
      <c r="G1020" s="29" t="b">
        <v>0</v>
      </c>
      <c r="H1020" s="29" t="b">
        <v>0</v>
      </c>
    </row>
    <row r="1021">
      <c r="A1021" s="37"/>
      <c r="B1021" s="38"/>
      <c r="C1021" s="39"/>
      <c r="D1021" s="40"/>
      <c r="E1021" s="83"/>
      <c r="F1021" s="88"/>
      <c r="G1021" s="29" t="b">
        <v>0</v>
      </c>
      <c r="H1021" s="29" t="b">
        <v>0</v>
      </c>
    </row>
    <row r="1022">
      <c r="A1022" s="37"/>
      <c r="B1022" s="38"/>
      <c r="C1022" s="39"/>
      <c r="D1022" s="40"/>
      <c r="E1022" s="83"/>
      <c r="F1022" s="88"/>
      <c r="G1022" s="29" t="b">
        <v>0</v>
      </c>
      <c r="H1022" s="29" t="b">
        <v>0</v>
      </c>
    </row>
    <row r="1023">
      <c r="A1023" s="37"/>
      <c r="B1023" s="38"/>
      <c r="C1023" s="39"/>
      <c r="D1023" s="40"/>
      <c r="E1023" s="83"/>
      <c r="F1023" s="88"/>
      <c r="G1023" s="29" t="b">
        <v>0</v>
      </c>
      <c r="H1023" s="29" t="b">
        <v>0</v>
      </c>
    </row>
    <row r="1024">
      <c r="A1024" s="37"/>
      <c r="B1024" s="38"/>
      <c r="C1024" s="39"/>
      <c r="D1024" s="40"/>
      <c r="E1024" s="83"/>
      <c r="F1024" s="88"/>
      <c r="G1024" s="29" t="b">
        <v>0</v>
      </c>
      <c r="H1024" s="29" t="b">
        <v>0</v>
      </c>
    </row>
    <row r="1025">
      <c r="A1025" s="37"/>
      <c r="B1025" s="38"/>
      <c r="C1025" s="39"/>
      <c r="D1025" s="40"/>
      <c r="E1025" s="83"/>
      <c r="F1025" s="88"/>
      <c r="G1025" s="29" t="b">
        <v>0</v>
      </c>
      <c r="H1025" s="29" t="b">
        <v>0</v>
      </c>
    </row>
    <row r="1026">
      <c r="A1026" s="37"/>
      <c r="B1026" s="38"/>
      <c r="C1026" s="39"/>
      <c r="D1026" s="40"/>
      <c r="E1026" s="83"/>
      <c r="F1026" s="88"/>
      <c r="G1026" s="29" t="b">
        <v>0</v>
      </c>
      <c r="H1026" s="29" t="b">
        <v>0</v>
      </c>
    </row>
    <row r="1027">
      <c r="A1027" s="37"/>
      <c r="B1027" s="38"/>
      <c r="C1027" s="39"/>
      <c r="D1027" s="40"/>
      <c r="E1027" s="83"/>
      <c r="F1027" s="88"/>
      <c r="G1027" s="29" t="b">
        <v>0</v>
      </c>
      <c r="H1027" s="29" t="b">
        <v>0</v>
      </c>
    </row>
    <row r="1028">
      <c r="A1028" s="37"/>
      <c r="B1028" s="38"/>
      <c r="C1028" s="39"/>
      <c r="D1028" s="40"/>
      <c r="E1028" s="83"/>
      <c r="F1028" s="88"/>
      <c r="G1028" s="29" t="b">
        <v>0</v>
      </c>
      <c r="H1028" s="29" t="b">
        <v>0</v>
      </c>
    </row>
    <row r="1029">
      <c r="A1029" s="37"/>
      <c r="B1029" s="38"/>
      <c r="C1029" s="39"/>
      <c r="D1029" s="40"/>
      <c r="E1029" s="83"/>
      <c r="F1029" s="88"/>
      <c r="G1029" s="29" t="b">
        <v>0</v>
      </c>
      <c r="H1029" s="29" t="b">
        <v>0</v>
      </c>
    </row>
    <row r="1030">
      <c r="A1030" s="37"/>
      <c r="B1030" s="38"/>
      <c r="C1030" s="39"/>
      <c r="D1030" s="40"/>
      <c r="E1030" s="83"/>
      <c r="F1030" s="88"/>
      <c r="G1030" s="29" t="b">
        <v>0</v>
      </c>
      <c r="H1030" s="29" t="b">
        <v>0</v>
      </c>
    </row>
    <row r="1031">
      <c r="A1031" s="37"/>
      <c r="B1031" s="38"/>
      <c r="C1031" s="272"/>
      <c r="D1031" s="40"/>
      <c r="E1031" s="83"/>
      <c r="F1031" s="88"/>
      <c r="G1031" s="29" t="b">
        <v>0</v>
      </c>
      <c r="H1031" s="29" t="b">
        <v>0</v>
      </c>
    </row>
    <row r="1032">
      <c r="A1032" s="37"/>
      <c r="B1032" s="38"/>
      <c r="C1032" s="77"/>
      <c r="D1032" s="40"/>
      <c r="E1032" s="83"/>
      <c r="F1032" s="88"/>
      <c r="G1032" s="29" t="b">
        <v>0</v>
      </c>
      <c r="H1032" s="29" t="b">
        <v>0</v>
      </c>
    </row>
    <row r="1033">
      <c r="A1033" s="37"/>
      <c r="B1033" s="38"/>
      <c r="C1033" s="77"/>
      <c r="D1033" s="40"/>
      <c r="E1033" s="83"/>
      <c r="F1033" s="88"/>
      <c r="G1033" s="29" t="b">
        <v>0</v>
      </c>
      <c r="H1033" s="29" t="b">
        <v>0</v>
      </c>
    </row>
    <row r="1034">
      <c r="A1034" s="37"/>
      <c r="B1034" s="38"/>
      <c r="C1034" s="77"/>
      <c r="D1034" s="40"/>
      <c r="E1034" s="83"/>
      <c r="F1034" s="88"/>
      <c r="G1034" s="29" t="b">
        <v>0</v>
      </c>
      <c r="H1034" s="29" t="b">
        <v>0</v>
      </c>
    </row>
    <row r="1035">
      <c r="A1035" s="37"/>
      <c r="B1035" s="38"/>
      <c r="C1035" s="39"/>
      <c r="D1035" s="40"/>
      <c r="E1035" s="83"/>
      <c r="F1035" s="88"/>
      <c r="G1035" s="29" t="b">
        <v>0</v>
      </c>
      <c r="H1035" s="29" t="b">
        <v>0</v>
      </c>
    </row>
    <row r="1036">
      <c r="A1036" s="37"/>
      <c r="B1036" s="38"/>
      <c r="C1036" s="39"/>
      <c r="D1036" s="40"/>
      <c r="E1036" s="83"/>
      <c r="F1036" s="88"/>
      <c r="G1036" s="29" t="b">
        <v>0</v>
      </c>
      <c r="H1036" s="29" t="b">
        <v>0</v>
      </c>
    </row>
    <row r="1037">
      <c r="A1037" s="37"/>
      <c r="B1037" s="38"/>
      <c r="C1037" s="39"/>
      <c r="D1037" s="40"/>
      <c r="E1037" s="83"/>
      <c r="F1037" s="88"/>
      <c r="G1037" s="29" t="b">
        <v>0</v>
      </c>
      <c r="H1037" s="29" t="b">
        <v>0</v>
      </c>
    </row>
    <row r="1038">
      <c r="A1038" s="37"/>
      <c r="B1038" s="38"/>
      <c r="C1038" s="39"/>
      <c r="D1038" s="40"/>
      <c r="E1038" s="83"/>
      <c r="F1038" s="88"/>
      <c r="G1038" s="29" t="b">
        <v>0</v>
      </c>
      <c r="H1038" s="29" t="b">
        <v>0</v>
      </c>
    </row>
    <row r="1039">
      <c r="A1039" s="37"/>
      <c r="B1039" s="38"/>
      <c r="C1039" s="39"/>
      <c r="D1039" s="40"/>
      <c r="E1039" s="83"/>
      <c r="F1039" s="88"/>
      <c r="G1039" s="29" t="b">
        <v>0</v>
      </c>
      <c r="H1039" s="29" t="b">
        <v>0</v>
      </c>
    </row>
    <row r="1040">
      <c r="A1040" s="37"/>
      <c r="B1040" s="38"/>
      <c r="C1040" s="39"/>
      <c r="D1040" s="40"/>
      <c r="E1040" s="83"/>
      <c r="F1040" s="88"/>
      <c r="G1040" s="29" t="b">
        <v>0</v>
      </c>
      <c r="H1040" s="29" t="b">
        <v>0</v>
      </c>
    </row>
    <row r="1041">
      <c r="A1041" s="37"/>
      <c r="B1041" s="38"/>
      <c r="C1041" s="39"/>
      <c r="D1041" s="40"/>
      <c r="E1041" s="83"/>
      <c r="F1041" s="88"/>
      <c r="G1041" s="29" t="b">
        <v>0</v>
      </c>
      <c r="H1041" s="29" t="b">
        <v>0</v>
      </c>
    </row>
    <row r="1042">
      <c r="A1042" s="37"/>
      <c r="B1042" s="38"/>
      <c r="C1042" s="39"/>
      <c r="D1042" s="40"/>
      <c r="E1042" s="83"/>
      <c r="F1042" s="88"/>
      <c r="G1042" s="29" t="b">
        <v>0</v>
      </c>
      <c r="H1042" s="29" t="b">
        <v>0</v>
      </c>
    </row>
    <row r="1043">
      <c r="A1043" s="37"/>
      <c r="B1043" s="38"/>
      <c r="C1043" s="39"/>
      <c r="D1043" s="40"/>
      <c r="E1043" s="83"/>
      <c r="F1043" s="88"/>
      <c r="G1043" s="29" t="b">
        <v>0</v>
      </c>
      <c r="H1043" s="29" t="b">
        <v>0</v>
      </c>
    </row>
    <row r="1044">
      <c r="A1044" s="37"/>
      <c r="B1044" s="38"/>
      <c r="C1044" s="39"/>
      <c r="D1044" s="40"/>
      <c r="E1044" s="83"/>
      <c r="F1044" s="88"/>
      <c r="G1044" s="29" t="b">
        <v>0</v>
      </c>
      <c r="H1044" s="29" t="b">
        <v>0</v>
      </c>
    </row>
    <row r="1045">
      <c r="A1045" s="37"/>
      <c r="B1045" s="38"/>
      <c r="C1045" s="39"/>
      <c r="D1045" s="40"/>
      <c r="E1045" s="83"/>
      <c r="F1045" s="88"/>
      <c r="G1045" s="29" t="b">
        <v>0</v>
      </c>
      <c r="H1045" s="29" t="b">
        <v>0</v>
      </c>
    </row>
    <row r="1046">
      <c r="A1046" s="37"/>
      <c r="B1046" s="38"/>
      <c r="C1046" s="39"/>
      <c r="D1046" s="40"/>
      <c r="E1046" s="83"/>
      <c r="F1046" s="88"/>
      <c r="G1046" s="29" t="b">
        <v>0</v>
      </c>
      <c r="H1046" s="29" t="b">
        <v>0</v>
      </c>
    </row>
    <row r="1047">
      <c r="A1047" s="37"/>
      <c r="B1047" s="38"/>
      <c r="C1047" s="39"/>
      <c r="D1047" s="40"/>
      <c r="E1047" s="83"/>
      <c r="F1047" s="88"/>
      <c r="G1047" s="29" t="b">
        <v>0</v>
      </c>
      <c r="H1047" s="29" t="b">
        <v>0</v>
      </c>
    </row>
    <row r="1048">
      <c r="A1048" s="37"/>
      <c r="B1048" s="38"/>
      <c r="C1048" s="39"/>
      <c r="D1048" s="40"/>
      <c r="E1048" s="83"/>
      <c r="F1048" s="88"/>
      <c r="G1048" s="29" t="b">
        <v>0</v>
      </c>
      <c r="H1048" s="29" t="b">
        <v>0</v>
      </c>
    </row>
    <row r="1049">
      <c r="A1049" s="37"/>
      <c r="B1049" s="38"/>
      <c r="C1049" s="39"/>
      <c r="D1049" s="40"/>
      <c r="E1049" s="83"/>
      <c r="F1049" s="83"/>
      <c r="G1049" s="29" t="b">
        <v>0</v>
      </c>
      <c r="H1049" s="29" t="b">
        <v>0</v>
      </c>
    </row>
    <row r="1050">
      <c r="A1050" s="37"/>
      <c r="B1050" s="38"/>
      <c r="C1050" s="39"/>
      <c r="D1050" s="40"/>
      <c r="E1050" s="83"/>
      <c r="F1050" s="83"/>
      <c r="G1050" s="29" t="b">
        <v>0</v>
      </c>
      <c r="H1050" s="29" t="b">
        <v>0</v>
      </c>
    </row>
    <row r="1051">
      <c r="A1051" s="37"/>
      <c r="B1051" s="38"/>
      <c r="C1051" s="39"/>
      <c r="D1051" s="40"/>
      <c r="E1051" s="83"/>
      <c r="F1051" s="88"/>
      <c r="G1051" s="29" t="b">
        <v>0</v>
      </c>
      <c r="H1051" s="29" t="b">
        <v>0</v>
      </c>
    </row>
    <row r="1052">
      <c r="A1052" s="37"/>
      <c r="B1052" s="38"/>
      <c r="C1052" s="39"/>
      <c r="D1052" s="40"/>
      <c r="E1052" s="83"/>
      <c r="F1052" s="88"/>
      <c r="G1052" s="29" t="b">
        <v>0</v>
      </c>
      <c r="H1052" s="29" t="b">
        <v>0</v>
      </c>
    </row>
    <row r="1053">
      <c r="A1053" s="37"/>
      <c r="B1053" s="38"/>
      <c r="C1053" s="39"/>
      <c r="D1053" s="40"/>
      <c r="E1053" s="83"/>
      <c r="F1053" s="88"/>
      <c r="G1053" s="29" t="b">
        <v>0</v>
      </c>
      <c r="H1053" s="29" t="b">
        <v>0</v>
      </c>
    </row>
    <row r="1054">
      <c r="A1054" s="37"/>
      <c r="B1054" s="38"/>
      <c r="C1054" s="39"/>
      <c r="D1054" s="40"/>
      <c r="E1054" s="83"/>
      <c r="F1054" s="88"/>
      <c r="G1054" s="29" t="b">
        <v>0</v>
      </c>
      <c r="H1054" s="29" t="b">
        <v>0</v>
      </c>
    </row>
    <row r="1055">
      <c r="A1055" s="37"/>
      <c r="B1055" s="38"/>
      <c r="C1055" s="39"/>
      <c r="D1055" s="40"/>
      <c r="E1055" s="83"/>
      <c r="F1055" s="88"/>
      <c r="G1055" s="29" t="b">
        <v>0</v>
      </c>
      <c r="H1055" s="29" t="b">
        <v>0</v>
      </c>
    </row>
    <row r="1056">
      <c r="A1056" s="37"/>
      <c r="B1056" s="38"/>
      <c r="C1056" s="39"/>
      <c r="D1056" s="40"/>
      <c r="E1056" s="83"/>
      <c r="F1056" s="262"/>
      <c r="G1056" s="29" t="b">
        <v>0</v>
      </c>
      <c r="H1056" s="29" t="b">
        <v>0</v>
      </c>
    </row>
    <row r="1057">
      <c r="A1057" s="37"/>
      <c r="B1057" s="38"/>
      <c r="C1057" s="39"/>
      <c r="D1057" s="40"/>
      <c r="E1057" s="83"/>
      <c r="F1057" s="256"/>
      <c r="G1057" s="29" t="b">
        <v>0</v>
      </c>
      <c r="H1057" s="29" t="b">
        <v>0</v>
      </c>
    </row>
    <row r="1058">
      <c r="A1058" s="37"/>
      <c r="B1058" s="38"/>
      <c r="C1058" s="39"/>
      <c r="D1058" s="40"/>
      <c r="E1058" s="83"/>
      <c r="F1058" s="88"/>
      <c r="G1058" s="29" t="b">
        <v>0</v>
      </c>
      <c r="H1058" s="29" t="b">
        <v>0</v>
      </c>
    </row>
    <row r="1059">
      <c r="A1059" s="37"/>
      <c r="B1059" s="38"/>
      <c r="C1059" s="39"/>
      <c r="D1059" s="40"/>
      <c r="E1059" s="83"/>
      <c r="F1059" s="88"/>
      <c r="G1059" s="29" t="b">
        <v>0</v>
      </c>
      <c r="H1059" s="29" t="b">
        <v>0</v>
      </c>
    </row>
    <row r="1060">
      <c r="A1060" s="37"/>
      <c r="B1060" s="38"/>
      <c r="C1060" s="39"/>
      <c r="D1060" s="40"/>
      <c r="E1060" s="83"/>
      <c r="F1060" s="88"/>
      <c r="G1060" s="29" t="b">
        <v>0</v>
      </c>
      <c r="H1060" s="29" t="b">
        <v>0</v>
      </c>
    </row>
    <row r="1061">
      <c r="A1061" s="37"/>
      <c r="B1061" s="38"/>
      <c r="C1061" s="39"/>
      <c r="D1061" s="40"/>
      <c r="E1061" s="83"/>
      <c r="F1061" s="88"/>
      <c r="G1061" s="29" t="b">
        <v>0</v>
      </c>
      <c r="H1061" s="29" t="b">
        <v>0</v>
      </c>
    </row>
    <row r="1062">
      <c r="A1062" s="37"/>
      <c r="B1062" s="38"/>
      <c r="C1062" s="39"/>
      <c r="D1062" s="40"/>
      <c r="E1062" s="83"/>
      <c r="F1062" s="88"/>
      <c r="G1062" s="29" t="b">
        <v>0</v>
      </c>
      <c r="H1062" s="29" t="b">
        <v>0</v>
      </c>
    </row>
    <row r="1063">
      <c r="A1063" s="37"/>
      <c r="B1063" s="38"/>
      <c r="C1063" s="39"/>
      <c r="D1063" s="40"/>
      <c r="E1063" s="83"/>
      <c r="F1063" s="88"/>
      <c r="G1063" s="29" t="b">
        <v>0</v>
      </c>
      <c r="H1063" s="29" t="b">
        <v>0</v>
      </c>
    </row>
    <row r="1064">
      <c r="A1064" s="37"/>
      <c r="B1064" s="38"/>
      <c r="C1064" s="39"/>
      <c r="D1064" s="40"/>
      <c r="E1064" s="83"/>
      <c r="F1064" s="88"/>
      <c r="G1064" s="29" t="b">
        <v>0</v>
      </c>
      <c r="H1064" s="29" t="b">
        <v>0</v>
      </c>
    </row>
    <row r="1065">
      <c r="A1065" s="37"/>
      <c r="B1065" s="38"/>
      <c r="C1065" s="39"/>
      <c r="D1065" s="40"/>
      <c r="E1065" s="83"/>
      <c r="F1065" s="88"/>
      <c r="G1065" s="29" t="b">
        <v>0</v>
      </c>
      <c r="H1065" s="29" t="b">
        <v>0</v>
      </c>
    </row>
    <row r="1066">
      <c r="A1066" s="37"/>
      <c r="B1066" s="38"/>
      <c r="C1066" s="39"/>
      <c r="D1066" s="40"/>
      <c r="E1066" s="83"/>
      <c r="F1066" s="88"/>
      <c r="G1066" s="29" t="b">
        <v>0</v>
      </c>
      <c r="H1066" s="29" t="b">
        <v>0</v>
      </c>
    </row>
    <row r="1067">
      <c r="A1067" s="37"/>
      <c r="B1067" s="38"/>
      <c r="C1067" s="39"/>
      <c r="D1067" s="40"/>
      <c r="E1067" s="83"/>
      <c r="F1067" s="88"/>
      <c r="G1067" s="29" t="b">
        <v>0</v>
      </c>
      <c r="H1067" s="29" t="b">
        <v>0</v>
      </c>
    </row>
    <row r="1068">
      <c r="A1068" s="37"/>
      <c r="B1068" s="38"/>
      <c r="C1068" s="39"/>
      <c r="D1068" s="40"/>
      <c r="E1068" s="83"/>
      <c r="F1068" s="88"/>
      <c r="G1068" s="29" t="b">
        <v>0</v>
      </c>
      <c r="H1068" s="29" t="b">
        <v>0</v>
      </c>
    </row>
    <row r="1069">
      <c r="A1069" s="37"/>
      <c r="B1069" s="38"/>
      <c r="C1069" s="39"/>
      <c r="D1069" s="40"/>
      <c r="E1069" s="83"/>
      <c r="F1069" s="88"/>
      <c r="G1069" s="29" t="b">
        <v>0</v>
      </c>
      <c r="H1069" s="29" t="b">
        <v>0</v>
      </c>
    </row>
    <row r="1070">
      <c r="A1070" s="37"/>
      <c r="B1070" s="38"/>
      <c r="C1070" s="39"/>
      <c r="D1070" s="39"/>
      <c r="E1070" s="83"/>
      <c r="F1070" s="88"/>
      <c r="G1070" s="29" t="b">
        <v>0</v>
      </c>
      <c r="H1070" s="29" t="b">
        <v>0</v>
      </c>
    </row>
    <row r="1071">
      <c r="A1071" s="37"/>
      <c r="B1071" s="38"/>
      <c r="C1071" s="39"/>
      <c r="D1071" s="39"/>
      <c r="E1071" s="83"/>
      <c r="F1071" s="88"/>
      <c r="G1071" s="29" t="b">
        <v>0</v>
      </c>
      <c r="H1071" s="29" t="b">
        <v>0</v>
      </c>
    </row>
    <row r="1072">
      <c r="A1072" s="37"/>
      <c r="B1072" s="38"/>
      <c r="C1072" s="39"/>
      <c r="D1072" s="40"/>
      <c r="E1072" s="83"/>
      <c r="F1072" s="256"/>
      <c r="G1072" s="29" t="b">
        <v>0</v>
      </c>
      <c r="H1072" s="29" t="b">
        <v>0</v>
      </c>
    </row>
    <row r="1073">
      <c r="A1073" s="37"/>
      <c r="B1073" s="38"/>
      <c r="C1073" s="39"/>
      <c r="D1073" s="40"/>
      <c r="E1073" s="83"/>
      <c r="F1073" s="256"/>
      <c r="G1073" s="29" t="b">
        <v>0</v>
      </c>
      <c r="H1073" s="29" t="b">
        <v>0</v>
      </c>
    </row>
    <row r="1074">
      <c r="A1074" s="37"/>
      <c r="B1074" s="38"/>
      <c r="C1074" s="39"/>
      <c r="D1074" s="40"/>
      <c r="E1074" s="83"/>
      <c r="F1074" s="256"/>
      <c r="G1074" s="29" t="b">
        <v>0</v>
      </c>
      <c r="H1074" s="29" t="b">
        <v>0</v>
      </c>
    </row>
    <row r="1075">
      <c r="A1075" s="37"/>
      <c r="B1075" s="38"/>
      <c r="C1075" s="39"/>
      <c r="D1075" s="40"/>
      <c r="E1075" s="83"/>
      <c r="F1075" s="256"/>
      <c r="G1075" s="29" t="b">
        <v>0</v>
      </c>
      <c r="H1075" s="29" t="b">
        <v>0</v>
      </c>
    </row>
    <row r="1076">
      <c r="A1076" s="37"/>
      <c r="B1076" s="38"/>
      <c r="C1076" s="39"/>
      <c r="D1076" s="40"/>
      <c r="E1076" s="145"/>
      <c r="F1076" s="88"/>
      <c r="G1076" s="29" t="b">
        <v>0</v>
      </c>
      <c r="H1076" s="29" t="b">
        <v>0</v>
      </c>
    </row>
    <row r="1077">
      <c r="A1077" s="37"/>
      <c r="B1077" s="38"/>
      <c r="C1077" s="39"/>
      <c r="D1077" s="40"/>
      <c r="E1077" s="83"/>
      <c r="F1077" s="88"/>
      <c r="G1077" s="29" t="b">
        <v>0</v>
      </c>
      <c r="H1077" s="29" t="b">
        <v>0</v>
      </c>
    </row>
    <row r="1078">
      <c r="A1078" s="37"/>
      <c r="B1078" s="38"/>
      <c r="C1078" s="77"/>
      <c r="D1078" s="40"/>
      <c r="E1078" s="83"/>
      <c r="F1078" s="88"/>
      <c r="G1078" s="29" t="b">
        <v>0</v>
      </c>
      <c r="H1078" s="29" t="b">
        <v>0</v>
      </c>
    </row>
    <row r="1079">
      <c r="A1079" s="37"/>
      <c r="B1079" s="38"/>
      <c r="C1079" s="39"/>
      <c r="D1079" s="40"/>
      <c r="E1079" s="83"/>
      <c r="F1079" s="256"/>
      <c r="G1079" s="29" t="b">
        <v>0</v>
      </c>
      <c r="H1079" s="29" t="b">
        <v>0</v>
      </c>
    </row>
    <row r="1080">
      <c r="A1080" s="37"/>
      <c r="B1080" s="38"/>
      <c r="C1080" s="39"/>
      <c r="D1080" s="40"/>
      <c r="E1080" s="83"/>
      <c r="F1080" s="256"/>
      <c r="G1080" s="29" t="b">
        <v>0</v>
      </c>
      <c r="H1080" s="29" t="b">
        <v>0</v>
      </c>
    </row>
    <row r="1081">
      <c r="A1081" s="37"/>
      <c r="B1081" s="38"/>
      <c r="C1081" s="39"/>
      <c r="D1081" s="40"/>
      <c r="E1081" s="83"/>
      <c r="F1081" s="256"/>
      <c r="G1081" s="29" t="b">
        <v>0</v>
      </c>
      <c r="H1081" s="29" t="b">
        <v>0</v>
      </c>
    </row>
    <row r="1082">
      <c r="A1082" s="37"/>
      <c r="B1082" s="38"/>
      <c r="C1082" s="39"/>
      <c r="D1082" s="40"/>
      <c r="E1082" s="83"/>
      <c r="F1082" s="256"/>
      <c r="G1082" s="29" t="b">
        <v>0</v>
      </c>
      <c r="H1082" s="29" t="b">
        <v>0</v>
      </c>
    </row>
    <row r="1083">
      <c r="A1083" s="37"/>
      <c r="B1083" s="38"/>
      <c r="C1083" s="39"/>
      <c r="D1083" s="40"/>
      <c r="E1083" s="83"/>
      <c r="F1083" s="256"/>
      <c r="G1083" s="29" t="b">
        <v>0</v>
      </c>
      <c r="H1083" s="29" t="b">
        <v>0</v>
      </c>
    </row>
    <row r="1084">
      <c r="A1084" s="37"/>
      <c r="B1084" s="38"/>
      <c r="C1084" s="39"/>
      <c r="D1084" s="40"/>
      <c r="E1084" s="83"/>
      <c r="F1084" s="256"/>
      <c r="G1084" s="29" t="b">
        <v>0</v>
      </c>
      <c r="H1084" s="29" t="b">
        <v>0</v>
      </c>
    </row>
    <row r="1085">
      <c r="A1085" s="37"/>
      <c r="B1085" s="38"/>
      <c r="C1085" s="39"/>
      <c r="D1085" s="40"/>
      <c r="E1085" s="83"/>
      <c r="F1085" s="256"/>
      <c r="G1085" s="29" t="b">
        <v>0</v>
      </c>
      <c r="H1085" s="29" t="b">
        <v>0</v>
      </c>
    </row>
    <row r="1086">
      <c r="A1086" s="37"/>
      <c r="B1086" s="38"/>
      <c r="C1086" s="39"/>
      <c r="D1086" s="40"/>
      <c r="E1086" s="83"/>
      <c r="F1086" s="256"/>
      <c r="G1086" s="29" t="b">
        <v>0</v>
      </c>
      <c r="H1086" s="29" t="b">
        <v>0</v>
      </c>
    </row>
    <row r="1087">
      <c r="A1087" s="37"/>
      <c r="B1087" s="38"/>
      <c r="C1087" s="77"/>
      <c r="D1087" s="40"/>
      <c r="E1087" s="145"/>
      <c r="F1087" s="256"/>
      <c r="G1087" s="29" t="b">
        <v>0</v>
      </c>
      <c r="H1087" s="29" t="b">
        <v>0</v>
      </c>
    </row>
    <row r="1088">
      <c r="A1088" s="37"/>
      <c r="B1088" s="38"/>
      <c r="C1088" s="77"/>
      <c r="D1088" s="40"/>
      <c r="E1088" s="145"/>
      <c r="F1088" s="256"/>
      <c r="G1088" s="29" t="b">
        <v>0</v>
      </c>
      <c r="H1088" s="29" t="b">
        <v>0</v>
      </c>
    </row>
    <row r="1089">
      <c r="A1089" s="37"/>
      <c r="B1089" s="38"/>
      <c r="C1089" s="77"/>
      <c r="D1089" s="40"/>
      <c r="E1089" s="83"/>
      <c r="F1089" s="256"/>
      <c r="G1089" s="29" t="b">
        <v>0</v>
      </c>
      <c r="H1089" s="29" t="b">
        <v>0</v>
      </c>
    </row>
    <row r="1090">
      <c r="A1090" s="37"/>
      <c r="B1090" s="38"/>
      <c r="C1090" s="77"/>
      <c r="D1090" s="40"/>
      <c r="E1090" s="83"/>
      <c r="F1090" s="256"/>
      <c r="G1090" s="29" t="b">
        <v>0</v>
      </c>
      <c r="H1090" s="29" t="b">
        <v>0</v>
      </c>
    </row>
    <row r="1091">
      <c r="A1091" s="37"/>
      <c r="B1091" s="38"/>
      <c r="C1091" s="77"/>
      <c r="D1091" s="40"/>
      <c r="E1091" s="83"/>
      <c r="F1091" s="256"/>
      <c r="G1091" s="29" t="b">
        <v>0</v>
      </c>
      <c r="H1091" s="29" t="b">
        <v>0</v>
      </c>
    </row>
    <row r="1092">
      <c r="A1092" s="273"/>
      <c r="B1092" s="38"/>
      <c r="C1092" s="77"/>
      <c r="D1092" s="40"/>
      <c r="E1092" s="86"/>
      <c r="F1092" s="256"/>
      <c r="G1092" s="29" t="b">
        <v>0</v>
      </c>
      <c r="H1092" s="29" t="b">
        <v>0</v>
      </c>
    </row>
    <row r="1093">
      <c r="A1093" s="273"/>
      <c r="B1093" s="38"/>
      <c r="C1093" s="77"/>
      <c r="D1093" s="40"/>
      <c r="E1093" s="86"/>
      <c r="F1093" s="256"/>
      <c r="G1093" s="29" t="b">
        <v>0</v>
      </c>
      <c r="H1093" s="29" t="b">
        <v>0</v>
      </c>
    </row>
    <row r="1094">
      <c r="A1094" s="273"/>
      <c r="B1094" s="38"/>
      <c r="C1094" s="77"/>
      <c r="D1094" s="40"/>
      <c r="E1094" s="86"/>
      <c r="F1094" s="256"/>
      <c r="G1094" s="29" t="b">
        <v>0</v>
      </c>
      <c r="H1094" s="29" t="b">
        <v>0</v>
      </c>
    </row>
    <row r="1095">
      <c r="A1095" s="273"/>
      <c r="B1095" s="38"/>
      <c r="C1095" s="77"/>
      <c r="D1095" s="40"/>
      <c r="E1095" s="86"/>
      <c r="F1095" s="256"/>
      <c r="G1095" s="29" t="b">
        <v>0</v>
      </c>
      <c r="H1095" s="29" t="b">
        <v>0</v>
      </c>
    </row>
    <row r="1096">
      <c r="A1096" s="273"/>
      <c r="B1096" s="38"/>
      <c r="C1096" s="77"/>
      <c r="D1096" s="40"/>
      <c r="E1096" s="86"/>
      <c r="F1096" s="256"/>
      <c r="G1096" s="29" t="b">
        <v>0</v>
      </c>
      <c r="H1096" s="29" t="b">
        <v>0</v>
      </c>
    </row>
    <row r="1097">
      <c r="A1097" s="273"/>
      <c r="B1097" s="38"/>
      <c r="C1097" s="77"/>
      <c r="D1097" s="40"/>
      <c r="E1097" s="86"/>
      <c r="F1097" s="256"/>
      <c r="G1097" s="29" t="b">
        <v>0</v>
      </c>
      <c r="H1097" s="29" t="b">
        <v>0</v>
      </c>
    </row>
    <row r="1098">
      <c r="A1098" s="273"/>
      <c r="B1098" s="38"/>
      <c r="C1098" s="77"/>
      <c r="D1098" s="40"/>
      <c r="E1098" s="83"/>
      <c r="F1098" s="256"/>
      <c r="G1098" s="29" t="b">
        <v>0</v>
      </c>
      <c r="H1098" s="29" t="b">
        <v>0</v>
      </c>
    </row>
    <row r="1099">
      <c r="A1099" s="273"/>
      <c r="B1099" s="38"/>
      <c r="C1099" s="77"/>
      <c r="D1099" s="40"/>
      <c r="E1099" s="83"/>
      <c r="F1099" s="256"/>
      <c r="G1099" s="29" t="b">
        <v>0</v>
      </c>
      <c r="H1099" s="29" t="b">
        <v>0</v>
      </c>
    </row>
    <row r="1100">
      <c r="A1100" s="273"/>
      <c r="B1100" s="38"/>
      <c r="C1100" s="77"/>
      <c r="D1100" s="40"/>
      <c r="E1100" s="83"/>
      <c r="F1100" s="256"/>
      <c r="G1100" s="29" t="b">
        <v>0</v>
      </c>
      <c r="H1100" s="29" t="b">
        <v>0</v>
      </c>
    </row>
    <row r="1101">
      <c r="A1101" s="273"/>
      <c r="B1101" s="38"/>
      <c r="C1101" s="39"/>
      <c r="D1101" s="40"/>
      <c r="E1101" s="145"/>
      <c r="F1101" s="88"/>
      <c r="G1101" s="29" t="b">
        <v>0</v>
      </c>
      <c r="H1101" s="29" t="b">
        <v>0</v>
      </c>
    </row>
    <row r="1102">
      <c r="A1102" s="273"/>
      <c r="B1102" s="38"/>
      <c r="C1102" s="77"/>
      <c r="D1102" s="40"/>
      <c r="E1102" s="86"/>
      <c r="F1102" s="256"/>
      <c r="G1102" s="29" t="b">
        <v>0</v>
      </c>
      <c r="H1102" s="29" t="b">
        <v>0</v>
      </c>
    </row>
    <row r="1103">
      <c r="A1103" s="273"/>
      <c r="B1103" s="38"/>
      <c r="C1103" s="77"/>
      <c r="D1103" s="40"/>
      <c r="E1103" s="86"/>
      <c r="F1103" s="256"/>
      <c r="G1103" s="29" t="b">
        <v>0</v>
      </c>
      <c r="H1103" s="29" t="b">
        <v>0</v>
      </c>
    </row>
    <row r="1104">
      <c r="A1104" s="273"/>
      <c r="B1104" s="38"/>
      <c r="C1104" s="77"/>
      <c r="D1104" s="40"/>
      <c r="E1104" s="86"/>
      <c r="F1104" s="256"/>
      <c r="G1104" s="29" t="b">
        <v>0</v>
      </c>
      <c r="H1104" s="29" t="b">
        <v>0</v>
      </c>
    </row>
    <row r="1105">
      <c r="A1105" s="273"/>
      <c r="B1105" s="38"/>
      <c r="C1105" s="77"/>
      <c r="D1105" s="40"/>
      <c r="E1105" s="86"/>
      <c r="F1105" s="256"/>
      <c r="G1105" s="29" t="b">
        <v>0</v>
      </c>
      <c r="H1105" s="29" t="b">
        <v>0</v>
      </c>
    </row>
    <row r="1106">
      <c r="A1106" s="273"/>
      <c r="B1106" s="38"/>
      <c r="C1106" s="77"/>
      <c r="D1106" s="40"/>
      <c r="E1106" s="86"/>
      <c r="F1106" s="256"/>
      <c r="G1106" s="29" t="b">
        <v>0</v>
      </c>
      <c r="H1106" s="29" t="b">
        <v>0</v>
      </c>
    </row>
    <row r="1107">
      <c r="A1107" s="273"/>
      <c r="B1107" s="38"/>
      <c r="C1107" s="77"/>
      <c r="D1107" s="40"/>
      <c r="E1107" s="86"/>
      <c r="F1107" s="256"/>
      <c r="G1107" s="29" t="b">
        <v>0</v>
      </c>
      <c r="H1107" s="29" t="b">
        <v>0</v>
      </c>
    </row>
    <row r="1108">
      <c r="A1108" s="273"/>
      <c r="B1108" s="38"/>
      <c r="C1108" s="77"/>
      <c r="D1108" s="40"/>
      <c r="E1108" s="86"/>
      <c r="F1108" s="256"/>
      <c r="G1108" s="29" t="b">
        <v>0</v>
      </c>
      <c r="H1108" s="29" t="b">
        <v>0</v>
      </c>
    </row>
    <row r="1109">
      <c r="A1109" s="273"/>
      <c r="B1109" s="38"/>
      <c r="C1109" s="77"/>
      <c r="D1109" s="40"/>
      <c r="E1109" s="86"/>
      <c r="F1109" s="256"/>
      <c r="G1109" s="29" t="b">
        <v>0</v>
      </c>
      <c r="H1109" s="29" t="b">
        <v>0</v>
      </c>
    </row>
    <row r="1110">
      <c r="A1110" s="273"/>
      <c r="B1110" s="38"/>
      <c r="C1110" s="77"/>
      <c r="D1110" s="40"/>
      <c r="E1110" s="86"/>
      <c r="F1110" s="256"/>
      <c r="G1110" s="29" t="b">
        <v>0</v>
      </c>
      <c r="H1110" s="29" t="b">
        <v>0</v>
      </c>
    </row>
    <row r="1111">
      <c r="A1111" s="273"/>
      <c r="B1111" s="38"/>
      <c r="C1111" s="77"/>
      <c r="D1111" s="40"/>
      <c r="E1111" s="86"/>
      <c r="F1111" s="256"/>
      <c r="G1111" s="29" t="b">
        <v>0</v>
      </c>
      <c r="H1111" s="29" t="b">
        <v>0</v>
      </c>
    </row>
    <row r="1112">
      <c r="A1112" s="273"/>
      <c r="B1112" s="38"/>
      <c r="C1112" s="77"/>
      <c r="D1112" s="40"/>
      <c r="E1112" s="86"/>
      <c r="F1112" s="256"/>
      <c r="G1112" s="29" t="b">
        <v>0</v>
      </c>
      <c r="H1112" s="29" t="b">
        <v>0</v>
      </c>
    </row>
    <row r="1113">
      <c r="A1113" s="273"/>
      <c r="B1113" s="38"/>
      <c r="C1113" s="77"/>
      <c r="D1113" s="40"/>
      <c r="E1113" s="86"/>
      <c r="F1113" s="256"/>
      <c r="G1113" s="29" t="b">
        <v>0</v>
      </c>
      <c r="H1113" s="29" t="b">
        <v>0</v>
      </c>
    </row>
    <row r="1114">
      <c r="A1114" s="273"/>
      <c r="B1114" s="38"/>
      <c r="C1114" s="77"/>
      <c r="D1114" s="40"/>
      <c r="E1114" s="86"/>
      <c r="F1114" s="256"/>
      <c r="G1114" s="29" t="b">
        <v>0</v>
      </c>
      <c r="H1114" s="29" t="b">
        <v>0</v>
      </c>
    </row>
    <row r="1115">
      <c r="A1115" s="273"/>
      <c r="B1115" s="38"/>
      <c r="C1115" s="77"/>
      <c r="D1115" s="40"/>
      <c r="E1115" s="86"/>
      <c r="F1115" s="256"/>
      <c r="G1115" s="29" t="b">
        <v>0</v>
      </c>
      <c r="H1115" s="29" t="b">
        <v>0</v>
      </c>
    </row>
    <row r="1116">
      <c r="A1116" s="273"/>
      <c r="B1116" s="38"/>
      <c r="C1116" s="77"/>
      <c r="D1116" s="40"/>
      <c r="E1116" s="86"/>
      <c r="F1116" s="256"/>
      <c r="G1116" s="29" t="b">
        <v>0</v>
      </c>
      <c r="H1116" s="29" t="b">
        <v>0</v>
      </c>
    </row>
    <row r="1117">
      <c r="A1117" s="273"/>
      <c r="B1117" s="38"/>
      <c r="C1117" s="77"/>
      <c r="D1117" s="40"/>
      <c r="E1117" s="86"/>
      <c r="F1117" s="256"/>
      <c r="G1117" s="29" t="b">
        <v>0</v>
      </c>
      <c r="H1117" s="29" t="b">
        <v>0</v>
      </c>
    </row>
    <row r="1118">
      <c r="A1118" s="273"/>
      <c r="B1118" s="38"/>
      <c r="C1118" s="77"/>
      <c r="D1118" s="40"/>
      <c r="E1118" s="86"/>
      <c r="F1118" s="256"/>
      <c r="G1118" s="29" t="b">
        <v>0</v>
      </c>
      <c r="H1118" s="29" t="b">
        <v>0</v>
      </c>
    </row>
    <row r="1119">
      <c r="A1119" s="273"/>
      <c r="B1119" s="38"/>
      <c r="C1119" s="77"/>
      <c r="D1119" s="40"/>
      <c r="E1119" s="86"/>
      <c r="F1119" s="256"/>
      <c r="G1119" s="29" t="b">
        <v>0</v>
      </c>
      <c r="H1119" s="29" t="b">
        <v>0</v>
      </c>
    </row>
    <row r="1120">
      <c r="A1120" s="273"/>
      <c r="B1120" s="38"/>
      <c r="C1120" s="77"/>
      <c r="D1120" s="40"/>
      <c r="E1120" s="86"/>
      <c r="F1120" s="256"/>
      <c r="G1120" s="29" t="b">
        <v>0</v>
      </c>
      <c r="H1120" s="29" t="b">
        <v>0</v>
      </c>
    </row>
    <row r="1121">
      <c r="A1121" s="273"/>
      <c r="B1121" s="38"/>
      <c r="C1121" s="77"/>
      <c r="D1121" s="40"/>
      <c r="E1121" s="86"/>
      <c r="F1121" s="256"/>
      <c r="G1121" s="29" t="b">
        <v>0</v>
      </c>
      <c r="H1121" s="29" t="b">
        <v>0</v>
      </c>
    </row>
    <row r="1122">
      <c r="A1122" s="273"/>
      <c r="B1122" s="38"/>
      <c r="C1122" s="77"/>
      <c r="D1122" s="40"/>
      <c r="E1122" s="86"/>
      <c r="F1122" s="256"/>
      <c r="G1122" s="29" t="b">
        <v>0</v>
      </c>
      <c r="H1122" s="29" t="b">
        <v>0</v>
      </c>
    </row>
    <row r="1123">
      <c r="A1123" s="273"/>
      <c r="B1123" s="38"/>
      <c r="C1123" s="77"/>
      <c r="D1123" s="40"/>
      <c r="E1123" s="86"/>
      <c r="F1123" s="256"/>
      <c r="G1123" s="29" t="b">
        <v>0</v>
      </c>
      <c r="H1123" s="29" t="b">
        <v>0</v>
      </c>
    </row>
    <row r="1124">
      <c r="A1124" s="273"/>
      <c r="B1124" s="38"/>
      <c r="C1124" s="77"/>
      <c r="D1124" s="40"/>
      <c r="E1124" s="86"/>
      <c r="F1124" s="256"/>
      <c r="G1124" s="29" t="b">
        <v>0</v>
      </c>
      <c r="H1124" s="29" t="b">
        <v>0</v>
      </c>
    </row>
    <row r="1125">
      <c r="A1125" s="273"/>
      <c r="B1125" s="38"/>
      <c r="C1125" s="77"/>
      <c r="D1125" s="40"/>
      <c r="E1125" s="86"/>
      <c r="F1125" s="256"/>
      <c r="G1125" s="29" t="b">
        <v>0</v>
      </c>
      <c r="H1125" s="29" t="b">
        <v>0</v>
      </c>
    </row>
    <row r="1126">
      <c r="A1126" s="273"/>
      <c r="B1126" s="38"/>
      <c r="C1126" s="77"/>
      <c r="D1126" s="40"/>
      <c r="E1126" s="86"/>
      <c r="F1126" s="256"/>
      <c r="G1126" s="29" t="b">
        <v>0</v>
      </c>
      <c r="H1126" s="29" t="b">
        <v>0</v>
      </c>
    </row>
    <row r="1127">
      <c r="A1127" s="273"/>
      <c r="B1127" s="38"/>
      <c r="C1127" s="77"/>
      <c r="D1127" s="40"/>
      <c r="E1127" s="86"/>
      <c r="F1127" s="256"/>
      <c r="G1127" s="29" t="b">
        <v>0</v>
      </c>
      <c r="H1127" s="29" t="b">
        <v>0</v>
      </c>
    </row>
    <row r="1128">
      <c r="A1128" s="273"/>
      <c r="B1128" s="38"/>
      <c r="C1128" s="77"/>
      <c r="D1128" s="40"/>
      <c r="E1128" s="86"/>
      <c r="F1128" s="256"/>
      <c r="G1128" s="29" t="b">
        <v>0</v>
      </c>
      <c r="H1128" s="29" t="b">
        <v>0</v>
      </c>
    </row>
    <row r="1129">
      <c r="A1129" s="273"/>
      <c r="B1129" s="38"/>
      <c r="C1129" s="77"/>
      <c r="D1129" s="40"/>
      <c r="E1129" s="86"/>
      <c r="F1129" s="256"/>
      <c r="G1129" s="29" t="b">
        <v>0</v>
      </c>
      <c r="H1129" s="29" t="b">
        <v>0</v>
      </c>
    </row>
    <row r="1130">
      <c r="A1130" s="273"/>
      <c r="B1130" s="38"/>
      <c r="C1130" s="77"/>
      <c r="D1130" s="40"/>
      <c r="E1130" s="86"/>
      <c r="F1130" s="256"/>
      <c r="G1130" s="29" t="b">
        <v>0</v>
      </c>
      <c r="H1130" s="29" t="b">
        <v>0</v>
      </c>
    </row>
    <row r="1131">
      <c r="A1131" s="273"/>
      <c r="B1131" s="38"/>
      <c r="C1131" s="77"/>
      <c r="D1131" s="40"/>
      <c r="E1131" s="86"/>
      <c r="F1131" s="256"/>
      <c r="G1131" s="29" t="b">
        <v>0</v>
      </c>
      <c r="H1131" s="29" t="b">
        <v>0</v>
      </c>
    </row>
    <row r="1132">
      <c r="A1132" s="273"/>
      <c r="B1132" s="38"/>
      <c r="C1132" s="77"/>
      <c r="D1132" s="40"/>
      <c r="E1132" s="86"/>
      <c r="F1132" s="256"/>
      <c r="G1132" s="29" t="b">
        <v>0</v>
      </c>
      <c r="H1132" s="29" t="b">
        <v>0</v>
      </c>
    </row>
    <row r="1133">
      <c r="A1133" s="273"/>
      <c r="B1133" s="38"/>
      <c r="C1133" s="77"/>
      <c r="D1133" s="40"/>
      <c r="E1133" s="86"/>
      <c r="F1133" s="256"/>
      <c r="G1133" s="29" t="b">
        <v>0</v>
      </c>
      <c r="H1133" s="29" t="b">
        <v>0</v>
      </c>
    </row>
    <row r="1134">
      <c r="A1134" s="273"/>
      <c r="B1134" s="38"/>
      <c r="C1134" s="77"/>
      <c r="D1134" s="40"/>
      <c r="E1134" s="86"/>
      <c r="F1134" s="256"/>
      <c r="G1134" s="29" t="b">
        <v>0</v>
      </c>
      <c r="H1134" s="29" t="b">
        <v>0</v>
      </c>
    </row>
    <row r="1135">
      <c r="A1135" s="273"/>
      <c r="B1135" s="38"/>
      <c r="C1135" s="77"/>
      <c r="D1135" s="40"/>
      <c r="E1135" s="86"/>
      <c r="F1135" s="256"/>
      <c r="G1135" s="29" t="b">
        <v>0</v>
      </c>
      <c r="H1135" s="29" t="b">
        <v>0</v>
      </c>
    </row>
    <row r="1136">
      <c r="A1136" s="273"/>
      <c r="B1136" s="38"/>
      <c r="C1136" s="77"/>
      <c r="D1136" s="40"/>
      <c r="E1136" s="86"/>
      <c r="F1136" s="256"/>
      <c r="G1136" s="29" t="b">
        <v>0</v>
      </c>
      <c r="H1136" s="29" t="b">
        <v>0</v>
      </c>
    </row>
    <row r="1137">
      <c r="A1137" s="273"/>
      <c r="B1137" s="38"/>
      <c r="C1137" s="77"/>
      <c r="D1137" s="40"/>
      <c r="E1137" s="86"/>
      <c r="F1137" s="256"/>
      <c r="G1137" s="29" t="b">
        <v>0</v>
      </c>
      <c r="H1137" s="29" t="b">
        <v>0</v>
      </c>
    </row>
    <row r="1138">
      <c r="A1138" s="273"/>
      <c r="B1138" s="38"/>
      <c r="C1138" s="77"/>
      <c r="D1138" s="40"/>
      <c r="E1138" s="86"/>
      <c r="F1138" s="256"/>
      <c r="G1138" s="29" t="b">
        <v>0</v>
      </c>
      <c r="H1138" s="29" t="b">
        <v>0</v>
      </c>
    </row>
    <row r="1139">
      <c r="A1139" s="273"/>
      <c r="B1139" s="38"/>
      <c r="C1139" s="77"/>
      <c r="D1139" s="40"/>
      <c r="E1139" s="86"/>
      <c r="F1139" s="256"/>
      <c r="G1139" s="29" t="b">
        <v>0</v>
      </c>
      <c r="H1139" s="29" t="b">
        <v>0</v>
      </c>
    </row>
    <row r="1140">
      <c r="A1140" s="273"/>
      <c r="B1140" s="38"/>
      <c r="C1140" s="77"/>
      <c r="D1140" s="40"/>
      <c r="E1140" s="86"/>
      <c r="F1140" s="256"/>
      <c r="G1140" s="29" t="b">
        <v>0</v>
      </c>
      <c r="H1140" s="29" t="b">
        <v>0</v>
      </c>
    </row>
    <row r="1141">
      <c r="A1141" s="273"/>
      <c r="B1141" s="38"/>
      <c r="C1141" s="77"/>
      <c r="D1141" s="40"/>
      <c r="E1141" s="86"/>
      <c r="F1141" s="256"/>
      <c r="G1141" s="29" t="b">
        <v>0</v>
      </c>
      <c r="H1141" s="29" t="b">
        <v>0</v>
      </c>
    </row>
    <row r="1142">
      <c r="A1142" s="273"/>
      <c r="B1142" s="38"/>
      <c r="C1142" s="77"/>
      <c r="D1142" s="40"/>
      <c r="E1142" s="86"/>
      <c r="F1142" s="256"/>
      <c r="G1142" s="29" t="b">
        <v>0</v>
      </c>
      <c r="H1142" s="29" t="b">
        <v>0</v>
      </c>
    </row>
    <row r="1143">
      <c r="A1143" s="273"/>
      <c r="B1143" s="38"/>
      <c r="C1143" s="77"/>
      <c r="D1143" s="40"/>
      <c r="E1143" s="86"/>
      <c r="F1143" s="256"/>
      <c r="G1143" s="29" t="b">
        <v>0</v>
      </c>
      <c r="H1143" s="29" t="b">
        <v>0</v>
      </c>
    </row>
    <row r="1144">
      <c r="A1144" s="273"/>
      <c r="B1144" s="38"/>
      <c r="C1144" s="77"/>
      <c r="D1144" s="40"/>
      <c r="E1144" s="86"/>
      <c r="F1144" s="256"/>
      <c r="G1144" s="29" t="b">
        <v>0</v>
      </c>
      <c r="H1144" s="29" t="b">
        <v>0</v>
      </c>
    </row>
    <row r="1145">
      <c r="A1145" s="273"/>
      <c r="B1145" s="38"/>
      <c r="C1145" s="77"/>
      <c r="D1145" s="40"/>
      <c r="E1145" s="86"/>
      <c r="F1145" s="256"/>
      <c r="G1145" s="29" t="b">
        <v>0</v>
      </c>
      <c r="H1145" s="29" t="b">
        <v>0</v>
      </c>
    </row>
    <row r="1146">
      <c r="A1146" s="273"/>
      <c r="B1146" s="38"/>
      <c r="C1146" s="77"/>
      <c r="D1146" s="40"/>
      <c r="E1146" s="86"/>
      <c r="F1146" s="256"/>
      <c r="G1146" s="29" t="b">
        <v>0</v>
      </c>
      <c r="H1146" s="29" t="b">
        <v>0</v>
      </c>
    </row>
    <row r="1147">
      <c r="A1147" s="273"/>
      <c r="B1147" s="38"/>
      <c r="C1147" s="77"/>
      <c r="D1147" s="40"/>
      <c r="E1147" s="86"/>
      <c r="F1147" s="256"/>
      <c r="G1147" s="29" t="b">
        <v>0</v>
      </c>
      <c r="H1147" s="29" t="b">
        <v>0</v>
      </c>
    </row>
    <row r="1148">
      <c r="A1148" s="273"/>
      <c r="B1148" s="38"/>
      <c r="C1148" s="77"/>
      <c r="D1148" s="40"/>
      <c r="E1148" s="86"/>
      <c r="F1148" s="256"/>
      <c r="G1148" s="29" t="b">
        <v>0</v>
      </c>
      <c r="H1148" s="29" t="b">
        <v>0</v>
      </c>
    </row>
    <row r="1149">
      <c r="A1149" s="273"/>
      <c r="B1149" s="38"/>
      <c r="C1149" s="77"/>
      <c r="D1149" s="40"/>
      <c r="E1149" s="86"/>
      <c r="F1149" s="256"/>
      <c r="G1149" s="29" t="b">
        <v>0</v>
      </c>
      <c r="H1149" s="29" t="b">
        <v>0</v>
      </c>
    </row>
    <row r="1150">
      <c r="A1150" s="273"/>
      <c r="B1150" s="38"/>
      <c r="C1150" s="77"/>
      <c r="D1150" s="40"/>
      <c r="E1150" s="86"/>
      <c r="F1150" s="256"/>
      <c r="G1150" s="29" t="b">
        <v>0</v>
      </c>
      <c r="H1150" s="29" t="b">
        <v>0</v>
      </c>
    </row>
    <row r="1151">
      <c r="A1151" s="273"/>
      <c r="B1151" s="38"/>
      <c r="C1151" s="77"/>
      <c r="D1151" s="40"/>
      <c r="E1151" s="86"/>
      <c r="F1151" s="256"/>
      <c r="G1151" s="29" t="b">
        <v>0</v>
      </c>
      <c r="H1151" s="29" t="b">
        <v>0</v>
      </c>
    </row>
    <row r="1152">
      <c r="A1152" s="273"/>
      <c r="B1152" s="38"/>
      <c r="C1152" s="77"/>
      <c r="D1152" s="40"/>
      <c r="E1152" s="86"/>
      <c r="F1152" s="256"/>
      <c r="G1152" s="29" t="b">
        <v>0</v>
      </c>
      <c r="H1152" s="29" t="b">
        <v>0</v>
      </c>
    </row>
    <row r="1153">
      <c r="A1153" s="273"/>
      <c r="B1153" s="38"/>
      <c r="C1153" s="77"/>
      <c r="D1153" s="40"/>
      <c r="E1153" s="274"/>
      <c r="F1153" s="256"/>
      <c r="G1153" s="29" t="b">
        <v>0</v>
      </c>
      <c r="H1153" s="29" t="b">
        <v>0</v>
      </c>
    </row>
    <row r="1154">
      <c r="A1154" s="273"/>
      <c r="B1154" s="38"/>
      <c r="C1154" s="77"/>
      <c r="D1154" s="40"/>
      <c r="E1154" s="274"/>
      <c r="F1154" s="256"/>
      <c r="G1154" s="29" t="b">
        <v>0</v>
      </c>
      <c r="H1154" s="29" t="b">
        <v>0</v>
      </c>
    </row>
    <row r="1155">
      <c r="A1155" s="273"/>
      <c r="B1155" s="38"/>
      <c r="C1155" s="77"/>
      <c r="D1155" s="40"/>
      <c r="E1155" s="86"/>
      <c r="F1155" s="256"/>
      <c r="G1155" s="29" t="b">
        <v>0</v>
      </c>
      <c r="H1155" s="29" t="b">
        <v>0</v>
      </c>
    </row>
    <row r="1156">
      <c r="A1156" s="273"/>
      <c r="B1156" s="38"/>
      <c r="C1156" s="77"/>
      <c r="D1156" s="40"/>
      <c r="E1156" s="86"/>
      <c r="F1156" s="256"/>
      <c r="G1156" s="29" t="b">
        <v>0</v>
      </c>
      <c r="H1156" s="29" t="b">
        <v>0</v>
      </c>
    </row>
    <row r="1157">
      <c r="A1157" s="273"/>
      <c r="B1157" s="38"/>
      <c r="C1157" s="77"/>
      <c r="D1157" s="40"/>
      <c r="E1157" s="86"/>
      <c r="F1157" s="256"/>
      <c r="G1157" s="29" t="b">
        <v>0</v>
      </c>
      <c r="H1157" s="29" t="b">
        <v>0</v>
      </c>
    </row>
    <row r="1158">
      <c r="A1158" s="273"/>
      <c r="B1158" s="38"/>
      <c r="C1158" s="77"/>
      <c r="D1158" s="40"/>
      <c r="E1158" s="86"/>
      <c r="F1158" s="256"/>
      <c r="G1158" s="29" t="b">
        <v>0</v>
      </c>
      <c r="H1158" s="29" t="b">
        <v>0</v>
      </c>
    </row>
    <row r="1159">
      <c r="A1159" s="273"/>
      <c r="B1159" s="38"/>
      <c r="C1159" s="77"/>
      <c r="D1159" s="40"/>
      <c r="E1159" s="86"/>
      <c r="F1159" s="256"/>
      <c r="G1159" s="29" t="b">
        <v>0</v>
      </c>
      <c r="H1159" s="29" t="b">
        <v>0</v>
      </c>
    </row>
    <row r="1160">
      <c r="A1160" s="273"/>
      <c r="B1160" s="38"/>
      <c r="C1160" s="77"/>
      <c r="D1160" s="40"/>
      <c r="E1160" s="86"/>
      <c r="F1160" s="256"/>
      <c r="G1160" s="29" t="b">
        <v>0</v>
      </c>
      <c r="H1160" s="29" t="b">
        <v>0</v>
      </c>
    </row>
    <row r="1161">
      <c r="A1161" s="273"/>
      <c r="B1161" s="38"/>
      <c r="C1161" s="77"/>
      <c r="D1161" s="40"/>
      <c r="E1161" s="86"/>
      <c r="F1161" s="256"/>
      <c r="G1161" s="29" t="b">
        <v>0</v>
      </c>
      <c r="H1161" s="29" t="b">
        <v>0</v>
      </c>
    </row>
    <row r="1162">
      <c r="A1162" s="273"/>
      <c r="B1162" s="38"/>
      <c r="C1162" s="77"/>
      <c r="D1162" s="40"/>
      <c r="E1162" s="86"/>
      <c r="F1162" s="256"/>
      <c r="G1162" s="29" t="b">
        <v>0</v>
      </c>
      <c r="H1162" s="29" t="b">
        <v>0</v>
      </c>
    </row>
    <row r="1163">
      <c r="A1163" s="273"/>
      <c r="B1163" s="38"/>
      <c r="C1163" s="77"/>
      <c r="D1163" s="40"/>
      <c r="E1163" s="256"/>
      <c r="F1163" s="256"/>
      <c r="G1163" s="29" t="b">
        <v>0</v>
      </c>
      <c r="H1163" s="29" t="b">
        <v>0</v>
      </c>
    </row>
    <row r="1164">
      <c r="A1164" s="273"/>
      <c r="B1164" s="38"/>
      <c r="C1164" s="77"/>
      <c r="D1164" s="40"/>
      <c r="E1164" s="256"/>
      <c r="F1164" s="256"/>
      <c r="G1164" s="29" t="b">
        <v>0</v>
      </c>
      <c r="H1164" s="29" t="b">
        <v>0</v>
      </c>
    </row>
    <row r="1165">
      <c r="A1165" s="273"/>
      <c r="B1165" s="38"/>
      <c r="C1165" s="77"/>
      <c r="D1165" s="40"/>
      <c r="E1165" s="86"/>
      <c r="F1165" s="256"/>
      <c r="G1165" s="29" t="b">
        <v>0</v>
      </c>
      <c r="H1165" s="29" t="b">
        <v>0</v>
      </c>
    </row>
    <row r="1166">
      <c r="A1166" s="273"/>
      <c r="B1166" s="38"/>
      <c r="C1166" s="77"/>
      <c r="D1166" s="40"/>
      <c r="E1166" s="86"/>
      <c r="F1166" s="256"/>
      <c r="G1166" s="29" t="b">
        <v>0</v>
      </c>
      <c r="H1166" s="29" t="b">
        <v>0</v>
      </c>
    </row>
    <row r="1167">
      <c r="A1167" s="273"/>
      <c r="B1167" s="38"/>
      <c r="C1167" s="77"/>
      <c r="D1167" s="40"/>
      <c r="E1167" s="86"/>
      <c r="F1167" s="256"/>
      <c r="G1167" s="29" t="b">
        <v>0</v>
      </c>
      <c r="H1167" s="29" t="b">
        <v>0</v>
      </c>
    </row>
    <row r="1168">
      <c r="A1168" s="273"/>
      <c r="B1168" s="38"/>
      <c r="C1168" s="77"/>
      <c r="D1168" s="40"/>
      <c r="E1168" s="269"/>
      <c r="F1168" s="256"/>
      <c r="G1168" s="29" t="b">
        <v>0</v>
      </c>
      <c r="H1168" s="29" t="b">
        <v>0</v>
      </c>
    </row>
    <row r="1169">
      <c r="A1169" s="273"/>
      <c r="B1169" s="38"/>
      <c r="C1169" s="77"/>
      <c r="D1169" s="40"/>
      <c r="E1169" s="269"/>
      <c r="F1169" s="256"/>
      <c r="G1169" s="29" t="b">
        <v>0</v>
      </c>
      <c r="H1169" s="29" t="b">
        <v>0</v>
      </c>
    </row>
    <row r="1170">
      <c r="A1170" s="273"/>
      <c r="B1170" s="38"/>
      <c r="C1170" s="77"/>
      <c r="D1170" s="40"/>
      <c r="E1170" s="86"/>
      <c r="F1170" s="256"/>
      <c r="G1170" s="29" t="b">
        <v>0</v>
      </c>
      <c r="H1170" s="29" t="b">
        <v>0</v>
      </c>
    </row>
    <row r="1171">
      <c r="A1171" s="273"/>
      <c r="B1171" s="38"/>
      <c r="C1171" s="77"/>
      <c r="D1171" s="40"/>
      <c r="E1171" s="86"/>
      <c r="F1171" s="256"/>
      <c r="G1171" s="29" t="b">
        <v>0</v>
      </c>
      <c r="H1171" s="29" t="b">
        <v>0</v>
      </c>
    </row>
    <row r="1172">
      <c r="A1172" s="273"/>
      <c r="B1172" s="38"/>
      <c r="C1172" s="77"/>
      <c r="D1172" s="40"/>
      <c r="E1172" s="256"/>
      <c r="F1172" s="256"/>
      <c r="G1172" s="29" t="b">
        <v>0</v>
      </c>
      <c r="H1172" s="29" t="b">
        <v>0</v>
      </c>
    </row>
    <row r="1173">
      <c r="A1173" s="273"/>
      <c r="B1173" s="38"/>
      <c r="C1173" s="77"/>
      <c r="D1173" s="40"/>
      <c r="E1173" s="256"/>
      <c r="F1173" s="256"/>
      <c r="G1173" s="29" t="b">
        <v>0</v>
      </c>
      <c r="H1173" s="29" t="b">
        <v>0</v>
      </c>
    </row>
    <row r="1174">
      <c r="A1174" s="273"/>
      <c r="B1174" s="38"/>
      <c r="C1174" s="77"/>
      <c r="D1174" s="40"/>
      <c r="E1174" s="256"/>
      <c r="F1174" s="256"/>
      <c r="G1174" s="29" t="b">
        <v>0</v>
      </c>
      <c r="H1174" s="29" t="b">
        <v>0</v>
      </c>
    </row>
    <row r="1175">
      <c r="A1175" s="273"/>
      <c r="B1175" s="38"/>
      <c r="C1175" s="77"/>
      <c r="D1175" s="40"/>
      <c r="E1175" s="256"/>
      <c r="F1175" s="256"/>
      <c r="G1175" s="29" t="b">
        <v>0</v>
      </c>
      <c r="H1175" s="29" t="b">
        <v>0</v>
      </c>
    </row>
    <row r="1176">
      <c r="A1176" s="273"/>
      <c r="B1176" s="38"/>
      <c r="C1176" s="77"/>
      <c r="D1176" s="40"/>
      <c r="E1176" s="256"/>
      <c r="F1176" s="256"/>
      <c r="G1176" s="29" t="b">
        <v>0</v>
      </c>
      <c r="H1176" s="29" t="b">
        <v>0</v>
      </c>
    </row>
    <row r="1177">
      <c r="A1177" s="273"/>
      <c r="B1177" s="38"/>
      <c r="C1177" s="77"/>
      <c r="D1177" s="40"/>
      <c r="E1177" s="256"/>
      <c r="F1177" s="256"/>
      <c r="G1177" s="29" t="b">
        <v>0</v>
      </c>
      <c r="H1177" s="29" t="b">
        <v>0</v>
      </c>
    </row>
    <row r="1178">
      <c r="A1178" s="273"/>
      <c r="B1178" s="38"/>
      <c r="C1178" s="77"/>
      <c r="D1178" s="40"/>
      <c r="E1178" s="256"/>
      <c r="F1178" s="256"/>
      <c r="G1178" s="29" t="b">
        <v>0</v>
      </c>
      <c r="H1178" s="29" t="b">
        <v>0</v>
      </c>
    </row>
    <row r="1179">
      <c r="A1179" s="273"/>
      <c r="B1179" s="38"/>
      <c r="C1179" s="77"/>
      <c r="D1179" s="40"/>
      <c r="E1179" s="256"/>
      <c r="F1179" s="256"/>
      <c r="G1179" s="29" t="b">
        <v>0</v>
      </c>
      <c r="H1179" s="29" t="b">
        <v>0</v>
      </c>
    </row>
    <row r="1180">
      <c r="A1180" s="273"/>
      <c r="B1180" s="38"/>
      <c r="C1180" s="77"/>
      <c r="D1180" s="40"/>
      <c r="E1180" s="256"/>
      <c r="F1180" s="256"/>
      <c r="G1180" s="29" t="b">
        <v>0</v>
      </c>
      <c r="H1180" s="29" t="b">
        <v>0</v>
      </c>
    </row>
    <row r="1181">
      <c r="A1181" s="273"/>
      <c r="B1181" s="38"/>
      <c r="C1181" s="77"/>
      <c r="D1181" s="40"/>
      <c r="E1181" s="256"/>
      <c r="F1181" s="256"/>
      <c r="G1181" s="29" t="b">
        <v>0</v>
      </c>
      <c r="H1181" s="29" t="b">
        <v>0</v>
      </c>
    </row>
    <row r="1182">
      <c r="A1182" s="273"/>
      <c r="B1182" s="38"/>
      <c r="C1182" s="77"/>
      <c r="D1182" s="40"/>
      <c r="E1182" s="256"/>
      <c r="F1182" s="256"/>
      <c r="G1182" s="29" t="b">
        <v>0</v>
      </c>
      <c r="H1182" s="29" t="b">
        <v>0</v>
      </c>
    </row>
    <row r="1183">
      <c r="A1183" s="273"/>
      <c r="B1183" s="38"/>
      <c r="C1183" s="256"/>
      <c r="D1183" s="40"/>
      <c r="E1183" s="256"/>
      <c r="F1183" s="256"/>
      <c r="G1183" s="29" t="b">
        <v>0</v>
      </c>
      <c r="H1183" s="29" t="b">
        <v>0</v>
      </c>
    </row>
    <row r="1184">
      <c r="A1184" s="273"/>
      <c r="B1184" s="38"/>
      <c r="C1184" s="77"/>
      <c r="D1184" s="40"/>
      <c r="E1184" s="256"/>
      <c r="F1184" s="256"/>
      <c r="G1184" s="29" t="b">
        <v>0</v>
      </c>
      <c r="H1184" s="29" t="b">
        <v>0</v>
      </c>
    </row>
    <row r="1185">
      <c r="A1185" s="273"/>
      <c r="B1185" s="38"/>
      <c r="C1185" s="77"/>
      <c r="D1185" s="40"/>
      <c r="E1185" s="256"/>
      <c r="F1185" s="256"/>
      <c r="G1185" s="29" t="b">
        <v>0</v>
      </c>
      <c r="H1185" s="29" t="b">
        <v>0</v>
      </c>
    </row>
    <row r="1186">
      <c r="A1186" s="273"/>
      <c r="B1186" s="38"/>
      <c r="C1186" s="77"/>
      <c r="D1186" s="40"/>
      <c r="E1186" s="256"/>
      <c r="F1186" s="256"/>
      <c r="G1186" s="29" t="b">
        <v>0</v>
      </c>
      <c r="H1186" s="29" t="b">
        <v>0</v>
      </c>
    </row>
    <row r="1187">
      <c r="A1187" s="273"/>
      <c r="B1187" s="38"/>
      <c r="C1187" s="77"/>
      <c r="D1187" s="40"/>
      <c r="E1187" s="256"/>
      <c r="F1187" s="256"/>
      <c r="G1187" s="29" t="b">
        <v>0</v>
      </c>
      <c r="H1187" s="29" t="b">
        <v>0</v>
      </c>
    </row>
    <row r="1188">
      <c r="A1188" s="273"/>
      <c r="B1188" s="38"/>
      <c r="C1188" s="77"/>
      <c r="D1188" s="40"/>
      <c r="E1188" s="256"/>
      <c r="F1188" s="256"/>
      <c r="G1188" s="29" t="b">
        <v>0</v>
      </c>
      <c r="H1188" s="29" t="b">
        <v>0</v>
      </c>
    </row>
    <row r="1189">
      <c r="A1189" s="273"/>
      <c r="B1189" s="38"/>
      <c r="C1189" s="77"/>
      <c r="D1189" s="40"/>
      <c r="E1189" s="256"/>
      <c r="F1189" s="256"/>
      <c r="G1189" s="29" t="b">
        <v>0</v>
      </c>
      <c r="H1189" s="29" t="b">
        <v>0</v>
      </c>
    </row>
    <row r="1190">
      <c r="A1190" s="273"/>
      <c r="B1190" s="38"/>
      <c r="C1190" s="77"/>
      <c r="D1190" s="40"/>
      <c r="E1190" s="256"/>
      <c r="F1190" s="256"/>
      <c r="G1190" s="29" t="b">
        <v>0</v>
      </c>
      <c r="H1190" s="29" t="b">
        <v>0</v>
      </c>
    </row>
    <row r="1191">
      <c r="A1191" s="273"/>
      <c r="B1191" s="38"/>
      <c r="C1191" s="77"/>
      <c r="D1191" s="40"/>
      <c r="E1191" s="256"/>
      <c r="F1191" s="256"/>
      <c r="G1191" s="29" t="b">
        <v>0</v>
      </c>
      <c r="H1191" s="29" t="b">
        <v>0</v>
      </c>
    </row>
    <row r="1192">
      <c r="A1192" s="273"/>
      <c r="B1192" s="38"/>
      <c r="C1192" s="77"/>
      <c r="D1192" s="40"/>
      <c r="E1192" s="256"/>
      <c r="F1192" s="256"/>
      <c r="G1192" s="29" t="b">
        <v>0</v>
      </c>
      <c r="H1192" s="29" t="b">
        <v>0</v>
      </c>
    </row>
    <row r="1193">
      <c r="A1193" s="273"/>
      <c r="B1193" s="38"/>
      <c r="C1193" s="77"/>
      <c r="D1193" s="40"/>
      <c r="E1193" s="256"/>
      <c r="F1193" s="256"/>
      <c r="G1193" s="29" t="b">
        <v>0</v>
      </c>
      <c r="H1193" s="29" t="b">
        <v>0</v>
      </c>
    </row>
    <row r="1194">
      <c r="A1194" s="273"/>
      <c r="B1194" s="38"/>
      <c r="C1194" s="77"/>
      <c r="D1194" s="40"/>
      <c r="E1194" s="86"/>
      <c r="F1194" s="256"/>
      <c r="G1194" s="29" t="b">
        <v>0</v>
      </c>
      <c r="H1194" s="29" t="b">
        <v>0</v>
      </c>
    </row>
    <row r="1195">
      <c r="A1195" s="273"/>
      <c r="B1195" s="38"/>
      <c r="C1195" s="77"/>
      <c r="D1195" s="40"/>
      <c r="E1195" s="256"/>
      <c r="F1195" s="256"/>
      <c r="G1195" s="29" t="b">
        <v>0</v>
      </c>
      <c r="H1195" s="29" t="b">
        <v>0</v>
      </c>
    </row>
    <row r="1196">
      <c r="A1196" s="273"/>
      <c r="B1196" s="38"/>
      <c r="C1196" s="77"/>
      <c r="D1196" s="40"/>
      <c r="E1196" s="86"/>
      <c r="F1196" s="256"/>
      <c r="G1196" s="29" t="b">
        <v>0</v>
      </c>
      <c r="H1196" s="29" t="b">
        <v>0</v>
      </c>
    </row>
    <row r="1197">
      <c r="A1197" s="273"/>
      <c r="B1197" s="38"/>
      <c r="C1197" s="77"/>
      <c r="D1197" s="40"/>
      <c r="E1197" s="86"/>
      <c r="F1197" s="256"/>
      <c r="G1197" s="29" t="b">
        <v>0</v>
      </c>
      <c r="H1197" s="29" t="b">
        <v>0</v>
      </c>
    </row>
    <row r="1198">
      <c r="A1198" s="130"/>
      <c r="B1198" s="252"/>
      <c r="C1198" s="77"/>
      <c r="D1198" s="77"/>
      <c r="E1198" s="275"/>
      <c r="F1198" s="276"/>
      <c r="G1198" s="29" t="b">
        <v>0</v>
      </c>
      <c r="H1198" s="29" t="b">
        <v>0</v>
      </c>
    </row>
    <row r="1199">
      <c r="A1199" s="277"/>
      <c r="B1199" s="252"/>
      <c r="C1199" s="77"/>
      <c r="D1199" s="260"/>
      <c r="E1199" s="275"/>
      <c r="F1199" s="278"/>
      <c r="G1199" s="29" t="b">
        <v>0</v>
      </c>
      <c r="H1199" s="29" t="b">
        <v>0</v>
      </c>
    </row>
    <row r="1200">
      <c r="A1200" s="130"/>
      <c r="B1200" s="279"/>
      <c r="C1200" s="280"/>
      <c r="D1200" s="280"/>
      <c r="E1200" s="276"/>
      <c r="F1200" s="256"/>
      <c r="G1200" s="29" t="b">
        <v>0</v>
      </c>
      <c r="H1200" s="29" t="b">
        <v>0</v>
      </c>
    </row>
    <row r="1201">
      <c r="A1201" s="130"/>
      <c r="B1201" s="279"/>
      <c r="C1201" s="280"/>
      <c r="D1201" s="281"/>
      <c r="E1201" s="276"/>
      <c r="F1201" s="256"/>
      <c r="G1201" s="29" t="b">
        <v>0</v>
      </c>
      <c r="H1201" s="29" t="b">
        <v>0</v>
      </c>
    </row>
    <row r="1202">
      <c r="A1202" s="273"/>
      <c r="B1202" s="38"/>
      <c r="C1202" s="77"/>
      <c r="D1202" s="40"/>
      <c r="E1202" s="86"/>
      <c r="F1202" s="256"/>
      <c r="G1202" s="29" t="b">
        <v>0</v>
      </c>
      <c r="H1202" s="29" t="b">
        <v>0</v>
      </c>
    </row>
    <row r="1203">
      <c r="A1203" s="273"/>
      <c r="B1203" s="38"/>
      <c r="C1203" s="77"/>
      <c r="D1203" s="40"/>
      <c r="E1203" s="86"/>
      <c r="F1203" s="256"/>
      <c r="G1203" s="29" t="b">
        <v>0</v>
      </c>
      <c r="H1203" s="29" t="b">
        <v>0</v>
      </c>
    </row>
    <row r="1204">
      <c r="A1204" s="273"/>
      <c r="B1204" s="279"/>
      <c r="C1204" s="260"/>
      <c r="D1204" s="260"/>
      <c r="E1204" s="86"/>
      <c r="F1204" s="256"/>
      <c r="G1204" s="29" t="b">
        <v>0</v>
      </c>
      <c r="H1204" s="29" t="b">
        <v>0</v>
      </c>
    </row>
    <row r="1205">
      <c r="A1205" s="273"/>
      <c r="B1205" s="279"/>
      <c r="C1205" s="280"/>
      <c r="D1205" s="281"/>
      <c r="E1205" s="276"/>
      <c r="F1205" s="256"/>
      <c r="G1205" s="29" t="b">
        <v>0</v>
      </c>
      <c r="H1205" s="29" t="b">
        <v>0</v>
      </c>
    </row>
    <row r="1206">
      <c r="A1206" s="273"/>
      <c r="B1206" s="279"/>
      <c r="C1206" s="260"/>
      <c r="D1206" s="275"/>
      <c r="E1206" s="278"/>
      <c r="F1206" s="256"/>
      <c r="G1206" s="29" t="b">
        <v>0</v>
      </c>
      <c r="H1206" s="29" t="b">
        <v>0</v>
      </c>
    </row>
    <row r="1207">
      <c r="A1207" s="273"/>
      <c r="B1207" s="38"/>
      <c r="C1207" s="280"/>
      <c r="D1207" s="40"/>
      <c r="E1207" s="276"/>
      <c r="F1207" s="256"/>
      <c r="G1207" s="29" t="b">
        <v>0</v>
      </c>
      <c r="H1207" s="29" t="b">
        <v>0</v>
      </c>
    </row>
    <row r="1208">
      <c r="A1208" s="130"/>
      <c r="B1208" s="279"/>
      <c r="C1208" s="280"/>
      <c r="D1208" s="281"/>
      <c r="E1208" s="276"/>
      <c r="F1208" s="256"/>
      <c r="G1208" s="29" t="b">
        <v>0</v>
      </c>
      <c r="H1208" s="29" t="b">
        <v>0</v>
      </c>
    </row>
    <row r="1209">
      <c r="A1209" s="130"/>
      <c r="B1209" s="279"/>
      <c r="C1209" s="280"/>
      <c r="D1209" s="281"/>
      <c r="E1209" s="276"/>
      <c r="F1209" s="256"/>
      <c r="G1209" s="29" t="b">
        <v>0</v>
      </c>
      <c r="H1209" s="29" t="b">
        <v>0</v>
      </c>
    </row>
    <row r="1210">
      <c r="A1210" s="130"/>
      <c r="B1210" s="279"/>
      <c r="C1210" s="280"/>
      <c r="D1210" s="281"/>
      <c r="E1210" s="276"/>
      <c r="F1210" s="256"/>
      <c r="G1210" s="29" t="b">
        <v>0</v>
      </c>
      <c r="H1210" s="29" t="b">
        <v>0</v>
      </c>
    </row>
    <row r="1211">
      <c r="A1211" s="130"/>
      <c r="B1211" s="279"/>
      <c r="C1211" s="280"/>
      <c r="D1211" s="281"/>
      <c r="E1211" s="278"/>
      <c r="F1211" s="256"/>
      <c r="G1211" s="29" t="b">
        <v>0</v>
      </c>
      <c r="H1211" s="29" t="b">
        <v>0</v>
      </c>
    </row>
    <row r="1212">
      <c r="A1212" s="130"/>
      <c r="B1212" s="279"/>
      <c r="C1212" s="282"/>
      <c r="D1212" s="281"/>
      <c r="E1212" s="278"/>
      <c r="F1212" s="283"/>
      <c r="G1212" s="29" t="b">
        <v>0</v>
      </c>
      <c r="H1212" s="29" t="b">
        <v>0</v>
      </c>
    </row>
    <row r="1213">
      <c r="A1213" s="130"/>
      <c r="B1213" s="284"/>
      <c r="C1213" s="285"/>
      <c r="D1213" s="286"/>
      <c r="E1213" s="268"/>
      <c r="F1213" s="256"/>
      <c r="G1213" s="29" t="b">
        <v>0</v>
      </c>
      <c r="H1213" s="29" t="b">
        <v>0</v>
      </c>
    </row>
    <row r="1214">
      <c r="A1214" s="130"/>
      <c r="B1214" s="284"/>
      <c r="C1214" s="285"/>
      <c r="D1214" s="286"/>
      <c r="E1214" s="268"/>
      <c r="F1214" s="256"/>
      <c r="G1214" s="29" t="b">
        <v>0</v>
      </c>
      <c r="H1214" s="29" t="b">
        <v>0</v>
      </c>
    </row>
    <row r="1215">
      <c r="A1215" s="130"/>
      <c r="B1215" s="284"/>
      <c r="C1215" s="285"/>
      <c r="D1215" s="286"/>
      <c r="E1215" s="268"/>
      <c r="F1215" s="256"/>
      <c r="G1215" s="29" t="b">
        <v>0</v>
      </c>
      <c r="H1215" s="29" t="b">
        <v>0</v>
      </c>
    </row>
    <row r="1216">
      <c r="A1216" s="287"/>
      <c r="B1216" s="284"/>
      <c r="C1216" s="285"/>
      <c r="D1216" s="286"/>
      <c r="E1216" s="268"/>
      <c r="F1216" s="256"/>
      <c r="G1216" s="29" t="b">
        <v>0</v>
      </c>
      <c r="H1216" s="29" t="b">
        <v>0</v>
      </c>
    </row>
    <row r="1217">
      <c r="A1217" s="130"/>
      <c r="B1217" s="279"/>
      <c r="C1217" s="280"/>
      <c r="D1217" s="281"/>
      <c r="E1217" s="276"/>
      <c r="F1217" s="283"/>
      <c r="G1217" s="29" t="b">
        <v>0</v>
      </c>
      <c r="H1217" s="29" t="b">
        <v>0</v>
      </c>
    </row>
    <row r="1218">
      <c r="A1218" s="130"/>
      <c r="B1218" s="279"/>
      <c r="C1218" s="282"/>
      <c r="D1218" s="281"/>
      <c r="E1218" s="278"/>
      <c r="F1218" s="283"/>
      <c r="G1218" s="29" t="b">
        <v>0</v>
      </c>
      <c r="H1218" s="29" t="b">
        <v>0</v>
      </c>
    </row>
    <row r="1219">
      <c r="A1219" s="130"/>
      <c r="B1219" s="288"/>
      <c r="C1219" s="280"/>
      <c r="D1219" s="281"/>
      <c r="E1219" s="276"/>
      <c r="F1219" s="256"/>
      <c r="G1219" s="29" t="b">
        <v>0</v>
      </c>
      <c r="H1219" s="29" t="b">
        <v>0</v>
      </c>
    </row>
    <row r="1220">
      <c r="A1220" s="130"/>
      <c r="B1220" s="279"/>
      <c r="C1220" s="280"/>
      <c r="D1220" s="281"/>
      <c r="E1220" s="276"/>
      <c r="F1220" s="256"/>
      <c r="G1220" s="29" t="b">
        <v>0</v>
      </c>
      <c r="H1220" s="29" t="b">
        <v>0</v>
      </c>
    </row>
    <row r="1221">
      <c r="A1221" s="130"/>
      <c r="B1221" s="279"/>
      <c r="C1221" s="280"/>
      <c r="D1221" s="281"/>
      <c r="E1221" s="276"/>
      <c r="F1221" s="256"/>
      <c r="G1221" s="29" t="b">
        <v>0</v>
      </c>
      <c r="H1221" s="29" t="b">
        <v>0</v>
      </c>
    </row>
    <row r="1222">
      <c r="A1222" s="130"/>
      <c r="B1222" s="279"/>
      <c r="C1222" s="280"/>
      <c r="D1222" s="281"/>
      <c r="E1222" s="276"/>
      <c r="F1222" s="256"/>
      <c r="G1222" s="29" t="b">
        <v>0</v>
      </c>
      <c r="H1222" s="29" t="b">
        <v>0</v>
      </c>
    </row>
    <row r="1223">
      <c r="A1223" s="130"/>
      <c r="B1223" s="279"/>
      <c r="C1223" s="280"/>
      <c r="D1223" s="281"/>
      <c r="E1223" s="276"/>
      <c r="F1223" s="256"/>
      <c r="G1223" s="29" t="b">
        <v>0</v>
      </c>
      <c r="H1223" s="29" t="b">
        <v>0</v>
      </c>
    </row>
    <row r="1224">
      <c r="A1224" s="130"/>
      <c r="B1224" s="288"/>
      <c r="C1224" s="280"/>
      <c r="D1224" s="281"/>
      <c r="E1224" s="276"/>
      <c r="F1224" s="256"/>
      <c r="G1224" s="29" t="b">
        <v>0</v>
      </c>
      <c r="H1224" s="29" t="b">
        <v>0</v>
      </c>
    </row>
    <row r="1225">
      <c r="A1225" s="130"/>
      <c r="B1225" s="279"/>
      <c r="C1225" s="280"/>
      <c r="D1225" s="281"/>
      <c r="E1225" s="276"/>
      <c r="F1225" s="256"/>
      <c r="G1225" s="29" t="b">
        <v>0</v>
      </c>
      <c r="H1225" s="29" t="b">
        <v>0</v>
      </c>
    </row>
    <row r="1226">
      <c r="A1226" s="130"/>
      <c r="B1226" s="279"/>
      <c r="C1226" s="280"/>
      <c r="D1226" s="281"/>
      <c r="E1226" s="276"/>
      <c r="F1226" s="256"/>
      <c r="G1226" s="29" t="b">
        <v>0</v>
      </c>
      <c r="H1226" s="29" t="b">
        <v>0</v>
      </c>
    </row>
    <row r="1227">
      <c r="A1227" s="130"/>
      <c r="B1227" s="288"/>
      <c r="C1227" s="280"/>
      <c r="D1227" s="281"/>
      <c r="E1227" s="289"/>
      <c r="F1227" s="256"/>
      <c r="G1227" s="29" t="b">
        <v>0</v>
      </c>
      <c r="H1227" s="29" t="b">
        <v>0</v>
      </c>
    </row>
    <row r="1228">
      <c r="A1228" s="130"/>
      <c r="B1228" s="279"/>
      <c r="C1228" s="282"/>
      <c r="D1228" s="281"/>
      <c r="E1228" s="278"/>
      <c r="F1228" s="283"/>
      <c r="G1228" s="29" t="b">
        <v>0</v>
      </c>
      <c r="H1228" s="29" t="b">
        <v>0</v>
      </c>
    </row>
    <row r="1229">
      <c r="A1229" s="130"/>
      <c r="B1229" s="279"/>
      <c r="C1229" s="280"/>
      <c r="D1229" s="281"/>
      <c r="E1229" s="276"/>
      <c r="F1229" s="256"/>
      <c r="G1229" s="29" t="b">
        <v>0</v>
      </c>
      <c r="H1229" s="29" t="b">
        <v>0</v>
      </c>
    </row>
    <row r="1230">
      <c r="A1230" s="130"/>
      <c r="B1230" s="279"/>
      <c r="C1230" s="280"/>
      <c r="D1230" s="281"/>
      <c r="E1230" s="276"/>
      <c r="F1230" s="256"/>
      <c r="G1230" s="29" t="b">
        <v>0</v>
      </c>
      <c r="H1230" s="29" t="b">
        <v>0</v>
      </c>
    </row>
    <row r="1231">
      <c r="A1231" s="130"/>
      <c r="B1231" s="279"/>
      <c r="C1231" s="280"/>
      <c r="D1231" s="281"/>
      <c r="E1231" s="276"/>
      <c r="F1231" s="256"/>
      <c r="G1231" s="29" t="b">
        <v>0</v>
      </c>
      <c r="H1231" s="29" t="b">
        <v>0</v>
      </c>
    </row>
    <row r="1232">
      <c r="A1232" s="130"/>
      <c r="B1232" s="279"/>
      <c r="C1232" s="280"/>
      <c r="D1232" s="281"/>
      <c r="E1232" s="276"/>
      <c r="F1232" s="256"/>
      <c r="G1232" s="29" t="b">
        <v>0</v>
      </c>
      <c r="H1232" s="29" t="b">
        <v>0</v>
      </c>
    </row>
    <row r="1233">
      <c r="A1233" s="130"/>
      <c r="B1233" s="288"/>
      <c r="C1233" s="280"/>
      <c r="D1233" s="281"/>
      <c r="E1233" s="276"/>
      <c r="F1233" s="256"/>
      <c r="G1233" s="29" t="b">
        <v>0</v>
      </c>
      <c r="H1233" s="29" t="b">
        <v>0</v>
      </c>
    </row>
  </sheetData>
  <mergeCells count="1">
    <mergeCell ref="A1:H1"/>
  </mergeCells>
  <conditionalFormatting sqref="A3:H1233">
    <cfRule type="expression" dxfId="0" priority="1">
      <formula>$H3=TRUE</formula>
    </cfRule>
  </conditionalFormatting>
  <conditionalFormatting sqref="A3:G1233">
    <cfRule type="expression" dxfId="1" priority="2">
      <formula>$G3=TRUE</formula>
    </cfRule>
  </conditionalFormatting>
  <dataValidations>
    <dataValidation type="list" allowBlank="1" showErrorMessage="1" sqref="C3:C1233">
      <formula1>elenchi!$C$2:$C$100</formula1>
    </dataValidation>
    <dataValidation type="custom" allowBlank="1" showDropDown="1" showInputMessage="1" prompt="Immetti una data valida" sqref="A3:A1233">
      <formula1>OR(NOT(ISERROR(DATEVALUE(A3))), AND(ISNUMBER(A3), LEFT(CELL("format", A3))="D"))</formula1>
    </dataValidation>
    <dataValidation type="list" allowBlank="1" showErrorMessage="1" sqref="B3:B1233">
      <formula1>elenchi!$B$2:$B$10</formula1>
    </dataValidation>
    <dataValidation type="list" allowBlank="1" sqref="E3:E48 E49:F50 E51 E52:F52 E53:E87 E89:E287 E288:F288 E289:E1233">
      <formula1>elenchi!$C$2:$C$100</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pageSetUpPr/>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5.25"/>
    <col customWidth="1" min="2" max="2" width="18.38"/>
    <col customWidth="1" min="3" max="3" width="21.63"/>
    <col customWidth="1" min="4" max="4" width="19.25"/>
    <col customWidth="1" min="5" max="5" width="15.0"/>
    <col customWidth="1" min="6" max="6" width="22.88"/>
    <col customWidth="1" min="7" max="7" width="26.38"/>
    <col customWidth="1" min="8" max="8" width="24.25"/>
    <col customWidth="1" min="9" max="9" width="8.13"/>
  </cols>
  <sheetData>
    <row r="1" ht="27.75" customHeight="1">
      <c r="A1" s="290" t="s">
        <v>1204</v>
      </c>
      <c r="B1" s="100"/>
      <c r="C1" s="100"/>
      <c r="D1" s="100"/>
      <c r="E1" s="100"/>
      <c r="F1" s="100"/>
      <c r="G1" s="100"/>
      <c r="H1" s="100"/>
      <c r="I1" s="101"/>
    </row>
    <row r="2" ht="24.0" customHeight="1">
      <c r="A2" s="102" t="s">
        <v>612</v>
      </c>
      <c r="B2" s="6" t="s">
        <v>3</v>
      </c>
      <c r="C2" s="103" t="s">
        <v>613</v>
      </c>
      <c r="D2" s="103" t="s">
        <v>614</v>
      </c>
      <c r="E2" s="104" t="s">
        <v>615</v>
      </c>
      <c r="F2" s="103" t="s">
        <v>616</v>
      </c>
      <c r="G2" s="103" t="s">
        <v>617</v>
      </c>
      <c r="H2" s="105" t="s">
        <v>618</v>
      </c>
      <c r="I2" s="106" t="s">
        <v>619</v>
      </c>
    </row>
    <row r="3" ht="18.75" customHeight="1">
      <c r="A3" s="107">
        <v>45526.0</v>
      </c>
      <c r="B3" s="108" t="s">
        <v>59</v>
      </c>
      <c r="C3" s="108" t="s">
        <v>1205</v>
      </c>
      <c r="D3" s="109" t="s">
        <v>1206</v>
      </c>
      <c r="E3" s="109">
        <v>2.32402656E8</v>
      </c>
      <c r="F3" s="110" t="s">
        <v>1207</v>
      </c>
      <c r="G3" s="110" t="s">
        <v>1208</v>
      </c>
      <c r="H3" s="111"/>
      <c r="I3" s="112" t="b">
        <v>0</v>
      </c>
    </row>
    <row r="4" ht="18.75" customHeight="1">
      <c r="A4" s="107">
        <v>45527.0</v>
      </c>
      <c r="B4" s="108" t="s">
        <v>59</v>
      </c>
      <c r="C4" s="108" t="s">
        <v>1209</v>
      </c>
      <c r="D4" s="109" t="s">
        <v>1210</v>
      </c>
      <c r="E4" s="109">
        <v>2.4250004E8</v>
      </c>
      <c r="F4" s="110" t="s">
        <v>1211</v>
      </c>
      <c r="G4" s="110" t="s">
        <v>1212</v>
      </c>
      <c r="H4" s="111"/>
      <c r="I4" s="112" t="b">
        <v>0</v>
      </c>
    </row>
    <row r="5" ht="18.75" customHeight="1">
      <c r="A5" s="107">
        <v>45532.0</v>
      </c>
      <c r="B5" s="108" t="s">
        <v>1213</v>
      </c>
      <c r="C5" s="108" t="s">
        <v>1214</v>
      </c>
      <c r="D5" s="109" t="s">
        <v>1215</v>
      </c>
      <c r="E5" s="113">
        <v>2.42500203E8</v>
      </c>
      <c r="F5" s="110" t="s">
        <v>1216</v>
      </c>
      <c r="G5" s="110" t="s">
        <v>1217</v>
      </c>
      <c r="H5" s="111"/>
      <c r="I5" s="112" t="b">
        <v>0</v>
      </c>
    </row>
    <row r="6" ht="18.75" customHeight="1">
      <c r="A6" s="107">
        <v>45545.0</v>
      </c>
      <c r="B6" s="108" t="s">
        <v>59</v>
      </c>
      <c r="C6" s="108" t="s">
        <v>1218</v>
      </c>
      <c r="D6" s="109" t="s">
        <v>1219</v>
      </c>
      <c r="E6" s="109">
        <v>2.42500317E8</v>
      </c>
      <c r="F6" s="110" t="s">
        <v>1220</v>
      </c>
      <c r="G6" s="110" t="s">
        <v>1221</v>
      </c>
      <c r="H6" s="111"/>
      <c r="I6" s="112" t="b">
        <v>0</v>
      </c>
    </row>
    <row r="7" ht="18.75" customHeight="1">
      <c r="A7" s="107">
        <v>45548.0</v>
      </c>
      <c r="B7" s="108" t="s">
        <v>59</v>
      </c>
      <c r="C7" s="108" t="s">
        <v>1222</v>
      </c>
      <c r="D7" s="109" t="s">
        <v>1223</v>
      </c>
      <c r="E7" s="109"/>
      <c r="F7" s="110" t="s">
        <v>1224</v>
      </c>
      <c r="G7" s="110" t="s">
        <v>1225</v>
      </c>
      <c r="H7" s="111"/>
      <c r="I7" s="112" t="b">
        <v>0</v>
      </c>
    </row>
    <row r="8" ht="18.75" customHeight="1">
      <c r="A8" s="107">
        <v>45551.0</v>
      </c>
      <c r="B8" s="108" t="s">
        <v>59</v>
      </c>
      <c r="C8" s="108" t="s">
        <v>1226</v>
      </c>
      <c r="D8" s="109" t="s">
        <v>1227</v>
      </c>
      <c r="E8" s="109"/>
      <c r="F8" s="110" t="s">
        <v>1228</v>
      </c>
      <c r="G8" s="110" t="s">
        <v>1229</v>
      </c>
      <c r="H8" s="111"/>
      <c r="I8" s="112" t="b">
        <v>0</v>
      </c>
    </row>
    <row r="9" ht="18.75" customHeight="1">
      <c r="A9" s="107">
        <v>45551.0</v>
      </c>
      <c r="B9" s="108" t="s">
        <v>59</v>
      </c>
      <c r="C9" s="108" t="s">
        <v>1230</v>
      </c>
      <c r="D9" s="109" t="s">
        <v>1231</v>
      </c>
      <c r="E9" s="109"/>
      <c r="F9" s="110" t="s">
        <v>1228</v>
      </c>
      <c r="G9" s="110" t="s">
        <v>1229</v>
      </c>
      <c r="H9" s="111"/>
      <c r="I9" s="112" t="b">
        <v>0</v>
      </c>
    </row>
    <row r="10" ht="18.75" customHeight="1">
      <c r="A10" s="107">
        <v>45563.0</v>
      </c>
      <c r="B10" s="108" t="s">
        <v>59</v>
      </c>
      <c r="C10" s="108" t="s">
        <v>1232</v>
      </c>
      <c r="D10" s="109" t="s">
        <v>1233</v>
      </c>
      <c r="E10" s="109"/>
      <c r="F10" s="110" t="s">
        <v>1234</v>
      </c>
      <c r="G10" s="110" t="s">
        <v>1235</v>
      </c>
      <c r="H10" s="111"/>
      <c r="I10" s="112" t="b">
        <v>0</v>
      </c>
    </row>
    <row r="11" ht="18.75" customHeight="1">
      <c r="A11" s="107">
        <v>45563.0</v>
      </c>
      <c r="B11" s="108" t="s">
        <v>59</v>
      </c>
      <c r="C11" s="108" t="s">
        <v>1232</v>
      </c>
      <c r="D11" s="109" t="s">
        <v>1236</v>
      </c>
      <c r="E11" s="109"/>
      <c r="F11" s="110" t="s">
        <v>1237</v>
      </c>
      <c r="G11" s="110"/>
      <c r="H11" s="111"/>
      <c r="I11" s="112" t="b">
        <v>0</v>
      </c>
    </row>
    <row r="12" ht="18.75" customHeight="1">
      <c r="A12" s="107">
        <v>45563.0</v>
      </c>
      <c r="B12" s="108" t="s">
        <v>246</v>
      </c>
      <c r="C12" s="108" t="s">
        <v>1238</v>
      </c>
      <c r="D12" s="109" t="s">
        <v>1239</v>
      </c>
      <c r="E12" s="109"/>
      <c r="F12" s="110" t="s">
        <v>1240</v>
      </c>
      <c r="G12" s="110" t="s">
        <v>1241</v>
      </c>
      <c r="H12" s="111"/>
      <c r="I12" s="112" t="b">
        <v>0</v>
      </c>
    </row>
    <row r="13" ht="18.75" customHeight="1">
      <c r="A13" s="107">
        <v>45563.0</v>
      </c>
      <c r="B13" s="108" t="s">
        <v>246</v>
      </c>
      <c r="C13" s="108" t="s">
        <v>1242</v>
      </c>
      <c r="D13" s="109" t="s">
        <v>1243</v>
      </c>
      <c r="E13" s="109"/>
      <c r="F13" s="110" t="s">
        <v>1244</v>
      </c>
      <c r="G13" s="110" t="s">
        <v>1245</v>
      </c>
      <c r="H13" s="111"/>
      <c r="I13" s="112" t="b">
        <v>0</v>
      </c>
    </row>
    <row r="14" ht="18.75" customHeight="1">
      <c r="A14" s="107">
        <v>45563.0</v>
      </c>
      <c r="B14" s="108" t="s">
        <v>246</v>
      </c>
      <c r="C14" s="108" t="s">
        <v>1246</v>
      </c>
      <c r="D14" s="109" t="s">
        <v>1247</v>
      </c>
      <c r="E14" s="109"/>
      <c r="F14" s="110" t="s">
        <v>1248</v>
      </c>
      <c r="G14" s="110" t="s">
        <v>1225</v>
      </c>
      <c r="H14" s="111"/>
      <c r="I14" s="112" t="b">
        <v>0</v>
      </c>
    </row>
    <row r="15" ht="18.75" customHeight="1">
      <c r="A15" s="107">
        <v>45563.0</v>
      </c>
      <c r="B15" s="108" t="s">
        <v>246</v>
      </c>
      <c r="C15" s="108" t="s">
        <v>1249</v>
      </c>
      <c r="D15" s="109" t="s">
        <v>1250</v>
      </c>
      <c r="E15" s="109"/>
      <c r="F15" s="110" t="s">
        <v>1251</v>
      </c>
      <c r="G15" s="110" t="s">
        <v>1252</v>
      </c>
      <c r="H15" s="111"/>
      <c r="I15" s="112" t="b">
        <v>0</v>
      </c>
    </row>
    <row r="16" ht="18.75" customHeight="1">
      <c r="A16" s="107">
        <v>45563.0</v>
      </c>
      <c r="B16" s="108" t="s">
        <v>246</v>
      </c>
      <c r="C16" s="108" t="s">
        <v>1249</v>
      </c>
      <c r="D16" s="109" t="s">
        <v>1250</v>
      </c>
      <c r="E16" s="109"/>
      <c r="F16" s="110" t="s">
        <v>1253</v>
      </c>
      <c r="G16" s="110" t="s">
        <v>1254</v>
      </c>
      <c r="H16" s="111"/>
      <c r="I16" s="112" t="b">
        <v>0</v>
      </c>
    </row>
    <row r="17" ht="18.75" customHeight="1">
      <c r="A17" s="107">
        <v>45563.0</v>
      </c>
      <c r="B17" s="108" t="s">
        <v>246</v>
      </c>
      <c r="C17" s="108" t="s">
        <v>1255</v>
      </c>
      <c r="D17" s="109" t="s">
        <v>1256</v>
      </c>
      <c r="E17" s="109"/>
      <c r="F17" s="110" t="s">
        <v>1257</v>
      </c>
      <c r="G17" s="110" t="s">
        <v>1258</v>
      </c>
      <c r="H17" s="111"/>
      <c r="I17" s="112" t="b">
        <v>0</v>
      </c>
    </row>
    <row r="18" ht="18.75" customHeight="1">
      <c r="A18" s="107">
        <v>45563.0</v>
      </c>
      <c r="B18" s="108" t="s">
        <v>246</v>
      </c>
      <c r="C18" s="108" t="s">
        <v>1255</v>
      </c>
      <c r="D18" s="109" t="s">
        <v>1256</v>
      </c>
      <c r="E18" s="109"/>
      <c r="F18" s="110" t="s">
        <v>1258</v>
      </c>
      <c r="G18" s="110" t="s">
        <v>1259</v>
      </c>
      <c r="H18" s="111"/>
      <c r="I18" s="112" t="b">
        <v>0</v>
      </c>
    </row>
    <row r="19" ht="18.75" customHeight="1">
      <c r="A19" s="107">
        <v>45568.0</v>
      </c>
      <c r="B19" s="108" t="s">
        <v>59</v>
      </c>
      <c r="C19" s="108" t="s">
        <v>1260</v>
      </c>
      <c r="D19" s="109" t="s">
        <v>1261</v>
      </c>
      <c r="E19" s="109">
        <v>2.32400169E8</v>
      </c>
      <c r="F19" s="110" t="s">
        <v>1248</v>
      </c>
      <c r="G19" s="110" t="s">
        <v>1262</v>
      </c>
      <c r="H19" s="111"/>
      <c r="I19" s="112" t="b">
        <v>0</v>
      </c>
    </row>
    <row r="20" ht="18.75" customHeight="1">
      <c r="A20" s="107">
        <v>45568.0</v>
      </c>
      <c r="B20" s="108" t="s">
        <v>59</v>
      </c>
      <c r="C20" s="108" t="s">
        <v>1263</v>
      </c>
      <c r="D20" s="109" t="s">
        <v>1264</v>
      </c>
      <c r="E20" s="109"/>
      <c r="F20" s="110" t="s">
        <v>1248</v>
      </c>
      <c r="G20" s="110" t="s">
        <v>1262</v>
      </c>
      <c r="H20" s="111"/>
      <c r="I20" s="112" t="b">
        <v>0</v>
      </c>
    </row>
    <row r="21" ht="18.75" customHeight="1">
      <c r="A21" s="107">
        <v>45572.0</v>
      </c>
      <c r="B21" s="108" t="s">
        <v>59</v>
      </c>
      <c r="C21" s="108" t="s">
        <v>1265</v>
      </c>
      <c r="D21" s="109" t="s">
        <v>1266</v>
      </c>
      <c r="E21" s="109"/>
      <c r="F21" s="110" t="s">
        <v>1267</v>
      </c>
      <c r="G21" s="110" t="s">
        <v>1268</v>
      </c>
      <c r="H21" s="111"/>
      <c r="I21" s="112" t="b">
        <v>0</v>
      </c>
    </row>
    <row r="22" ht="18.75" customHeight="1">
      <c r="A22" s="107">
        <v>45572.0</v>
      </c>
      <c r="B22" s="108" t="s">
        <v>59</v>
      </c>
      <c r="C22" s="108" t="s">
        <v>1269</v>
      </c>
      <c r="D22" s="109" t="s">
        <v>1270</v>
      </c>
      <c r="E22" s="109"/>
      <c r="F22" s="110" t="s">
        <v>1267</v>
      </c>
      <c r="G22" s="110" t="s">
        <v>1268</v>
      </c>
      <c r="H22" s="111"/>
      <c r="I22" s="112" t="b">
        <v>0</v>
      </c>
    </row>
    <row r="23" ht="18.75" customHeight="1">
      <c r="A23" s="107">
        <v>45572.0</v>
      </c>
      <c r="B23" s="108" t="s">
        <v>59</v>
      </c>
      <c r="C23" s="108" t="s">
        <v>1271</v>
      </c>
      <c r="D23" s="109" t="s">
        <v>1272</v>
      </c>
      <c r="E23" s="109">
        <v>2.42501188E8</v>
      </c>
      <c r="F23" s="110" t="s">
        <v>1273</v>
      </c>
      <c r="G23" s="110" t="s">
        <v>1274</v>
      </c>
      <c r="H23" s="111"/>
      <c r="I23" s="112" t="b">
        <v>0</v>
      </c>
    </row>
    <row r="24" ht="18.75" customHeight="1">
      <c r="A24" s="114">
        <v>45572.0</v>
      </c>
      <c r="B24" s="108" t="s">
        <v>59</v>
      </c>
      <c r="C24" s="108" t="s">
        <v>1275</v>
      </c>
      <c r="D24" s="109" t="s">
        <v>1276</v>
      </c>
      <c r="E24" s="109">
        <v>2.42501189E8</v>
      </c>
      <c r="F24" s="110" t="s">
        <v>1273</v>
      </c>
      <c r="G24" s="110" t="s">
        <v>1274</v>
      </c>
      <c r="H24" s="111"/>
      <c r="I24" s="112" t="b">
        <v>0</v>
      </c>
    </row>
    <row r="25" ht="18.75" customHeight="1">
      <c r="A25" s="107">
        <v>45580.0</v>
      </c>
      <c r="B25" s="108" t="s">
        <v>246</v>
      </c>
      <c r="C25" s="108" t="s">
        <v>1277</v>
      </c>
      <c r="D25" s="109" t="s">
        <v>1278</v>
      </c>
      <c r="E25" s="109"/>
      <c r="F25" s="110" t="s">
        <v>1279</v>
      </c>
      <c r="G25" s="110" t="s">
        <v>1280</v>
      </c>
      <c r="H25" s="111"/>
      <c r="I25" s="112" t="b">
        <v>0</v>
      </c>
    </row>
    <row r="26" ht="18.75" customHeight="1">
      <c r="A26" s="107">
        <v>45580.0</v>
      </c>
      <c r="B26" s="108" t="s">
        <v>246</v>
      </c>
      <c r="C26" s="108" t="s">
        <v>1281</v>
      </c>
      <c r="D26" s="109" t="s">
        <v>1278</v>
      </c>
      <c r="E26" s="109"/>
      <c r="F26" s="110" t="s">
        <v>1282</v>
      </c>
      <c r="G26" s="110" t="s">
        <v>1283</v>
      </c>
      <c r="H26" s="111"/>
      <c r="I26" s="112" t="b">
        <v>0</v>
      </c>
    </row>
    <row r="27" ht="18.75" customHeight="1">
      <c r="A27" s="107">
        <v>45580.0</v>
      </c>
      <c r="B27" s="108" t="s">
        <v>246</v>
      </c>
      <c r="C27" s="108" t="s">
        <v>1284</v>
      </c>
      <c r="D27" s="109" t="s">
        <v>1285</v>
      </c>
      <c r="E27" s="109"/>
      <c r="F27" s="110" t="s">
        <v>1224</v>
      </c>
      <c r="G27" s="110" t="s">
        <v>1286</v>
      </c>
      <c r="H27" s="111"/>
      <c r="I27" s="112" t="b">
        <v>0</v>
      </c>
    </row>
    <row r="28" ht="18.75" customHeight="1">
      <c r="A28" s="107">
        <v>45580.0</v>
      </c>
      <c r="B28" s="108" t="s">
        <v>246</v>
      </c>
      <c r="C28" s="108" t="s">
        <v>1246</v>
      </c>
      <c r="D28" s="109" t="s">
        <v>1247</v>
      </c>
      <c r="E28" s="109"/>
      <c r="F28" s="115" t="s">
        <v>1287</v>
      </c>
      <c r="G28" s="110" t="s">
        <v>1288</v>
      </c>
      <c r="H28" s="111"/>
      <c r="I28" s="112" t="b">
        <v>0</v>
      </c>
    </row>
    <row r="29" ht="18.75" customHeight="1">
      <c r="A29" s="107">
        <v>45580.0</v>
      </c>
      <c r="B29" s="108" t="s">
        <v>246</v>
      </c>
      <c r="C29" s="108" t="s">
        <v>1289</v>
      </c>
      <c r="D29" s="109" t="s">
        <v>1290</v>
      </c>
      <c r="E29" s="109"/>
      <c r="F29" s="110" t="s">
        <v>1291</v>
      </c>
      <c r="G29" s="110" t="s">
        <v>1292</v>
      </c>
      <c r="H29" s="111"/>
      <c r="I29" s="112" t="b">
        <v>0</v>
      </c>
    </row>
    <row r="30" ht="79.5" customHeight="1">
      <c r="A30" s="107">
        <v>45582.0</v>
      </c>
      <c r="B30" s="108" t="s">
        <v>10</v>
      </c>
      <c r="C30" s="116" t="s">
        <v>1293</v>
      </c>
      <c r="D30" s="117" t="s">
        <v>1294</v>
      </c>
      <c r="E30" s="118">
        <v>2.32402846E8</v>
      </c>
      <c r="F30" s="110" t="s">
        <v>1212</v>
      </c>
      <c r="G30" s="110"/>
      <c r="H30" s="110" t="s">
        <v>1295</v>
      </c>
      <c r="I30" s="112" t="b">
        <v>0</v>
      </c>
    </row>
    <row r="31" ht="18.75" customHeight="1">
      <c r="A31" s="107">
        <v>45586.0</v>
      </c>
      <c r="B31" s="108" t="s">
        <v>59</v>
      </c>
      <c r="C31" s="108" t="s">
        <v>1296</v>
      </c>
      <c r="D31" s="109" t="s">
        <v>1297</v>
      </c>
      <c r="E31" s="109">
        <v>3.497298529E9</v>
      </c>
      <c r="F31" s="110" t="s">
        <v>1224</v>
      </c>
      <c r="G31" s="110" t="s">
        <v>1298</v>
      </c>
      <c r="H31" s="111"/>
      <c r="I31" s="112" t="b">
        <v>0</v>
      </c>
    </row>
    <row r="32" ht="18.75" customHeight="1">
      <c r="A32" s="107">
        <v>45587.0</v>
      </c>
      <c r="B32" s="108" t="s">
        <v>246</v>
      </c>
      <c r="C32" s="108" t="s">
        <v>1299</v>
      </c>
      <c r="D32" s="109" t="s">
        <v>1231</v>
      </c>
      <c r="E32" s="109"/>
      <c r="F32" s="110" t="s">
        <v>1300</v>
      </c>
      <c r="G32" s="110" t="s">
        <v>1287</v>
      </c>
      <c r="H32" s="111"/>
      <c r="I32" s="112" t="b">
        <v>0</v>
      </c>
    </row>
    <row r="33" ht="18.75" customHeight="1">
      <c r="A33" s="107">
        <v>45587.0</v>
      </c>
      <c r="B33" s="108" t="s">
        <v>246</v>
      </c>
      <c r="C33" s="108" t="s">
        <v>1301</v>
      </c>
      <c r="D33" s="109" t="s">
        <v>1302</v>
      </c>
      <c r="E33" s="109"/>
      <c r="F33" s="110" t="s">
        <v>1303</v>
      </c>
      <c r="G33" s="110" t="s">
        <v>1304</v>
      </c>
      <c r="H33" s="111"/>
      <c r="I33" s="112" t="b">
        <v>0</v>
      </c>
    </row>
    <row r="34" ht="18.75" customHeight="1">
      <c r="A34" s="107">
        <v>45590.0</v>
      </c>
      <c r="B34" s="108" t="s">
        <v>246</v>
      </c>
      <c r="C34" s="108" t="s">
        <v>1305</v>
      </c>
      <c r="D34" s="109" t="s">
        <v>1306</v>
      </c>
      <c r="E34" s="109"/>
      <c r="F34" s="110" t="s">
        <v>1240</v>
      </c>
      <c r="G34" s="110" t="s">
        <v>1307</v>
      </c>
      <c r="H34" s="111"/>
      <c r="I34" s="112" t="b">
        <v>0</v>
      </c>
    </row>
    <row r="35" ht="18.75" customHeight="1">
      <c r="A35" s="107">
        <v>45602.0</v>
      </c>
      <c r="B35" s="108" t="s">
        <v>59</v>
      </c>
      <c r="C35" s="108" t="s">
        <v>1308</v>
      </c>
      <c r="D35" s="109" t="s">
        <v>1309</v>
      </c>
      <c r="E35" s="109">
        <v>2.42500199E8</v>
      </c>
      <c r="F35" s="110" t="s">
        <v>1310</v>
      </c>
      <c r="G35" s="110" t="s">
        <v>1311</v>
      </c>
      <c r="H35" s="111"/>
      <c r="I35" s="112" t="b">
        <v>0</v>
      </c>
    </row>
    <row r="36" ht="18.75" customHeight="1">
      <c r="A36" s="107">
        <v>45602.0</v>
      </c>
      <c r="B36" s="108" t="s">
        <v>59</v>
      </c>
      <c r="C36" s="108" t="s">
        <v>1312</v>
      </c>
      <c r="D36" s="109" t="s">
        <v>1313</v>
      </c>
      <c r="E36" s="109"/>
      <c r="F36" s="110" t="s">
        <v>1273</v>
      </c>
      <c r="G36" s="110" t="s">
        <v>1314</v>
      </c>
      <c r="H36" s="111"/>
      <c r="I36" s="112" t="b">
        <v>0</v>
      </c>
    </row>
    <row r="37" ht="18.75" customHeight="1">
      <c r="A37" s="107">
        <v>45608.0</v>
      </c>
      <c r="B37" s="108" t="s">
        <v>59</v>
      </c>
      <c r="C37" s="108" t="s">
        <v>1315</v>
      </c>
      <c r="D37" s="109" t="s">
        <v>1264</v>
      </c>
      <c r="E37" s="109">
        <v>2.42501359E8</v>
      </c>
      <c r="F37" s="110" t="s">
        <v>1316</v>
      </c>
      <c r="G37" s="110" t="s">
        <v>1317</v>
      </c>
      <c r="H37" s="111"/>
      <c r="I37" s="112" t="b">
        <v>0</v>
      </c>
    </row>
    <row r="38" ht="18.75" customHeight="1">
      <c r="A38" s="107">
        <v>45610.0</v>
      </c>
      <c r="B38" s="108" t="s">
        <v>59</v>
      </c>
      <c r="C38" s="108" t="s">
        <v>1318</v>
      </c>
      <c r="D38" s="109" t="s">
        <v>1319</v>
      </c>
      <c r="E38" s="109"/>
      <c r="F38" s="110" t="s">
        <v>1320</v>
      </c>
      <c r="G38" s="110" t="s">
        <v>1307</v>
      </c>
      <c r="H38" s="111"/>
      <c r="I38" s="112" t="b">
        <v>0</v>
      </c>
    </row>
    <row r="39" ht="18.75" customHeight="1">
      <c r="A39" s="107">
        <v>45622.0</v>
      </c>
      <c r="B39" s="108" t="s">
        <v>246</v>
      </c>
      <c r="C39" s="108" t="s">
        <v>1242</v>
      </c>
      <c r="D39" s="109" t="s">
        <v>1321</v>
      </c>
      <c r="E39" s="109">
        <v>2.42500913E8</v>
      </c>
      <c r="F39" s="110" t="s">
        <v>1322</v>
      </c>
      <c r="G39" s="110" t="s">
        <v>1323</v>
      </c>
      <c r="H39" s="111"/>
      <c r="I39" s="112" t="b">
        <v>0</v>
      </c>
    </row>
    <row r="40" ht="18.75" customHeight="1">
      <c r="A40" s="107">
        <v>45630.0</v>
      </c>
      <c r="B40" s="108" t="s">
        <v>1213</v>
      </c>
      <c r="C40" s="108" t="s">
        <v>1324</v>
      </c>
      <c r="D40" s="109" t="s">
        <v>1325</v>
      </c>
      <c r="E40" s="109">
        <v>2.42501663E8</v>
      </c>
      <c r="F40" s="110" t="s">
        <v>1326</v>
      </c>
      <c r="G40" s="110" t="s">
        <v>1327</v>
      </c>
      <c r="H40" s="111"/>
      <c r="I40" s="112" t="b">
        <v>0</v>
      </c>
    </row>
    <row r="41" ht="18.75" customHeight="1">
      <c r="A41" s="107">
        <v>45631.0</v>
      </c>
      <c r="B41" s="108" t="s">
        <v>1213</v>
      </c>
      <c r="C41" s="108" t="s">
        <v>1328</v>
      </c>
      <c r="D41" s="108" t="s">
        <v>1329</v>
      </c>
      <c r="E41" s="109">
        <v>2.42500937E8</v>
      </c>
      <c r="F41" s="110" t="s">
        <v>1310</v>
      </c>
      <c r="G41" s="110" t="s">
        <v>1330</v>
      </c>
      <c r="H41" s="111"/>
      <c r="I41" s="112" t="b">
        <v>0</v>
      </c>
    </row>
    <row r="42" ht="18.75" customHeight="1">
      <c r="A42" s="107">
        <v>45644.0</v>
      </c>
      <c r="B42" s="108" t="s">
        <v>1213</v>
      </c>
      <c r="C42" s="108" t="s">
        <v>1331</v>
      </c>
      <c r="D42" s="108" t="s">
        <v>1332</v>
      </c>
      <c r="E42" s="113">
        <v>2.42501667E8</v>
      </c>
      <c r="F42" s="110" t="s">
        <v>1333</v>
      </c>
      <c r="G42" s="110" t="s">
        <v>1334</v>
      </c>
      <c r="H42" s="111"/>
      <c r="I42" s="112" t="b">
        <v>0</v>
      </c>
    </row>
    <row r="43" ht="18.75" customHeight="1">
      <c r="A43" s="107">
        <v>45672.0</v>
      </c>
      <c r="B43" s="108" t="s">
        <v>59</v>
      </c>
      <c r="C43" s="108" t="s">
        <v>1335</v>
      </c>
      <c r="D43" s="108" t="s">
        <v>1336</v>
      </c>
      <c r="E43" s="109">
        <v>2.42501323E8</v>
      </c>
      <c r="F43" s="110" t="s">
        <v>1337</v>
      </c>
      <c r="G43" s="110" t="s">
        <v>1310</v>
      </c>
      <c r="H43" s="111"/>
      <c r="I43" s="112" t="b">
        <v>0</v>
      </c>
    </row>
    <row r="44" ht="18.75" customHeight="1">
      <c r="A44" s="107">
        <v>45705.0</v>
      </c>
      <c r="B44" s="108" t="s">
        <v>246</v>
      </c>
      <c r="C44" s="108" t="s">
        <v>1338</v>
      </c>
      <c r="D44" s="108" t="s">
        <v>1339</v>
      </c>
      <c r="E44" s="109">
        <v>2.42501947E8</v>
      </c>
      <c r="F44" s="110" t="s">
        <v>1225</v>
      </c>
      <c r="G44" s="110" t="s">
        <v>1286</v>
      </c>
      <c r="H44" s="111"/>
      <c r="I44" s="112" t="b">
        <v>0</v>
      </c>
    </row>
    <row r="45" ht="18.75" customHeight="1">
      <c r="A45" s="107"/>
      <c r="B45" s="108"/>
      <c r="C45" s="108"/>
      <c r="D45" s="108"/>
      <c r="E45" s="109"/>
      <c r="F45" s="110"/>
      <c r="G45" s="110"/>
      <c r="H45" s="111"/>
      <c r="I45" s="112" t="b">
        <v>0</v>
      </c>
    </row>
    <row r="46" ht="18.75" customHeight="1">
      <c r="A46" s="107"/>
      <c r="B46" s="108"/>
      <c r="C46" s="108"/>
      <c r="D46" s="108"/>
      <c r="E46" s="109"/>
      <c r="F46" s="110"/>
      <c r="G46" s="110"/>
      <c r="H46" s="111"/>
      <c r="I46" s="112" t="b">
        <v>0</v>
      </c>
    </row>
    <row r="47" ht="18.75" customHeight="1">
      <c r="A47" s="107"/>
      <c r="B47" s="108"/>
      <c r="C47" s="108"/>
      <c r="D47" s="108"/>
      <c r="E47" s="119"/>
      <c r="F47" s="110"/>
      <c r="G47" s="110"/>
      <c r="H47" s="111"/>
      <c r="I47" s="112" t="b">
        <v>0</v>
      </c>
    </row>
    <row r="48" ht="18.75" customHeight="1">
      <c r="A48" s="107"/>
      <c r="B48" s="108"/>
      <c r="C48" s="108"/>
      <c r="D48" s="108"/>
      <c r="E48" s="119"/>
      <c r="F48" s="110"/>
      <c r="G48" s="110"/>
      <c r="H48" s="111"/>
      <c r="I48" s="112" t="b">
        <v>0</v>
      </c>
    </row>
    <row r="49" ht="18.75" customHeight="1">
      <c r="A49" s="107"/>
      <c r="B49" s="108"/>
      <c r="C49" s="108"/>
      <c r="D49" s="108"/>
      <c r="E49" s="109"/>
      <c r="F49" s="110"/>
      <c r="G49" s="110"/>
      <c r="H49" s="111"/>
      <c r="I49" s="112" t="b">
        <v>0</v>
      </c>
    </row>
    <row r="50" ht="18.75" customHeight="1">
      <c r="A50" s="107"/>
      <c r="B50" s="108"/>
      <c r="C50" s="108"/>
      <c r="D50" s="108"/>
      <c r="E50" s="109"/>
      <c r="F50" s="110"/>
      <c r="G50" s="110"/>
      <c r="H50" s="111"/>
      <c r="I50" s="112" t="b">
        <v>0</v>
      </c>
    </row>
    <row r="51" ht="18.75" customHeight="1">
      <c r="A51" s="107"/>
      <c r="B51" s="108"/>
      <c r="C51" s="108"/>
      <c r="D51" s="108"/>
      <c r="E51" s="109"/>
      <c r="F51" s="110"/>
      <c r="G51" s="110"/>
      <c r="H51" s="111"/>
      <c r="I51" s="112" t="b">
        <v>0</v>
      </c>
    </row>
    <row r="52" ht="18.75" customHeight="1">
      <c r="A52" s="107"/>
      <c r="B52" s="108"/>
      <c r="C52" s="108"/>
      <c r="D52" s="108"/>
      <c r="E52" s="109"/>
      <c r="F52" s="110"/>
      <c r="G52" s="110"/>
      <c r="H52" s="111"/>
      <c r="I52" s="112" t="b">
        <v>0</v>
      </c>
    </row>
    <row r="53" ht="18.75" customHeight="1">
      <c r="A53" s="120"/>
      <c r="B53" s="121"/>
      <c r="C53" s="121"/>
      <c r="D53" s="121"/>
      <c r="E53" s="109"/>
      <c r="F53" s="110"/>
      <c r="G53" s="110"/>
      <c r="H53" s="111"/>
      <c r="I53" s="112" t="b">
        <v>0</v>
      </c>
    </row>
    <row r="54" ht="18.75" customHeight="1">
      <c r="A54" s="120"/>
      <c r="B54" s="121"/>
      <c r="C54" s="121"/>
      <c r="D54" s="121"/>
      <c r="E54" s="109"/>
      <c r="F54" s="110"/>
      <c r="G54" s="110"/>
      <c r="H54" s="111"/>
      <c r="I54" s="112" t="b">
        <v>0</v>
      </c>
    </row>
    <row r="55" ht="18.75" customHeight="1">
      <c r="A55" s="120"/>
      <c r="B55" s="121"/>
      <c r="C55" s="121"/>
      <c r="D55" s="121"/>
      <c r="E55" s="109"/>
      <c r="F55" s="110"/>
      <c r="G55" s="110"/>
      <c r="H55" s="111"/>
      <c r="I55" s="112" t="b">
        <v>0</v>
      </c>
    </row>
    <row r="56" ht="18.75" customHeight="1">
      <c r="A56" s="120"/>
      <c r="B56" s="121"/>
      <c r="C56" s="121"/>
      <c r="D56" s="121"/>
      <c r="E56" s="109"/>
      <c r="F56" s="110"/>
      <c r="G56" s="110"/>
      <c r="H56" s="111"/>
      <c r="I56" s="112" t="b">
        <v>0</v>
      </c>
    </row>
    <row r="57" ht="18.75" customHeight="1">
      <c r="A57" s="120"/>
      <c r="B57" s="121"/>
      <c r="C57" s="121"/>
      <c r="D57" s="121"/>
      <c r="E57" s="109"/>
      <c r="F57" s="110"/>
      <c r="G57" s="110"/>
      <c r="H57" s="111"/>
      <c r="I57" s="112" t="b">
        <v>0</v>
      </c>
    </row>
    <row r="58" ht="18.75" customHeight="1">
      <c r="A58" s="120"/>
      <c r="B58" s="121"/>
      <c r="C58" s="121"/>
      <c r="D58" s="121"/>
      <c r="E58" s="122"/>
      <c r="F58" s="110"/>
      <c r="G58" s="110"/>
      <c r="H58" s="111"/>
      <c r="I58" s="112" t="b">
        <v>0</v>
      </c>
    </row>
    <row r="59" ht="18.75" customHeight="1">
      <c r="A59" s="120"/>
      <c r="B59" s="121"/>
      <c r="C59" s="121"/>
      <c r="D59" s="121"/>
      <c r="E59" s="123"/>
      <c r="F59" s="110"/>
      <c r="G59" s="110"/>
      <c r="H59" s="111"/>
      <c r="I59" s="112" t="b">
        <v>0</v>
      </c>
    </row>
    <row r="60" ht="18.75" customHeight="1">
      <c r="A60" s="120"/>
      <c r="B60" s="121"/>
      <c r="C60" s="121"/>
      <c r="D60" s="121"/>
      <c r="E60" s="110"/>
      <c r="F60" s="110"/>
      <c r="G60" s="110"/>
      <c r="H60" s="111"/>
      <c r="I60" s="112" t="b">
        <v>0</v>
      </c>
    </row>
    <row r="61" ht="18.75" customHeight="1">
      <c r="A61" s="120"/>
      <c r="B61" s="121"/>
      <c r="C61" s="121"/>
      <c r="D61" s="121"/>
      <c r="E61" s="122"/>
      <c r="F61" s="110"/>
      <c r="G61" s="110"/>
      <c r="H61" s="111"/>
      <c r="I61" s="112" t="b">
        <v>0</v>
      </c>
    </row>
    <row r="62" ht="18.75" customHeight="1">
      <c r="A62" s="120"/>
      <c r="B62" s="121"/>
      <c r="C62" s="121"/>
      <c r="D62" s="121"/>
      <c r="E62" s="122"/>
      <c r="F62" s="110"/>
      <c r="G62" s="110"/>
      <c r="H62" s="111"/>
      <c r="I62" s="112" t="b">
        <v>0</v>
      </c>
    </row>
    <row r="63" ht="18.75" customHeight="1">
      <c r="A63" s="120"/>
      <c r="B63" s="121"/>
      <c r="C63" s="121"/>
      <c r="D63" s="121"/>
      <c r="E63" s="110"/>
      <c r="F63" s="110"/>
      <c r="G63" s="110"/>
      <c r="H63" s="111"/>
      <c r="I63" s="112" t="b">
        <v>0</v>
      </c>
    </row>
    <row r="64" ht="18.75" customHeight="1">
      <c r="A64" s="120"/>
      <c r="B64" s="121"/>
      <c r="C64" s="121"/>
      <c r="D64" s="121"/>
      <c r="E64" s="110"/>
      <c r="F64" s="110"/>
      <c r="G64" s="110"/>
      <c r="H64" s="111"/>
      <c r="I64" s="112" t="b">
        <v>0</v>
      </c>
    </row>
    <row r="65" ht="18.75" customHeight="1">
      <c r="A65" s="120"/>
      <c r="B65" s="121"/>
      <c r="C65" s="121"/>
      <c r="D65" s="121"/>
      <c r="E65" s="110"/>
      <c r="F65" s="110"/>
      <c r="G65" s="110"/>
      <c r="H65" s="111"/>
      <c r="I65" s="112" t="b">
        <v>0</v>
      </c>
    </row>
    <row r="66" ht="18.75" customHeight="1">
      <c r="A66" s="120"/>
      <c r="B66" s="121"/>
      <c r="C66" s="121"/>
      <c r="D66" s="121"/>
      <c r="E66" s="110"/>
      <c r="F66" s="110"/>
      <c r="G66" s="110"/>
      <c r="H66" s="111"/>
      <c r="I66" s="112" t="b">
        <v>0</v>
      </c>
    </row>
    <row r="67" ht="18.75" customHeight="1">
      <c r="A67" s="120"/>
      <c r="B67" s="121"/>
      <c r="C67" s="121"/>
      <c r="D67" s="121"/>
      <c r="E67" s="110"/>
      <c r="F67" s="110"/>
      <c r="G67" s="110"/>
      <c r="H67" s="111"/>
      <c r="I67" s="112" t="b">
        <v>0</v>
      </c>
    </row>
    <row r="68" ht="18.75" customHeight="1">
      <c r="A68" s="120"/>
      <c r="B68" s="121"/>
      <c r="C68" s="121"/>
      <c r="D68" s="121"/>
      <c r="E68" s="110"/>
      <c r="F68" s="110"/>
      <c r="G68" s="110"/>
      <c r="H68" s="111"/>
      <c r="I68" s="112" t="b">
        <v>0</v>
      </c>
    </row>
    <row r="69" ht="18.75" customHeight="1">
      <c r="A69" s="120"/>
      <c r="B69" s="121"/>
      <c r="C69" s="121"/>
      <c r="D69" s="121"/>
      <c r="E69" s="110"/>
      <c r="F69" s="110"/>
      <c r="G69" s="110"/>
      <c r="H69" s="111"/>
      <c r="I69" s="112" t="b">
        <v>0</v>
      </c>
    </row>
    <row r="70" ht="18.75" customHeight="1">
      <c r="A70" s="120"/>
      <c r="B70" s="121"/>
      <c r="C70" s="121"/>
      <c r="D70" s="121"/>
      <c r="E70" s="110"/>
      <c r="F70" s="110"/>
      <c r="G70" s="110"/>
      <c r="H70" s="111"/>
      <c r="I70" s="112" t="b">
        <v>0</v>
      </c>
    </row>
    <row r="71" ht="18.75" customHeight="1">
      <c r="A71" s="120"/>
      <c r="B71" s="121"/>
      <c r="C71" s="121"/>
      <c r="D71" s="121"/>
      <c r="E71" s="110"/>
      <c r="F71" s="110"/>
      <c r="G71" s="110"/>
      <c r="H71" s="111"/>
      <c r="I71" s="112" t="b">
        <v>0</v>
      </c>
    </row>
    <row r="72" ht="18.75" customHeight="1">
      <c r="A72" s="120"/>
      <c r="B72" s="121"/>
      <c r="C72" s="121"/>
      <c r="D72" s="121"/>
      <c r="E72" s="110"/>
      <c r="F72" s="110"/>
      <c r="G72" s="110"/>
      <c r="H72" s="111"/>
      <c r="I72" s="112" t="b">
        <v>0</v>
      </c>
    </row>
    <row r="73" ht="18.75" customHeight="1">
      <c r="A73" s="120"/>
      <c r="B73" s="121"/>
      <c r="C73" s="121"/>
      <c r="D73" s="121"/>
      <c r="E73" s="110"/>
      <c r="F73" s="110"/>
      <c r="G73" s="110"/>
      <c r="H73" s="111"/>
      <c r="I73" s="112" t="b">
        <v>0</v>
      </c>
    </row>
    <row r="74" ht="18.75" customHeight="1">
      <c r="A74" s="120"/>
      <c r="B74" s="121"/>
      <c r="C74" s="121"/>
      <c r="D74" s="121"/>
      <c r="E74" s="110"/>
      <c r="F74" s="110"/>
      <c r="G74" s="110"/>
      <c r="H74" s="111"/>
      <c r="I74" s="112" t="b">
        <v>0</v>
      </c>
    </row>
    <row r="75" ht="18.75" customHeight="1">
      <c r="A75" s="120"/>
      <c r="B75" s="121"/>
      <c r="C75" s="121"/>
      <c r="D75" s="121"/>
      <c r="E75" s="110"/>
      <c r="F75" s="110"/>
      <c r="G75" s="110"/>
      <c r="H75" s="111"/>
      <c r="I75" s="112" t="b">
        <v>0</v>
      </c>
    </row>
    <row r="76" ht="18.75" customHeight="1">
      <c r="A76" s="120"/>
      <c r="B76" s="121"/>
      <c r="C76" s="121"/>
      <c r="D76" s="121"/>
      <c r="E76" s="110"/>
      <c r="F76" s="110"/>
      <c r="G76" s="110"/>
      <c r="H76" s="111"/>
      <c r="I76" s="112" t="b">
        <v>0</v>
      </c>
    </row>
    <row r="77" ht="18.75" customHeight="1">
      <c r="A77" s="120"/>
      <c r="B77" s="121"/>
      <c r="C77" s="121"/>
      <c r="D77" s="121"/>
      <c r="E77" s="110"/>
      <c r="F77" s="110"/>
      <c r="G77" s="110"/>
      <c r="H77" s="111"/>
      <c r="I77" s="112" t="b">
        <v>0</v>
      </c>
    </row>
    <row r="78" ht="18.75" customHeight="1">
      <c r="A78" s="120"/>
      <c r="B78" s="121"/>
      <c r="C78" s="121"/>
      <c r="D78" s="121"/>
      <c r="E78" s="110"/>
      <c r="F78" s="110"/>
      <c r="G78" s="110"/>
      <c r="H78" s="111"/>
      <c r="I78" s="112" t="b">
        <v>0</v>
      </c>
    </row>
    <row r="79" ht="18.75" customHeight="1">
      <c r="A79" s="120"/>
      <c r="B79" s="121"/>
      <c r="C79" s="121"/>
      <c r="D79" s="121"/>
      <c r="E79" s="110"/>
      <c r="F79" s="110"/>
      <c r="G79" s="110"/>
      <c r="H79" s="111"/>
      <c r="I79" s="112" t="b">
        <v>0</v>
      </c>
    </row>
    <row r="80" ht="18.75" customHeight="1">
      <c r="A80" s="120"/>
      <c r="B80" s="121"/>
      <c r="C80" s="121"/>
      <c r="D80" s="121"/>
      <c r="E80" s="110"/>
      <c r="F80" s="110"/>
      <c r="G80" s="110"/>
      <c r="H80" s="111"/>
      <c r="I80" s="112" t="b">
        <v>0</v>
      </c>
    </row>
    <row r="81" ht="18.75" customHeight="1">
      <c r="A81" s="120"/>
      <c r="B81" s="121"/>
      <c r="C81" s="121"/>
      <c r="D81" s="121"/>
      <c r="E81" s="110"/>
      <c r="F81" s="110"/>
      <c r="G81" s="110"/>
      <c r="H81" s="111"/>
      <c r="I81" s="112" t="b">
        <v>0</v>
      </c>
    </row>
    <row r="82" ht="18.75" customHeight="1">
      <c r="A82" s="120"/>
      <c r="B82" s="121"/>
      <c r="C82" s="121"/>
      <c r="D82" s="121"/>
      <c r="E82" s="110"/>
      <c r="F82" s="110"/>
      <c r="G82" s="110"/>
      <c r="H82" s="111"/>
      <c r="I82" s="112" t="b">
        <v>0</v>
      </c>
    </row>
    <row r="83" ht="18.75" customHeight="1">
      <c r="A83" s="120"/>
      <c r="B83" s="121"/>
      <c r="C83" s="121"/>
      <c r="D83" s="121"/>
      <c r="E83" s="110"/>
      <c r="F83" s="110"/>
      <c r="G83" s="110"/>
      <c r="H83" s="111"/>
      <c r="I83" s="112" t="b">
        <v>0</v>
      </c>
    </row>
    <row r="84" ht="18.75" customHeight="1">
      <c r="A84" s="120"/>
      <c r="B84" s="121"/>
      <c r="C84" s="121"/>
      <c r="D84" s="121"/>
      <c r="E84" s="110"/>
      <c r="F84" s="110"/>
      <c r="G84" s="110"/>
      <c r="H84" s="111"/>
      <c r="I84" s="112" t="b">
        <v>0</v>
      </c>
    </row>
    <row r="85" ht="18.75" customHeight="1">
      <c r="A85" s="120"/>
      <c r="B85" s="121"/>
      <c r="C85" s="121"/>
      <c r="D85" s="121"/>
      <c r="E85" s="110"/>
      <c r="F85" s="110"/>
      <c r="G85" s="110"/>
      <c r="H85" s="111"/>
      <c r="I85" s="112" t="b">
        <v>0</v>
      </c>
    </row>
    <row r="86" ht="18.75" customHeight="1">
      <c r="A86" s="120"/>
      <c r="B86" s="121"/>
      <c r="C86" s="121"/>
      <c r="D86" s="121"/>
      <c r="E86" s="110"/>
      <c r="F86" s="110"/>
      <c r="G86" s="110"/>
      <c r="H86" s="111"/>
      <c r="I86" s="112" t="b">
        <v>0</v>
      </c>
    </row>
    <row r="87" ht="18.75" customHeight="1">
      <c r="A87" s="120"/>
      <c r="B87" s="121"/>
      <c r="C87" s="121"/>
      <c r="D87" s="121"/>
      <c r="E87" s="110"/>
      <c r="F87" s="110"/>
      <c r="G87" s="110"/>
      <c r="H87" s="111"/>
      <c r="I87" s="112" t="b">
        <v>0</v>
      </c>
    </row>
    <row r="88" ht="18.75" customHeight="1">
      <c r="A88" s="120"/>
      <c r="B88" s="121"/>
      <c r="C88" s="121"/>
      <c r="D88" s="121"/>
      <c r="E88" s="110"/>
      <c r="F88" s="110"/>
      <c r="G88" s="110"/>
      <c r="H88" s="111"/>
      <c r="I88" s="112" t="b">
        <v>0</v>
      </c>
    </row>
    <row r="89" ht="18.75" customHeight="1">
      <c r="A89" s="120"/>
      <c r="B89" s="121"/>
      <c r="C89" s="121"/>
      <c r="D89" s="121"/>
      <c r="E89" s="110"/>
      <c r="F89" s="110"/>
      <c r="G89" s="110"/>
      <c r="H89" s="111"/>
      <c r="I89" s="112" t="b">
        <v>0</v>
      </c>
    </row>
    <row r="90" ht="18.75" customHeight="1">
      <c r="A90" s="120"/>
      <c r="B90" s="121"/>
      <c r="C90" s="121"/>
      <c r="D90" s="121"/>
      <c r="E90" s="110"/>
      <c r="F90" s="110"/>
      <c r="G90" s="110"/>
      <c r="H90" s="111"/>
      <c r="I90" s="112" t="b">
        <v>0</v>
      </c>
    </row>
    <row r="91" ht="18.75" customHeight="1">
      <c r="A91" s="107"/>
      <c r="B91" s="108"/>
      <c r="C91" s="108"/>
      <c r="D91" s="108"/>
      <c r="E91" s="124"/>
      <c r="F91" s="124"/>
      <c r="G91" s="110"/>
      <c r="H91" s="125"/>
      <c r="I91" s="112" t="b">
        <v>0</v>
      </c>
    </row>
    <row r="92" ht="18.75" customHeight="1">
      <c r="A92" s="120"/>
      <c r="B92" s="121"/>
      <c r="C92" s="121"/>
      <c r="D92" s="121"/>
      <c r="E92" s="110"/>
      <c r="F92" s="110"/>
      <c r="G92" s="110"/>
      <c r="H92" s="125"/>
      <c r="I92" s="112" t="b">
        <v>0</v>
      </c>
    </row>
    <row r="93" ht="18.75" customHeight="1">
      <c r="A93" s="120"/>
      <c r="B93" s="121"/>
      <c r="C93" s="121"/>
      <c r="D93" s="121"/>
      <c r="E93" s="110"/>
      <c r="F93" s="110"/>
      <c r="G93" s="110"/>
      <c r="H93" s="125"/>
      <c r="I93" s="112" t="b">
        <v>0</v>
      </c>
    </row>
    <row r="94" ht="18.75" customHeight="1">
      <c r="A94" s="120"/>
      <c r="B94" s="121"/>
      <c r="C94" s="121"/>
      <c r="D94" s="121"/>
      <c r="E94" s="110"/>
      <c r="F94" s="110"/>
      <c r="G94" s="110"/>
      <c r="H94" s="125"/>
      <c r="I94" s="112" t="b">
        <v>0</v>
      </c>
    </row>
    <row r="95" ht="18.75" customHeight="1">
      <c r="A95" s="120"/>
      <c r="B95" s="121"/>
      <c r="C95" s="121"/>
      <c r="D95" s="121"/>
      <c r="E95" s="110"/>
      <c r="F95" s="110"/>
      <c r="G95" s="110"/>
      <c r="H95" s="125"/>
      <c r="I95" s="112" t="b">
        <v>0</v>
      </c>
    </row>
    <row r="96" ht="18.75" customHeight="1">
      <c r="A96" s="120"/>
      <c r="B96" s="121"/>
      <c r="C96" s="121"/>
      <c r="D96" s="121"/>
      <c r="E96" s="110"/>
      <c r="F96" s="110"/>
      <c r="G96" s="110"/>
      <c r="H96" s="125"/>
      <c r="I96" s="112" t="b">
        <v>0</v>
      </c>
    </row>
    <row r="97" ht="18.75" customHeight="1">
      <c r="A97" s="120"/>
      <c r="B97" s="121"/>
      <c r="C97" s="121"/>
      <c r="D97" s="121"/>
      <c r="E97" s="110"/>
      <c r="F97" s="110"/>
      <c r="G97" s="110"/>
      <c r="H97" s="125"/>
      <c r="I97" s="112" t="b">
        <v>0</v>
      </c>
    </row>
    <row r="98" ht="18.75" customHeight="1">
      <c r="A98" s="120"/>
      <c r="B98" s="121"/>
      <c r="C98" s="121"/>
      <c r="D98" s="121"/>
      <c r="E98" s="110"/>
      <c r="F98" s="110"/>
      <c r="G98" s="110"/>
      <c r="H98" s="125"/>
      <c r="I98" s="112" t="b">
        <v>0</v>
      </c>
    </row>
    <row r="99" ht="18.75" customHeight="1">
      <c r="A99" s="120"/>
      <c r="B99" s="121"/>
      <c r="C99" s="121"/>
      <c r="D99" s="121"/>
      <c r="E99" s="110"/>
      <c r="F99" s="110"/>
      <c r="G99" s="110"/>
      <c r="H99" s="125"/>
      <c r="I99" s="112" t="b">
        <v>0</v>
      </c>
    </row>
    <row r="100" ht="18.75" customHeight="1">
      <c r="A100" s="120"/>
      <c r="B100" s="121"/>
      <c r="C100" s="121"/>
      <c r="D100" s="121"/>
      <c r="E100" s="110"/>
      <c r="F100" s="110"/>
      <c r="G100" s="110"/>
      <c r="H100" s="125"/>
      <c r="I100" s="112" t="b">
        <v>0</v>
      </c>
    </row>
    <row r="101" ht="18.75" customHeight="1">
      <c r="A101" s="120"/>
      <c r="B101" s="121"/>
      <c r="C101" s="121"/>
      <c r="D101" s="121"/>
      <c r="E101" s="110"/>
      <c r="F101" s="110"/>
      <c r="G101" s="110"/>
      <c r="H101" s="125"/>
      <c r="I101" s="112" t="b">
        <v>0</v>
      </c>
    </row>
    <row r="102" ht="18.75" customHeight="1">
      <c r="A102" s="120"/>
      <c r="B102" s="121"/>
      <c r="C102" s="121"/>
      <c r="D102" s="121"/>
      <c r="E102" s="110"/>
      <c r="F102" s="110"/>
      <c r="G102" s="110"/>
      <c r="H102" s="125"/>
      <c r="I102" s="112" t="b">
        <v>0</v>
      </c>
    </row>
    <row r="103" ht="18.75" customHeight="1">
      <c r="A103" s="120"/>
      <c r="B103" s="121"/>
      <c r="C103" s="121"/>
      <c r="D103" s="121"/>
      <c r="E103" s="110"/>
      <c r="F103" s="110"/>
      <c r="G103" s="110"/>
      <c r="H103" s="125"/>
      <c r="I103" s="112" t="b">
        <v>0</v>
      </c>
    </row>
    <row r="104" ht="18.75" customHeight="1">
      <c r="A104" s="120"/>
      <c r="B104" s="121"/>
      <c r="C104" s="121"/>
      <c r="D104" s="121"/>
      <c r="E104" s="110"/>
      <c r="F104" s="110"/>
      <c r="G104" s="110"/>
      <c r="H104" s="125"/>
      <c r="I104" s="112" t="b">
        <v>0</v>
      </c>
    </row>
    <row r="105" ht="18.75" customHeight="1">
      <c r="A105" s="120"/>
      <c r="B105" s="121"/>
      <c r="C105" s="121"/>
      <c r="D105" s="121"/>
      <c r="E105" s="110"/>
      <c r="F105" s="110"/>
      <c r="G105" s="110"/>
      <c r="H105" s="125"/>
      <c r="I105" s="112" t="b">
        <v>0</v>
      </c>
    </row>
    <row r="106" ht="18.75" customHeight="1">
      <c r="A106" s="120"/>
      <c r="B106" s="121"/>
      <c r="C106" s="121"/>
      <c r="D106" s="121"/>
      <c r="E106" s="110"/>
      <c r="F106" s="110"/>
      <c r="G106" s="110"/>
      <c r="H106" s="125"/>
      <c r="I106" s="112" t="b">
        <v>0</v>
      </c>
    </row>
    <row r="107" ht="18.75" customHeight="1">
      <c r="A107" s="120"/>
      <c r="B107" s="121"/>
      <c r="C107" s="121"/>
      <c r="D107" s="121"/>
      <c r="E107" s="110"/>
      <c r="F107" s="110"/>
      <c r="G107" s="110"/>
      <c r="H107" s="125"/>
      <c r="I107" s="112" t="b">
        <v>0</v>
      </c>
    </row>
    <row r="108" ht="18.75" customHeight="1">
      <c r="A108" s="120"/>
      <c r="B108" s="121"/>
      <c r="C108" s="121"/>
      <c r="D108" s="121"/>
      <c r="E108" s="110"/>
      <c r="F108" s="110"/>
      <c r="G108" s="110"/>
      <c r="H108" s="125"/>
      <c r="I108" s="112" t="b">
        <v>0</v>
      </c>
    </row>
    <row r="109" ht="18.75" customHeight="1">
      <c r="A109" s="120"/>
      <c r="B109" s="121"/>
      <c r="C109" s="121"/>
      <c r="D109" s="121"/>
      <c r="E109" s="110"/>
      <c r="F109" s="110"/>
      <c r="G109" s="110"/>
      <c r="H109" s="125"/>
      <c r="I109" s="112" t="b">
        <v>0</v>
      </c>
    </row>
    <row r="110" ht="18.75" customHeight="1">
      <c r="A110" s="120"/>
      <c r="B110" s="126"/>
      <c r="C110" s="126"/>
      <c r="D110" s="126"/>
      <c r="E110" s="110"/>
      <c r="F110" s="110"/>
      <c r="G110" s="110"/>
      <c r="H110" s="125"/>
      <c r="I110" s="112" t="b">
        <v>0</v>
      </c>
    </row>
    <row r="111" ht="18.75" customHeight="1">
      <c r="A111" s="120"/>
      <c r="B111" s="126"/>
      <c r="C111" s="126"/>
      <c r="D111" s="126"/>
      <c r="E111" s="110"/>
      <c r="F111" s="110"/>
      <c r="G111" s="110"/>
      <c r="H111" s="125"/>
      <c r="I111" s="112" t="b">
        <v>0</v>
      </c>
    </row>
    <row r="112" ht="18.75" customHeight="1">
      <c r="A112" s="120"/>
      <c r="B112" s="121"/>
      <c r="C112" s="121"/>
      <c r="D112" s="121"/>
      <c r="E112" s="110"/>
      <c r="F112" s="110"/>
      <c r="G112" s="110"/>
      <c r="H112" s="125"/>
      <c r="I112" s="112" t="b">
        <v>0</v>
      </c>
    </row>
    <row r="113" ht="18.75" customHeight="1">
      <c r="A113" s="120"/>
      <c r="B113" s="121"/>
      <c r="C113" s="121"/>
      <c r="D113" s="121"/>
      <c r="E113" s="110"/>
      <c r="F113" s="110"/>
      <c r="G113" s="110"/>
      <c r="H113" s="125"/>
      <c r="I113" s="112" t="b">
        <v>0</v>
      </c>
    </row>
    <row r="114" ht="18.75" customHeight="1">
      <c r="A114" s="120"/>
      <c r="B114" s="121"/>
      <c r="C114" s="121"/>
      <c r="D114" s="121"/>
      <c r="E114" s="110"/>
      <c r="F114" s="110"/>
      <c r="G114" s="110"/>
      <c r="H114" s="125"/>
      <c r="I114" s="112" t="b">
        <v>0</v>
      </c>
    </row>
    <row r="115" ht="18.75" customHeight="1">
      <c r="A115" s="120"/>
      <c r="B115" s="121"/>
      <c r="C115" s="121"/>
      <c r="D115" s="121"/>
      <c r="E115" s="110"/>
      <c r="F115" s="110"/>
      <c r="G115" s="110"/>
      <c r="H115" s="125"/>
      <c r="I115" s="112" t="b">
        <v>0</v>
      </c>
    </row>
    <row r="116" ht="18.75" customHeight="1">
      <c r="A116" s="120"/>
      <c r="B116" s="121"/>
      <c r="C116" s="121"/>
      <c r="D116" s="121"/>
      <c r="E116" s="127"/>
      <c r="F116" s="110"/>
      <c r="G116" s="110"/>
      <c r="H116" s="125"/>
      <c r="I116" s="112" t="b">
        <v>0</v>
      </c>
    </row>
    <row r="117" ht="18.75" customHeight="1">
      <c r="A117" s="120"/>
      <c r="B117" s="121"/>
      <c r="C117" s="121"/>
      <c r="D117" s="121"/>
      <c r="E117" s="110"/>
      <c r="F117" s="110"/>
      <c r="G117" s="110"/>
      <c r="H117" s="125"/>
      <c r="I117" s="112" t="b">
        <v>0</v>
      </c>
    </row>
    <row r="118" ht="18.75" customHeight="1">
      <c r="A118" s="120"/>
      <c r="B118" s="121"/>
      <c r="C118" s="121"/>
      <c r="D118" s="121"/>
      <c r="E118" s="110"/>
      <c r="F118" s="110"/>
      <c r="G118" s="110"/>
      <c r="H118" s="125"/>
      <c r="I118" s="112" t="b">
        <v>0</v>
      </c>
    </row>
    <row r="119" ht="18.75" customHeight="1">
      <c r="A119" s="120"/>
      <c r="B119" s="121"/>
      <c r="C119" s="121"/>
      <c r="D119" s="121"/>
      <c r="E119" s="110"/>
      <c r="F119" s="110"/>
      <c r="G119" s="110"/>
      <c r="H119" s="125"/>
      <c r="I119" s="112" t="b">
        <v>0</v>
      </c>
    </row>
    <row r="120" ht="18.75" customHeight="1">
      <c r="A120" s="120"/>
      <c r="B120" s="109"/>
      <c r="C120" s="109"/>
      <c r="D120" s="121"/>
      <c r="E120" s="110"/>
      <c r="F120" s="110"/>
      <c r="G120" s="110"/>
      <c r="H120" s="125"/>
      <c r="I120" s="112" t="b">
        <v>0</v>
      </c>
    </row>
    <row r="121" ht="18.75" customHeight="1">
      <c r="A121" s="120"/>
      <c r="B121" s="121"/>
      <c r="C121" s="121"/>
      <c r="D121" s="121"/>
      <c r="E121" s="110"/>
      <c r="F121" s="110"/>
      <c r="G121" s="110"/>
      <c r="H121" s="125"/>
      <c r="I121" s="112" t="b">
        <v>0</v>
      </c>
    </row>
    <row r="122" ht="18.75" customHeight="1">
      <c r="A122" s="120"/>
      <c r="B122" s="121"/>
      <c r="C122" s="121"/>
      <c r="D122" s="121"/>
      <c r="E122" s="110"/>
      <c r="F122" s="110"/>
      <c r="G122" s="110"/>
      <c r="H122" s="125"/>
      <c r="I122" s="112" t="b">
        <v>0</v>
      </c>
    </row>
    <row r="123" ht="18.75" customHeight="1">
      <c r="A123" s="120"/>
      <c r="B123" s="121"/>
      <c r="C123" s="121"/>
      <c r="D123" s="121"/>
      <c r="E123" s="110"/>
      <c r="F123" s="110"/>
      <c r="G123" s="110"/>
      <c r="H123" s="125"/>
      <c r="I123" s="112" t="b">
        <v>0</v>
      </c>
    </row>
    <row r="124" ht="18.75" customHeight="1">
      <c r="A124" s="120"/>
      <c r="B124" s="121"/>
      <c r="C124" s="121"/>
      <c r="D124" s="121"/>
      <c r="E124" s="110"/>
      <c r="F124" s="110"/>
      <c r="G124" s="110"/>
      <c r="H124" s="125"/>
      <c r="I124" s="112" t="b">
        <v>0</v>
      </c>
    </row>
    <row r="125" ht="18.75" customHeight="1">
      <c r="A125" s="120"/>
      <c r="B125" s="121"/>
      <c r="C125" s="121"/>
      <c r="D125" s="121"/>
      <c r="E125" s="110"/>
      <c r="F125" s="110"/>
      <c r="G125" s="110"/>
      <c r="H125" s="125"/>
      <c r="I125" s="112" t="b">
        <v>0</v>
      </c>
    </row>
    <row r="126" ht="18.75" customHeight="1">
      <c r="A126" s="120"/>
      <c r="B126" s="121"/>
      <c r="C126" s="121"/>
      <c r="D126" s="121"/>
      <c r="E126" s="110"/>
      <c r="F126" s="110"/>
      <c r="G126" s="110"/>
      <c r="H126" s="125"/>
      <c r="I126" s="112" t="b">
        <v>0</v>
      </c>
    </row>
    <row r="127" ht="18.75" customHeight="1">
      <c r="A127" s="120"/>
      <c r="B127" s="121"/>
      <c r="C127" s="121"/>
      <c r="D127" s="121"/>
      <c r="E127" s="110"/>
      <c r="F127" s="110"/>
      <c r="G127" s="110"/>
      <c r="H127" s="125"/>
      <c r="I127" s="112" t="b">
        <v>0</v>
      </c>
    </row>
    <row r="128" ht="18.75" customHeight="1">
      <c r="A128" s="120"/>
      <c r="B128" s="121"/>
      <c r="C128" s="121"/>
      <c r="D128" s="121"/>
      <c r="E128" s="110"/>
      <c r="F128" s="110"/>
      <c r="G128" s="110"/>
      <c r="H128" s="125"/>
      <c r="I128" s="112" t="b">
        <v>0</v>
      </c>
    </row>
    <row r="129" ht="18.75" customHeight="1">
      <c r="A129" s="120"/>
      <c r="B129" s="121"/>
      <c r="C129" s="121"/>
      <c r="D129" s="121"/>
      <c r="E129" s="110"/>
      <c r="F129" s="110"/>
      <c r="G129" s="110"/>
      <c r="H129" s="125"/>
      <c r="I129" s="112" t="b">
        <v>0</v>
      </c>
    </row>
  </sheetData>
  <mergeCells count="1">
    <mergeCell ref="A1:I1"/>
  </mergeCells>
  <conditionalFormatting sqref="A3:I129">
    <cfRule type="expression" dxfId="0" priority="1">
      <formula>$I3=TRUE</formula>
    </cfRule>
  </conditionalFormatting>
  <dataValidations>
    <dataValidation type="custom" allowBlank="1" showDropDown="1" showInputMessage="1" prompt="Immetti una data valida" sqref="A3:A129">
      <formula1>OR(NOT(ISERROR(DATEVALUE(A3))), AND(ISNUMBER(A3), LEFT(CELL("format", A3))="D"))</formula1>
    </dataValidation>
    <dataValidation type="list" allowBlank="1" showErrorMessage="1" sqref="B3:B129">
      <formula1>elenchi!$B$2:$B$10</formula1>
    </dataValidation>
    <dataValidation type="list" allowBlank="1" showErrorMessage="1" sqref="F3:G129">
      <formula1>elenchi!$A$2:$A$1345</formula1>
    </dataValidation>
  </dataValidations>
  <printOptions/>
  <pageMargins bottom="0.25" footer="0.0" header="0.0" left="0.25" right="0.25" top="0.25"/>
  <pageSetup scale="96" orientation="landscape"/>
  <headerFooter>
    <oddFooter>&amp;C000000&amp;P</oddFooter>
  </headerFooter>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2C4C9"/>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8.63"/>
    <col customWidth="1" min="3" max="3" width="25.38"/>
    <col customWidth="1" min="4" max="4" width="43.75"/>
    <col customWidth="1" min="5" max="5" width="38.75"/>
    <col customWidth="1" min="6" max="6" width="25.25"/>
    <col customWidth="1" min="7" max="8" width="17.0"/>
  </cols>
  <sheetData>
    <row r="1" ht="27.0" customHeight="1">
      <c r="A1" s="291" t="s">
        <v>1340</v>
      </c>
      <c r="B1" s="3"/>
      <c r="C1" s="3"/>
      <c r="D1" s="3"/>
      <c r="E1" s="3"/>
      <c r="F1" s="3"/>
      <c r="G1" s="3"/>
      <c r="H1" s="4"/>
    </row>
    <row r="2" ht="22.5" customHeight="1">
      <c r="A2" s="5" t="s">
        <v>2</v>
      </c>
      <c r="B2" s="6" t="s">
        <v>3</v>
      </c>
      <c r="C2" s="6" t="s">
        <v>4</v>
      </c>
      <c r="D2" s="6" t="s">
        <v>5</v>
      </c>
      <c r="E2" s="6" t="s">
        <v>6</v>
      </c>
      <c r="F2" s="6" t="s">
        <v>7</v>
      </c>
      <c r="G2" s="6" t="s">
        <v>8</v>
      </c>
      <c r="H2" s="6" t="s">
        <v>9</v>
      </c>
    </row>
    <row r="3">
      <c r="A3" s="37">
        <v>45175.0</v>
      </c>
      <c r="B3" s="38" t="s">
        <v>18</v>
      </c>
      <c r="C3" s="39" t="s">
        <v>14</v>
      </c>
      <c r="D3" s="40" t="s">
        <v>45</v>
      </c>
      <c r="E3" s="41" t="s">
        <v>110</v>
      </c>
      <c r="F3" s="132"/>
      <c r="G3" s="29" t="b">
        <v>0</v>
      </c>
      <c r="H3" s="29" t="b">
        <v>0</v>
      </c>
    </row>
    <row r="4">
      <c r="A4" s="37">
        <v>45181.0</v>
      </c>
      <c r="B4" s="38" t="s">
        <v>10</v>
      </c>
      <c r="C4" s="39" t="s">
        <v>19</v>
      </c>
      <c r="D4" s="40" t="s">
        <v>1341</v>
      </c>
      <c r="E4" s="145"/>
      <c r="F4" s="292"/>
      <c r="G4" s="29" t="b">
        <v>0</v>
      </c>
      <c r="H4" s="29" t="b">
        <v>0</v>
      </c>
    </row>
    <row r="5">
      <c r="A5" s="37">
        <v>45182.0</v>
      </c>
      <c r="B5" s="38" t="s">
        <v>18</v>
      </c>
      <c r="C5" s="39" t="s">
        <v>14</v>
      </c>
      <c r="D5" s="40" t="s">
        <v>45</v>
      </c>
      <c r="E5" s="83" t="s">
        <v>110</v>
      </c>
      <c r="F5" s="292"/>
      <c r="G5" s="29" t="b">
        <v>0</v>
      </c>
      <c r="H5" s="29" t="b">
        <v>0</v>
      </c>
    </row>
    <row r="6">
      <c r="A6" s="37">
        <v>45182.0</v>
      </c>
      <c r="B6" s="38" t="s">
        <v>1342</v>
      </c>
      <c r="C6" s="39" t="s">
        <v>1343</v>
      </c>
      <c r="D6" s="40" t="s">
        <v>1341</v>
      </c>
      <c r="E6" s="145"/>
      <c r="F6" s="129" t="s">
        <v>1344</v>
      </c>
      <c r="G6" s="29" t="b">
        <v>0</v>
      </c>
      <c r="H6" s="29" t="b">
        <v>0</v>
      </c>
    </row>
    <row r="7">
      <c r="A7" s="37">
        <v>45182.0</v>
      </c>
      <c r="B7" s="38" t="s">
        <v>1342</v>
      </c>
      <c r="C7" s="39" t="s">
        <v>1343</v>
      </c>
      <c r="D7" s="40" t="s">
        <v>1341</v>
      </c>
      <c r="E7" s="145"/>
      <c r="F7" s="132"/>
      <c r="G7" s="29" t="b">
        <v>0</v>
      </c>
      <c r="H7" s="29" t="b">
        <v>0</v>
      </c>
    </row>
    <row r="8">
      <c r="A8" s="130">
        <v>45183.0</v>
      </c>
      <c r="B8" s="38" t="s">
        <v>1345</v>
      </c>
      <c r="C8" s="39" t="s">
        <v>167</v>
      </c>
      <c r="D8" s="40" t="s">
        <v>760</v>
      </c>
      <c r="E8" s="83" t="s">
        <v>802</v>
      </c>
      <c r="F8" s="129" t="s">
        <v>1346</v>
      </c>
      <c r="G8" s="29" t="b">
        <v>0</v>
      </c>
      <c r="H8" s="29" t="b">
        <v>0</v>
      </c>
    </row>
    <row r="9">
      <c r="A9" s="37">
        <v>45185.0</v>
      </c>
      <c r="B9" s="38" t="s">
        <v>18</v>
      </c>
      <c r="C9" s="39" t="s">
        <v>56</v>
      </c>
      <c r="D9" s="40" t="s">
        <v>423</v>
      </c>
      <c r="E9" s="83"/>
      <c r="F9" s="41" t="s">
        <v>1347</v>
      </c>
      <c r="G9" s="29" t="b">
        <v>0</v>
      </c>
      <c r="H9" s="29" t="b">
        <v>0</v>
      </c>
    </row>
    <row r="10">
      <c r="A10" s="37">
        <v>45185.0</v>
      </c>
      <c r="B10" s="38" t="s">
        <v>59</v>
      </c>
      <c r="C10" s="39" t="s">
        <v>189</v>
      </c>
      <c r="D10" s="40" t="s">
        <v>1348</v>
      </c>
      <c r="E10" s="83" t="s">
        <v>1349</v>
      </c>
      <c r="F10" s="132"/>
      <c r="G10" s="29" t="b">
        <v>1</v>
      </c>
      <c r="H10" s="29" t="b">
        <v>0</v>
      </c>
    </row>
    <row r="11">
      <c r="A11" s="37">
        <v>45185.0</v>
      </c>
      <c r="B11" s="38" t="s">
        <v>1342</v>
      </c>
      <c r="C11" s="39" t="s">
        <v>60</v>
      </c>
      <c r="D11" s="40" t="s">
        <v>1350</v>
      </c>
      <c r="E11" s="83" t="s">
        <v>16</v>
      </c>
      <c r="F11" s="129" t="s">
        <v>1351</v>
      </c>
      <c r="G11" s="29" t="b">
        <v>1</v>
      </c>
      <c r="H11" s="29" t="b">
        <v>0</v>
      </c>
    </row>
    <row r="12">
      <c r="A12" s="37">
        <v>45185.0</v>
      </c>
      <c r="B12" s="38" t="s">
        <v>18</v>
      </c>
      <c r="C12" s="39" t="s">
        <v>79</v>
      </c>
      <c r="D12" s="40" t="s">
        <v>193</v>
      </c>
      <c r="E12" s="83"/>
      <c r="F12" s="41" t="s">
        <v>1347</v>
      </c>
      <c r="G12" s="29" t="b">
        <v>0</v>
      </c>
      <c r="H12" s="29" t="b">
        <v>0</v>
      </c>
    </row>
    <row r="13">
      <c r="A13" s="37">
        <v>45187.0</v>
      </c>
      <c r="B13" s="38" t="s">
        <v>10</v>
      </c>
      <c r="C13" s="39" t="s">
        <v>19</v>
      </c>
      <c r="D13" s="40" t="s">
        <v>437</v>
      </c>
      <c r="E13" s="83"/>
      <c r="F13" s="129" t="s">
        <v>1352</v>
      </c>
      <c r="G13" s="29" t="b">
        <v>0</v>
      </c>
      <c r="H13" s="29" t="b">
        <v>0</v>
      </c>
    </row>
    <row r="14">
      <c r="A14" s="37">
        <v>45188.0</v>
      </c>
      <c r="B14" s="38" t="s">
        <v>18</v>
      </c>
      <c r="C14" s="39" t="s">
        <v>19</v>
      </c>
      <c r="D14" s="40" t="s">
        <v>254</v>
      </c>
      <c r="E14" s="145"/>
      <c r="F14" s="129" t="s">
        <v>1353</v>
      </c>
      <c r="G14" s="29" t="b">
        <v>0</v>
      </c>
      <c r="H14" s="29" t="b">
        <v>0</v>
      </c>
    </row>
    <row r="15">
      <c r="A15" s="37">
        <v>45189.0</v>
      </c>
      <c r="B15" s="38" t="s">
        <v>18</v>
      </c>
      <c r="C15" s="39" t="s">
        <v>14</v>
      </c>
      <c r="D15" s="40" t="s">
        <v>45</v>
      </c>
      <c r="E15" s="83" t="s">
        <v>110</v>
      </c>
      <c r="F15" s="132"/>
      <c r="G15" s="29" t="b">
        <v>0</v>
      </c>
      <c r="H15" s="29" t="b">
        <v>0</v>
      </c>
    </row>
    <row r="16">
      <c r="A16" s="37">
        <v>45189.0</v>
      </c>
      <c r="B16" s="38" t="s">
        <v>18</v>
      </c>
      <c r="C16" s="39" t="s">
        <v>14</v>
      </c>
      <c r="D16" s="40" t="s">
        <v>45</v>
      </c>
      <c r="E16" s="83" t="s">
        <v>110</v>
      </c>
      <c r="F16" s="132"/>
      <c r="G16" s="29" t="b">
        <v>0</v>
      </c>
      <c r="H16" s="29" t="b">
        <v>0</v>
      </c>
    </row>
    <row r="17">
      <c r="A17" s="37">
        <v>45190.0</v>
      </c>
      <c r="B17" s="38" t="s">
        <v>18</v>
      </c>
      <c r="C17" s="39" t="s">
        <v>54</v>
      </c>
      <c r="D17" s="40" t="s">
        <v>1354</v>
      </c>
      <c r="E17" s="83" t="s">
        <v>16</v>
      </c>
      <c r="F17" s="129" t="s">
        <v>1355</v>
      </c>
      <c r="G17" s="29" t="b">
        <v>1</v>
      </c>
      <c r="H17" s="29" t="b">
        <v>0</v>
      </c>
    </row>
    <row r="18">
      <c r="A18" s="37">
        <v>45191.0</v>
      </c>
      <c r="B18" s="38" t="s">
        <v>18</v>
      </c>
      <c r="C18" s="39" t="s">
        <v>1356</v>
      </c>
      <c r="D18" s="40" t="s">
        <v>1357</v>
      </c>
      <c r="E18" s="293"/>
      <c r="F18" s="39" t="s">
        <v>1358</v>
      </c>
      <c r="G18" s="29" t="b">
        <v>1</v>
      </c>
      <c r="H18" s="29" t="b">
        <v>0</v>
      </c>
    </row>
    <row r="19">
      <c r="A19" s="37">
        <v>45194.0</v>
      </c>
      <c r="B19" s="38" t="s">
        <v>18</v>
      </c>
      <c r="C19" s="39" t="s">
        <v>1359</v>
      </c>
      <c r="D19" s="40" t="s">
        <v>1141</v>
      </c>
      <c r="E19" s="41" t="s">
        <v>16</v>
      </c>
      <c r="F19" s="129" t="s">
        <v>1360</v>
      </c>
      <c r="G19" s="29" t="b">
        <v>1</v>
      </c>
      <c r="H19" s="29" t="b">
        <v>0</v>
      </c>
    </row>
    <row r="20">
      <c r="A20" s="37">
        <v>45194.0</v>
      </c>
      <c r="B20" s="38" t="s">
        <v>18</v>
      </c>
      <c r="C20" s="39" t="s">
        <v>394</v>
      </c>
      <c r="D20" s="40" t="s">
        <v>960</v>
      </c>
      <c r="E20" s="83" t="s">
        <v>16</v>
      </c>
      <c r="F20" s="88" t="s">
        <v>198</v>
      </c>
      <c r="G20" s="29" t="b">
        <v>0</v>
      </c>
      <c r="H20" s="29" t="b">
        <v>0</v>
      </c>
    </row>
    <row r="21">
      <c r="A21" s="37">
        <v>45198.0</v>
      </c>
      <c r="B21" s="38" t="s">
        <v>10</v>
      </c>
      <c r="C21" s="39" t="s">
        <v>386</v>
      </c>
      <c r="D21" s="40" t="s">
        <v>1018</v>
      </c>
      <c r="E21" s="83"/>
      <c r="F21" s="88" t="s">
        <v>1361</v>
      </c>
      <c r="G21" s="29" t="b">
        <v>0</v>
      </c>
      <c r="H21" s="29" t="b">
        <v>0</v>
      </c>
    </row>
    <row r="22">
      <c r="A22" s="37">
        <v>45198.0</v>
      </c>
      <c r="B22" s="38" t="s">
        <v>10</v>
      </c>
      <c r="C22" s="39" t="s">
        <v>40</v>
      </c>
      <c r="D22" s="40" t="s">
        <v>1018</v>
      </c>
      <c r="E22" s="83"/>
      <c r="F22" s="88" t="s">
        <v>1361</v>
      </c>
      <c r="G22" s="29" t="b">
        <v>0</v>
      </c>
      <c r="H22" s="29" t="b">
        <v>0</v>
      </c>
    </row>
    <row r="23">
      <c r="A23" s="37">
        <v>45199.0</v>
      </c>
      <c r="B23" s="38" t="s">
        <v>1362</v>
      </c>
      <c r="C23" s="39" t="s">
        <v>60</v>
      </c>
      <c r="D23" s="40" t="s">
        <v>1363</v>
      </c>
      <c r="E23" s="83"/>
      <c r="F23" s="88" t="s">
        <v>1361</v>
      </c>
      <c r="G23" s="29" t="b">
        <v>0</v>
      </c>
      <c r="H23" s="29" t="b">
        <v>0</v>
      </c>
    </row>
    <row r="24">
      <c r="A24" s="37">
        <v>45199.0</v>
      </c>
      <c r="B24" s="38" t="s">
        <v>18</v>
      </c>
      <c r="C24" s="39" t="s">
        <v>202</v>
      </c>
      <c r="D24" s="40" t="s">
        <v>1364</v>
      </c>
      <c r="E24" s="83" t="s">
        <v>1356</v>
      </c>
      <c r="F24" s="88" t="s">
        <v>1365</v>
      </c>
      <c r="G24" s="29" t="b">
        <v>1</v>
      </c>
      <c r="H24" s="29" t="b">
        <v>0</v>
      </c>
    </row>
    <row r="25">
      <c r="A25" s="13">
        <v>45201.0</v>
      </c>
      <c r="B25" s="14" t="s">
        <v>18</v>
      </c>
      <c r="C25" s="15" t="s">
        <v>47</v>
      </c>
      <c r="D25" s="136" t="s">
        <v>1366</v>
      </c>
      <c r="E25" s="294" t="s">
        <v>16</v>
      </c>
      <c r="F25" s="26" t="s">
        <v>1367</v>
      </c>
      <c r="G25" s="18" t="b">
        <v>0</v>
      </c>
      <c r="H25" s="18" t="b">
        <v>0</v>
      </c>
    </row>
    <row r="26">
      <c r="A26" s="13">
        <v>45201.0</v>
      </c>
      <c r="B26" s="14" t="s">
        <v>18</v>
      </c>
      <c r="C26" s="15" t="s">
        <v>47</v>
      </c>
      <c r="D26" s="136" t="s">
        <v>88</v>
      </c>
      <c r="E26" s="17" t="s">
        <v>1359</v>
      </c>
      <c r="F26" s="26"/>
      <c r="G26" s="18" t="b">
        <v>0</v>
      </c>
      <c r="H26" s="18" t="b">
        <v>0</v>
      </c>
    </row>
    <row r="27">
      <c r="A27" s="13">
        <v>45201.0</v>
      </c>
      <c r="B27" s="14" t="s">
        <v>59</v>
      </c>
      <c r="C27" s="15" t="s">
        <v>1368</v>
      </c>
      <c r="D27" s="136" t="s">
        <v>1369</v>
      </c>
      <c r="E27" s="17"/>
      <c r="F27" s="26" t="s">
        <v>1370</v>
      </c>
      <c r="G27" s="18" t="b">
        <v>0</v>
      </c>
      <c r="H27" s="18" t="b">
        <v>0</v>
      </c>
    </row>
    <row r="28">
      <c r="A28" s="13">
        <v>45201.0</v>
      </c>
      <c r="B28" s="14" t="s">
        <v>59</v>
      </c>
      <c r="C28" s="15" t="s">
        <v>1368</v>
      </c>
      <c r="D28" s="136" t="s">
        <v>1371</v>
      </c>
      <c r="E28" s="17" t="s">
        <v>62</v>
      </c>
      <c r="F28" s="26"/>
      <c r="G28" s="18" t="b">
        <v>0</v>
      </c>
      <c r="H28" s="18" t="b">
        <v>0</v>
      </c>
    </row>
    <row r="29">
      <c r="A29" s="13">
        <v>45201.0</v>
      </c>
      <c r="B29" s="14" t="s">
        <v>10</v>
      </c>
      <c r="C29" s="15" t="s">
        <v>40</v>
      </c>
      <c r="D29" s="16" t="s">
        <v>437</v>
      </c>
      <c r="E29" s="17"/>
      <c r="F29" s="26"/>
      <c r="G29" s="18" t="b">
        <v>0</v>
      </c>
      <c r="H29" s="18" t="b">
        <v>0</v>
      </c>
    </row>
    <row r="30">
      <c r="A30" s="13">
        <v>45202.0</v>
      </c>
      <c r="B30" s="14" t="s">
        <v>18</v>
      </c>
      <c r="C30" s="139" t="s">
        <v>125</v>
      </c>
      <c r="D30" s="16" t="s">
        <v>680</v>
      </c>
      <c r="E30" s="17" t="s">
        <v>16</v>
      </c>
      <c r="F30" s="26" t="s">
        <v>1372</v>
      </c>
      <c r="G30" s="18" t="b">
        <v>0</v>
      </c>
      <c r="H30" s="18" t="b">
        <v>0</v>
      </c>
    </row>
    <row r="31">
      <c r="A31" s="13">
        <v>45204.0</v>
      </c>
      <c r="B31" s="14" t="s">
        <v>26</v>
      </c>
      <c r="C31" s="139" t="s">
        <v>394</v>
      </c>
      <c r="D31" s="16" t="s">
        <v>141</v>
      </c>
      <c r="E31" s="17"/>
      <c r="F31" s="26" t="s">
        <v>1373</v>
      </c>
      <c r="G31" s="18" t="b">
        <v>0</v>
      </c>
      <c r="H31" s="18" t="b">
        <v>0</v>
      </c>
    </row>
    <row r="32">
      <c r="A32" s="13">
        <v>45204.0</v>
      </c>
      <c r="B32" s="14" t="s">
        <v>10</v>
      </c>
      <c r="C32" s="139" t="s">
        <v>85</v>
      </c>
      <c r="D32" s="16" t="s">
        <v>732</v>
      </c>
      <c r="E32" s="17" t="s">
        <v>84</v>
      </c>
      <c r="F32" s="26" t="s">
        <v>1374</v>
      </c>
      <c r="G32" s="18" t="b">
        <v>0</v>
      </c>
      <c r="H32" s="18" t="b">
        <v>0</v>
      </c>
    </row>
    <row r="33">
      <c r="A33" s="13">
        <v>45205.0</v>
      </c>
      <c r="B33" s="14" t="s">
        <v>18</v>
      </c>
      <c r="C33" s="139" t="s">
        <v>386</v>
      </c>
      <c r="D33" s="16" t="s">
        <v>801</v>
      </c>
      <c r="E33" s="17" t="s">
        <v>16</v>
      </c>
      <c r="F33" s="26" t="s">
        <v>1375</v>
      </c>
      <c r="G33" s="18" t="b">
        <v>0</v>
      </c>
      <c r="H33" s="18" t="b">
        <v>0</v>
      </c>
    </row>
    <row r="34">
      <c r="A34" s="13">
        <v>45205.0</v>
      </c>
      <c r="B34" s="14" t="s">
        <v>18</v>
      </c>
      <c r="C34" s="139" t="s">
        <v>1376</v>
      </c>
      <c r="D34" s="16" t="s">
        <v>261</v>
      </c>
      <c r="E34" s="17" t="s">
        <v>16</v>
      </c>
      <c r="F34" s="26" t="s">
        <v>1377</v>
      </c>
      <c r="G34" s="18" t="b">
        <v>0</v>
      </c>
      <c r="H34" s="18" t="b">
        <v>0</v>
      </c>
    </row>
    <row r="35">
      <c r="A35" s="13">
        <v>45206.0</v>
      </c>
      <c r="B35" s="14" t="s">
        <v>59</v>
      </c>
      <c r="C35" s="139" t="s">
        <v>56</v>
      </c>
      <c r="D35" s="16" t="s">
        <v>1378</v>
      </c>
      <c r="E35" s="17"/>
      <c r="F35" s="26" t="s">
        <v>1379</v>
      </c>
      <c r="G35" s="18" t="b">
        <v>0</v>
      </c>
      <c r="H35" s="18" t="b">
        <v>0</v>
      </c>
    </row>
    <row r="36">
      <c r="A36" s="13">
        <v>45206.0</v>
      </c>
      <c r="B36" s="14" t="s">
        <v>59</v>
      </c>
      <c r="C36" s="15" t="s">
        <v>60</v>
      </c>
      <c r="D36" s="16" t="s">
        <v>1380</v>
      </c>
      <c r="E36" s="17"/>
      <c r="F36" s="26" t="s">
        <v>1381</v>
      </c>
      <c r="G36" s="18" t="b">
        <v>0</v>
      </c>
      <c r="H36" s="18" t="b">
        <v>0</v>
      </c>
    </row>
    <row r="37">
      <c r="A37" s="13">
        <v>45206.0</v>
      </c>
      <c r="B37" s="14" t="s">
        <v>10</v>
      </c>
      <c r="C37" s="139" t="s">
        <v>344</v>
      </c>
      <c r="D37" s="16" t="s">
        <v>1382</v>
      </c>
      <c r="E37" s="17"/>
      <c r="F37" s="26" t="s">
        <v>1383</v>
      </c>
      <c r="G37" s="18" t="b">
        <v>0</v>
      </c>
      <c r="H37" s="18" t="b">
        <v>0</v>
      </c>
    </row>
    <row r="38">
      <c r="A38" s="13">
        <v>45210.0</v>
      </c>
      <c r="B38" s="14" t="s">
        <v>18</v>
      </c>
      <c r="C38" s="139" t="s">
        <v>189</v>
      </c>
      <c r="D38" s="16" t="s">
        <v>1384</v>
      </c>
      <c r="E38" s="17" t="s">
        <v>16</v>
      </c>
      <c r="F38" s="26" t="s">
        <v>670</v>
      </c>
      <c r="G38" s="18" t="b">
        <v>0</v>
      </c>
      <c r="H38" s="18" t="b">
        <v>0</v>
      </c>
    </row>
    <row r="39">
      <c r="A39" s="13">
        <v>45210.0</v>
      </c>
      <c r="B39" s="14" t="s">
        <v>18</v>
      </c>
      <c r="C39" s="15" t="s">
        <v>131</v>
      </c>
      <c r="D39" s="16" t="s">
        <v>1385</v>
      </c>
      <c r="E39" s="17" t="s">
        <v>623</v>
      </c>
      <c r="F39" s="26" t="s">
        <v>1386</v>
      </c>
      <c r="G39" s="18" t="b">
        <v>0</v>
      </c>
      <c r="H39" s="18" t="b">
        <v>0</v>
      </c>
    </row>
    <row r="40">
      <c r="A40" s="13">
        <v>45211.0</v>
      </c>
      <c r="B40" s="14" t="s">
        <v>18</v>
      </c>
      <c r="C40" s="15" t="s">
        <v>54</v>
      </c>
      <c r="D40" s="16" t="s">
        <v>1387</v>
      </c>
      <c r="E40" s="17" t="s">
        <v>1388</v>
      </c>
      <c r="F40" s="26" t="s">
        <v>1389</v>
      </c>
      <c r="G40" s="18" t="b">
        <v>0</v>
      </c>
      <c r="H40" s="18" t="b">
        <v>0</v>
      </c>
    </row>
    <row r="41">
      <c r="A41" s="13">
        <v>45211.0</v>
      </c>
      <c r="B41" s="14" t="s">
        <v>18</v>
      </c>
      <c r="C41" s="15" t="s">
        <v>54</v>
      </c>
      <c r="D41" s="16" t="s">
        <v>1390</v>
      </c>
      <c r="E41" s="17" t="s">
        <v>1391</v>
      </c>
      <c r="F41" s="26" t="s">
        <v>1389</v>
      </c>
      <c r="G41" s="18" t="b">
        <v>0</v>
      </c>
      <c r="H41" s="18" t="b">
        <v>0</v>
      </c>
    </row>
    <row r="42">
      <c r="A42" s="13">
        <v>45211.0</v>
      </c>
      <c r="B42" s="14" t="s">
        <v>18</v>
      </c>
      <c r="C42" s="15" t="s">
        <v>80</v>
      </c>
      <c r="D42" s="16" t="s">
        <v>1392</v>
      </c>
      <c r="E42" s="17" t="s">
        <v>84</v>
      </c>
      <c r="F42" s="26" t="s">
        <v>164</v>
      </c>
      <c r="G42" s="18" t="b">
        <v>0</v>
      </c>
      <c r="H42" s="18" t="b">
        <v>0</v>
      </c>
    </row>
    <row r="43">
      <c r="A43" s="13">
        <v>45212.0</v>
      </c>
      <c r="B43" s="14" t="s">
        <v>59</v>
      </c>
      <c r="C43" s="139" t="s">
        <v>49</v>
      </c>
      <c r="D43" s="16" t="s">
        <v>1393</v>
      </c>
      <c r="E43" s="26" t="s">
        <v>1394</v>
      </c>
      <c r="F43" s="26" t="s">
        <v>1395</v>
      </c>
      <c r="G43" s="18" t="b">
        <v>0</v>
      </c>
      <c r="H43" s="18" t="b">
        <v>0</v>
      </c>
    </row>
    <row r="44">
      <c r="A44" s="13">
        <v>45212.0</v>
      </c>
      <c r="B44" s="14" t="s">
        <v>18</v>
      </c>
      <c r="C44" s="139" t="s">
        <v>386</v>
      </c>
      <c r="D44" s="16" t="s">
        <v>801</v>
      </c>
      <c r="E44" s="17" t="s">
        <v>16</v>
      </c>
      <c r="F44" s="26" t="s">
        <v>1375</v>
      </c>
      <c r="G44" s="18" t="b">
        <v>0</v>
      </c>
      <c r="H44" s="18" t="b">
        <v>0</v>
      </c>
    </row>
    <row r="45">
      <c r="A45" s="13">
        <v>45212.0</v>
      </c>
      <c r="B45" s="14" t="s">
        <v>18</v>
      </c>
      <c r="C45" s="139" t="s">
        <v>259</v>
      </c>
      <c r="D45" s="16" t="s">
        <v>622</v>
      </c>
      <c r="E45" s="17" t="s">
        <v>79</v>
      </c>
      <c r="F45" s="26" t="s">
        <v>1396</v>
      </c>
      <c r="G45" s="18" t="b">
        <v>0</v>
      </c>
      <c r="H45" s="18" t="b">
        <v>0</v>
      </c>
    </row>
    <row r="46">
      <c r="A46" s="146">
        <v>45215.0</v>
      </c>
      <c r="B46" s="8" t="s">
        <v>18</v>
      </c>
      <c r="C46" s="15" t="s">
        <v>63</v>
      </c>
      <c r="D46" s="22" t="s">
        <v>960</v>
      </c>
      <c r="E46" s="17" t="s">
        <v>16</v>
      </c>
      <c r="F46" s="26" t="s">
        <v>1397</v>
      </c>
      <c r="G46" s="295" t="b">
        <v>0</v>
      </c>
      <c r="H46" s="296" t="b">
        <v>0</v>
      </c>
    </row>
    <row r="47">
      <c r="A47" s="13">
        <v>45215.0</v>
      </c>
      <c r="B47" s="14" t="s">
        <v>18</v>
      </c>
      <c r="C47" s="133" t="s">
        <v>1398</v>
      </c>
      <c r="D47" s="133" t="s">
        <v>960</v>
      </c>
      <c r="E47" s="135" t="s">
        <v>16</v>
      </c>
      <c r="F47" s="26" t="s">
        <v>1397</v>
      </c>
      <c r="G47" s="157" t="b">
        <v>0</v>
      </c>
      <c r="H47" s="157" t="b">
        <v>0</v>
      </c>
    </row>
    <row r="48">
      <c r="A48" s="13">
        <v>45216.0</v>
      </c>
      <c r="B48" s="8" t="s">
        <v>18</v>
      </c>
      <c r="C48" s="133" t="s">
        <v>63</v>
      </c>
      <c r="D48" s="133" t="s">
        <v>96</v>
      </c>
      <c r="E48" s="135" t="s">
        <v>16</v>
      </c>
      <c r="F48" s="26" t="s">
        <v>1399</v>
      </c>
      <c r="G48" s="297" t="b">
        <v>0</v>
      </c>
      <c r="H48" s="298" t="b">
        <v>0</v>
      </c>
    </row>
    <row r="49">
      <c r="A49" s="13">
        <v>45216.0</v>
      </c>
      <c r="B49" s="14" t="s">
        <v>1362</v>
      </c>
      <c r="C49" s="133" t="s">
        <v>623</v>
      </c>
      <c r="D49" s="133" t="s">
        <v>1400</v>
      </c>
      <c r="E49" s="135" t="s">
        <v>11</v>
      </c>
      <c r="F49" s="26"/>
      <c r="G49" s="297" t="b">
        <v>0</v>
      </c>
      <c r="H49" s="298" t="b">
        <v>0</v>
      </c>
    </row>
    <row r="50">
      <c r="A50" s="13">
        <v>45218.0</v>
      </c>
      <c r="B50" s="14" t="s">
        <v>18</v>
      </c>
      <c r="C50" s="133" t="s">
        <v>54</v>
      </c>
      <c r="D50" s="133" t="s">
        <v>1387</v>
      </c>
      <c r="E50" s="135" t="s">
        <v>1388</v>
      </c>
      <c r="F50" s="26" t="s">
        <v>1389</v>
      </c>
      <c r="G50" s="157" t="b">
        <v>0</v>
      </c>
      <c r="H50" s="157" t="b">
        <v>0</v>
      </c>
    </row>
    <row r="51">
      <c r="A51" s="13">
        <v>45218.0</v>
      </c>
      <c r="B51" s="14" t="s">
        <v>18</v>
      </c>
      <c r="C51" s="133" t="s">
        <v>54</v>
      </c>
      <c r="D51" s="133" t="s">
        <v>1390</v>
      </c>
      <c r="E51" s="135" t="s">
        <v>1391</v>
      </c>
      <c r="F51" s="26" t="s">
        <v>1389</v>
      </c>
      <c r="G51" s="157" t="b">
        <v>0</v>
      </c>
      <c r="H51" s="157" t="b">
        <v>0</v>
      </c>
    </row>
    <row r="52">
      <c r="A52" s="13">
        <v>45218.0</v>
      </c>
      <c r="B52" s="14" t="s">
        <v>18</v>
      </c>
      <c r="C52" s="133" t="s">
        <v>47</v>
      </c>
      <c r="D52" s="133" t="s">
        <v>256</v>
      </c>
      <c r="E52" s="135" t="s">
        <v>16</v>
      </c>
      <c r="F52" s="26" t="s">
        <v>1401</v>
      </c>
      <c r="G52" s="157" t="b">
        <v>0</v>
      </c>
      <c r="H52" s="157" t="b">
        <v>0</v>
      </c>
    </row>
    <row r="53">
      <c r="A53" s="13">
        <v>45218.0</v>
      </c>
      <c r="B53" s="14" t="s">
        <v>18</v>
      </c>
      <c r="C53" s="133" t="s">
        <v>47</v>
      </c>
      <c r="D53" s="16" t="s">
        <v>1402</v>
      </c>
      <c r="E53" s="17" t="s">
        <v>1403</v>
      </c>
      <c r="F53" s="26"/>
      <c r="G53" s="18" t="b">
        <v>0</v>
      </c>
      <c r="H53" s="18" t="b">
        <v>0</v>
      </c>
    </row>
    <row r="54">
      <c r="A54" s="13">
        <v>45218.0</v>
      </c>
      <c r="B54" s="14" t="s">
        <v>59</v>
      </c>
      <c r="C54" s="15" t="s">
        <v>47</v>
      </c>
      <c r="D54" s="16" t="s">
        <v>1404</v>
      </c>
      <c r="E54" s="17" t="s">
        <v>16</v>
      </c>
      <c r="F54" s="26" t="s">
        <v>1405</v>
      </c>
      <c r="G54" s="18" t="b">
        <v>0</v>
      </c>
      <c r="H54" s="18" t="b">
        <v>0</v>
      </c>
    </row>
    <row r="55">
      <c r="A55" s="13">
        <v>45218.0</v>
      </c>
      <c r="B55" s="14" t="s">
        <v>18</v>
      </c>
      <c r="C55" s="139" t="s">
        <v>38</v>
      </c>
      <c r="D55" s="16" t="s">
        <v>269</v>
      </c>
      <c r="E55" s="17" t="s">
        <v>151</v>
      </c>
      <c r="F55" s="26"/>
      <c r="G55" s="18" t="b">
        <v>0</v>
      </c>
      <c r="H55" s="18" t="b">
        <v>0</v>
      </c>
    </row>
    <row r="56">
      <c r="A56" s="13">
        <v>45218.0</v>
      </c>
      <c r="B56" s="14" t="s">
        <v>18</v>
      </c>
      <c r="C56" s="133" t="s">
        <v>131</v>
      </c>
      <c r="D56" s="16" t="s">
        <v>1406</v>
      </c>
      <c r="E56" s="17"/>
      <c r="F56" s="26" t="s">
        <v>1405</v>
      </c>
      <c r="G56" s="18" t="b">
        <v>0</v>
      </c>
      <c r="H56" s="18" t="b">
        <v>0</v>
      </c>
    </row>
    <row r="57">
      <c r="A57" s="13">
        <v>45219.0</v>
      </c>
      <c r="B57" s="14" t="s">
        <v>18</v>
      </c>
      <c r="C57" s="133" t="s">
        <v>386</v>
      </c>
      <c r="D57" s="16" t="s">
        <v>801</v>
      </c>
      <c r="E57" s="17"/>
      <c r="F57" s="26" t="s">
        <v>1407</v>
      </c>
      <c r="G57" s="18" t="b">
        <v>0</v>
      </c>
      <c r="H57" s="18" t="b">
        <v>0</v>
      </c>
    </row>
    <row r="58">
      <c r="A58" s="13">
        <v>45220.0</v>
      </c>
      <c r="B58" s="14" t="s">
        <v>18</v>
      </c>
      <c r="C58" s="133" t="s">
        <v>202</v>
      </c>
      <c r="D58" s="16" t="s">
        <v>1364</v>
      </c>
      <c r="E58" s="17" t="s">
        <v>16</v>
      </c>
      <c r="F58" s="26" t="s">
        <v>1408</v>
      </c>
      <c r="G58" s="18" t="b">
        <v>1</v>
      </c>
      <c r="H58" s="18" t="b">
        <v>0</v>
      </c>
    </row>
    <row r="59">
      <c r="A59" s="13">
        <v>45222.0</v>
      </c>
      <c r="B59" s="14" t="s">
        <v>18</v>
      </c>
      <c r="C59" s="133" t="s">
        <v>131</v>
      </c>
      <c r="D59" s="16" t="s">
        <v>1409</v>
      </c>
      <c r="E59" s="17" t="s">
        <v>623</v>
      </c>
      <c r="F59" s="26"/>
      <c r="G59" s="18" t="b">
        <v>0</v>
      </c>
      <c r="H59" s="18" t="b">
        <v>0</v>
      </c>
    </row>
    <row r="60">
      <c r="A60" s="13">
        <v>45222.0</v>
      </c>
      <c r="B60" s="14" t="s">
        <v>18</v>
      </c>
      <c r="C60" s="133" t="s">
        <v>131</v>
      </c>
      <c r="D60" s="16" t="s">
        <v>515</v>
      </c>
      <c r="E60" s="17" t="s">
        <v>65</v>
      </c>
      <c r="F60" s="26" t="s">
        <v>1410</v>
      </c>
      <c r="G60" s="18" t="b">
        <v>1</v>
      </c>
      <c r="H60" s="18" t="b">
        <v>0</v>
      </c>
    </row>
    <row r="61">
      <c r="A61" s="13">
        <v>45223.0</v>
      </c>
      <c r="B61" s="14" t="s">
        <v>1345</v>
      </c>
      <c r="C61" s="133" t="s">
        <v>1411</v>
      </c>
      <c r="D61" s="16" t="s">
        <v>1412</v>
      </c>
      <c r="E61" s="17" t="s">
        <v>16</v>
      </c>
      <c r="F61" s="26"/>
      <c r="G61" s="18" t="b">
        <v>0</v>
      </c>
      <c r="H61" s="18" t="b">
        <v>0</v>
      </c>
    </row>
    <row r="62">
      <c r="A62" s="13">
        <v>45224.0</v>
      </c>
      <c r="B62" s="14" t="s">
        <v>18</v>
      </c>
      <c r="C62" s="133" t="s">
        <v>352</v>
      </c>
      <c r="D62" s="16" t="s">
        <v>353</v>
      </c>
      <c r="E62" s="17" t="s">
        <v>16</v>
      </c>
      <c r="F62" s="26" t="s">
        <v>373</v>
      </c>
      <c r="G62" s="18" t="b">
        <v>0</v>
      </c>
      <c r="H62" s="18" t="b">
        <v>0</v>
      </c>
    </row>
    <row r="63">
      <c r="A63" s="13">
        <v>45224.0</v>
      </c>
      <c r="B63" s="14" t="s">
        <v>18</v>
      </c>
      <c r="C63" s="133" t="s">
        <v>131</v>
      </c>
      <c r="D63" s="16" t="s">
        <v>1413</v>
      </c>
      <c r="E63" s="17" t="s">
        <v>623</v>
      </c>
      <c r="F63" s="26"/>
      <c r="G63" s="18" t="b">
        <v>0</v>
      </c>
      <c r="H63" s="18" t="b">
        <v>0</v>
      </c>
    </row>
    <row r="64">
      <c r="A64" s="13">
        <v>45224.0</v>
      </c>
      <c r="B64" s="14" t="s">
        <v>18</v>
      </c>
      <c r="C64" s="133" t="s">
        <v>131</v>
      </c>
      <c r="D64" s="16" t="s">
        <v>524</v>
      </c>
      <c r="E64" s="17" t="s">
        <v>623</v>
      </c>
      <c r="F64" s="26"/>
      <c r="G64" s="18" t="b">
        <v>0</v>
      </c>
      <c r="H64" s="18" t="b">
        <v>0</v>
      </c>
    </row>
    <row r="65">
      <c r="A65" s="13">
        <v>45225.0</v>
      </c>
      <c r="B65" s="14" t="s">
        <v>26</v>
      </c>
      <c r="C65" s="133" t="s">
        <v>1414</v>
      </c>
      <c r="D65" s="16" t="s">
        <v>1415</v>
      </c>
      <c r="E65" s="17"/>
      <c r="F65" s="26" t="s">
        <v>1416</v>
      </c>
      <c r="G65" s="18" t="b">
        <v>0</v>
      </c>
      <c r="H65" s="18" t="b">
        <v>0</v>
      </c>
    </row>
    <row r="66">
      <c r="A66" s="13">
        <v>45226.0</v>
      </c>
      <c r="B66" s="14" t="s">
        <v>18</v>
      </c>
      <c r="C66" s="133" t="s">
        <v>19</v>
      </c>
      <c r="D66" s="16" t="s">
        <v>20</v>
      </c>
      <c r="E66" s="17" t="s">
        <v>1343</v>
      </c>
      <c r="F66" s="26"/>
      <c r="G66" s="18" t="b">
        <v>0</v>
      </c>
      <c r="H66" s="18" t="b">
        <v>0</v>
      </c>
    </row>
    <row r="67">
      <c r="A67" s="13">
        <v>45227.0</v>
      </c>
      <c r="B67" s="14" t="s">
        <v>26</v>
      </c>
      <c r="C67" s="133" t="s">
        <v>56</v>
      </c>
      <c r="D67" s="133" t="s">
        <v>423</v>
      </c>
      <c r="E67" s="135" t="s">
        <v>1417</v>
      </c>
      <c r="F67" s="26"/>
      <c r="G67" s="157" t="b">
        <v>0</v>
      </c>
      <c r="H67" s="157" t="b">
        <v>0</v>
      </c>
    </row>
    <row r="68">
      <c r="A68" s="13">
        <v>45227.0</v>
      </c>
      <c r="B68" s="14" t="s">
        <v>18</v>
      </c>
      <c r="C68" s="133" t="s">
        <v>275</v>
      </c>
      <c r="D68" s="133" t="s">
        <v>640</v>
      </c>
      <c r="E68" s="135" t="s">
        <v>16</v>
      </c>
      <c r="F68" s="26" t="s">
        <v>97</v>
      </c>
      <c r="G68" s="157" t="b">
        <v>0</v>
      </c>
      <c r="H68" s="157" t="b">
        <v>0</v>
      </c>
    </row>
    <row r="69">
      <c r="A69" s="13">
        <v>45229.0</v>
      </c>
      <c r="B69" s="14" t="s">
        <v>18</v>
      </c>
      <c r="C69" s="133" t="s">
        <v>1398</v>
      </c>
      <c r="D69" s="133" t="s">
        <v>960</v>
      </c>
      <c r="E69" s="135" t="s">
        <v>16</v>
      </c>
      <c r="F69" s="26" t="s">
        <v>198</v>
      </c>
      <c r="G69" s="157" t="b">
        <v>0</v>
      </c>
      <c r="H69" s="157" t="b">
        <v>0</v>
      </c>
    </row>
    <row r="70">
      <c r="A70" s="13">
        <v>45229.0</v>
      </c>
      <c r="B70" s="14" t="s">
        <v>18</v>
      </c>
      <c r="C70" s="133" t="s">
        <v>1418</v>
      </c>
      <c r="D70" s="133" t="s">
        <v>1419</v>
      </c>
      <c r="E70" s="135" t="s">
        <v>259</v>
      </c>
      <c r="F70" s="26"/>
      <c r="G70" s="157" t="b">
        <v>0</v>
      </c>
      <c r="H70" s="157" t="b">
        <v>0</v>
      </c>
    </row>
    <row r="71">
      <c r="A71" s="13">
        <v>45229.0</v>
      </c>
      <c r="B71" s="14" t="s">
        <v>59</v>
      </c>
      <c r="C71" s="15" t="s">
        <v>259</v>
      </c>
      <c r="D71" s="16" t="s">
        <v>1420</v>
      </c>
      <c r="E71" s="17" t="s">
        <v>694</v>
      </c>
      <c r="F71" s="26"/>
      <c r="G71" s="18" t="b">
        <v>0</v>
      </c>
      <c r="H71" s="18" t="b">
        <v>0</v>
      </c>
    </row>
    <row r="72">
      <c r="A72" s="13">
        <v>45230.0</v>
      </c>
      <c r="B72" s="14" t="s">
        <v>18</v>
      </c>
      <c r="C72" s="15" t="s">
        <v>189</v>
      </c>
      <c r="D72" s="16" t="s">
        <v>254</v>
      </c>
      <c r="E72" s="17" t="s">
        <v>16</v>
      </c>
      <c r="F72" s="26" t="s">
        <v>1421</v>
      </c>
      <c r="G72" s="18" t="b">
        <v>0</v>
      </c>
      <c r="H72" s="18" t="b">
        <v>0</v>
      </c>
    </row>
    <row r="73">
      <c r="A73" s="13">
        <v>45230.0</v>
      </c>
      <c r="B73" s="14" t="s">
        <v>18</v>
      </c>
      <c r="C73" s="15" t="s">
        <v>189</v>
      </c>
      <c r="D73" s="16" t="s">
        <v>1422</v>
      </c>
      <c r="E73" s="17" t="s">
        <v>49</v>
      </c>
      <c r="F73" s="26"/>
      <c r="G73" s="18" t="b">
        <v>0</v>
      </c>
      <c r="H73" s="18" t="b">
        <v>0</v>
      </c>
    </row>
    <row r="74">
      <c r="A74" s="13">
        <v>45230.0</v>
      </c>
      <c r="B74" s="14" t="s">
        <v>18</v>
      </c>
      <c r="C74" s="15" t="s">
        <v>623</v>
      </c>
      <c r="D74" s="16" t="s">
        <v>1423</v>
      </c>
      <c r="E74" s="17" t="s">
        <v>49</v>
      </c>
      <c r="F74" s="26"/>
      <c r="G74" s="18" t="b">
        <v>0</v>
      </c>
      <c r="H74" s="18" t="b">
        <v>0</v>
      </c>
    </row>
    <row r="75">
      <c r="A75" s="13">
        <v>45230.0</v>
      </c>
      <c r="B75" s="14" t="s">
        <v>18</v>
      </c>
      <c r="C75" s="133" t="s">
        <v>623</v>
      </c>
      <c r="D75" s="133" t="s">
        <v>1424</v>
      </c>
      <c r="E75" s="135" t="s">
        <v>49</v>
      </c>
      <c r="F75" s="26"/>
      <c r="G75" s="157" t="b">
        <v>0</v>
      </c>
      <c r="H75" s="157" t="b">
        <v>0</v>
      </c>
    </row>
    <row r="76">
      <c r="A76" s="13">
        <v>45230.0</v>
      </c>
      <c r="B76" s="14" t="s">
        <v>18</v>
      </c>
      <c r="C76" s="133" t="s">
        <v>386</v>
      </c>
      <c r="D76" s="133" t="s">
        <v>96</v>
      </c>
      <c r="E76" s="135" t="s">
        <v>16</v>
      </c>
      <c r="F76" s="26" t="s">
        <v>1425</v>
      </c>
      <c r="G76" s="157" t="b">
        <v>0</v>
      </c>
      <c r="H76" s="157" t="b">
        <v>0</v>
      </c>
    </row>
    <row r="77">
      <c r="A77" s="13">
        <v>45230.0</v>
      </c>
      <c r="B77" s="14" t="s">
        <v>26</v>
      </c>
      <c r="C77" s="133" t="s">
        <v>1426</v>
      </c>
      <c r="D77" s="133" t="s">
        <v>1427</v>
      </c>
      <c r="E77" s="135" t="s">
        <v>846</v>
      </c>
      <c r="F77" s="26"/>
      <c r="G77" s="157" t="b">
        <v>0</v>
      </c>
      <c r="H77" s="157" t="b">
        <v>0</v>
      </c>
    </row>
    <row r="78">
      <c r="A78" s="13">
        <v>45232.0</v>
      </c>
      <c r="B78" s="14" t="s">
        <v>18</v>
      </c>
      <c r="C78" s="133" t="s">
        <v>47</v>
      </c>
      <c r="D78" s="133" t="s">
        <v>457</v>
      </c>
      <c r="E78" s="135" t="s">
        <v>16</v>
      </c>
      <c r="F78" s="26" t="s">
        <v>1401</v>
      </c>
      <c r="G78" s="79" t="b">
        <v>0</v>
      </c>
      <c r="H78" s="79" t="b">
        <v>0</v>
      </c>
    </row>
    <row r="79">
      <c r="A79" s="13">
        <v>45232.0</v>
      </c>
      <c r="B79" s="14" t="s">
        <v>18</v>
      </c>
      <c r="C79" s="133" t="s">
        <v>47</v>
      </c>
      <c r="D79" s="133" t="s">
        <v>256</v>
      </c>
      <c r="E79" s="135" t="s">
        <v>16</v>
      </c>
      <c r="F79" s="26" t="s">
        <v>1401</v>
      </c>
      <c r="G79" s="79" t="b">
        <v>0</v>
      </c>
      <c r="H79" s="79" t="b">
        <v>0</v>
      </c>
    </row>
    <row r="80">
      <c r="A80" s="13">
        <v>45232.0</v>
      </c>
      <c r="B80" s="14" t="s">
        <v>18</v>
      </c>
      <c r="C80" s="133" t="s">
        <v>47</v>
      </c>
      <c r="D80" s="133" t="s">
        <v>1402</v>
      </c>
      <c r="E80" s="135" t="s">
        <v>1403</v>
      </c>
      <c r="F80" s="26"/>
      <c r="G80" s="79" t="b">
        <v>0</v>
      </c>
      <c r="H80" s="79" t="b">
        <v>0</v>
      </c>
    </row>
    <row r="81">
      <c r="A81" s="13">
        <v>45232.0</v>
      </c>
      <c r="B81" s="14" t="s">
        <v>18</v>
      </c>
      <c r="C81" s="15" t="s">
        <v>623</v>
      </c>
      <c r="D81" s="16" t="s">
        <v>1428</v>
      </c>
      <c r="E81" s="17" t="s">
        <v>131</v>
      </c>
      <c r="F81" s="26"/>
      <c r="G81" s="29" t="b">
        <v>0</v>
      </c>
      <c r="H81" s="29" t="b">
        <v>0</v>
      </c>
    </row>
    <row r="82">
      <c r="A82" s="13">
        <v>45232.0</v>
      </c>
      <c r="B82" s="14" t="s">
        <v>18</v>
      </c>
      <c r="C82" s="15" t="s">
        <v>623</v>
      </c>
      <c r="D82" s="16" t="s">
        <v>1429</v>
      </c>
      <c r="E82" s="17" t="s">
        <v>386</v>
      </c>
      <c r="F82" s="26"/>
      <c r="G82" s="29" t="b">
        <v>0</v>
      </c>
      <c r="H82" s="29" t="b">
        <v>0</v>
      </c>
    </row>
    <row r="83">
      <c r="A83" s="13">
        <v>45233.0</v>
      </c>
      <c r="B83" s="14" t="s">
        <v>18</v>
      </c>
      <c r="C83" s="15" t="s">
        <v>110</v>
      </c>
      <c r="D83" s="16" t="s">
        <v>1430</v>
      </c>
      <c r="E83" s="17" t="s">
        <v>14</v>
      </c>
      <c r="F83" s="26"/>
      <c r="G83" s="29" t="b">
        <v>0</v>
      </c>
      <c r="H83" s="29" t="b">
        <v>0</v>
      </c>
    </row>
    <row r="84">
      <c r="A84" s="13">
        <v>45233.0</v>
      </c>
      <c r="B84" s="14" t="s">
        <v>18</v>
      </c>
      <c r="C84" s="139" t="s">
        <v>1356</v>
      </c>
      <c r="D84" s="16" t="s">
        <v>1431</v>
      </c>
      <c r="E84" s="17" t="s">
        <v>16</v>
      </c>
      <c r="F84" s="26" t="s">
        <v>1432</v>
      </c>
      <c r="G84" s="29" t="b">
        <v>0</v>
      </c>
      <c r="H84" s="29" t="b">
        <v>0</v>
      </c>
    </row>
    <row r="85">
      <c r="A85" s="13">
        <v>45234.0</v>
      </c>
      <c r="B85" s="14" t="s">
        <v>26</v>
      </c>
      <c r="C85" s="15" t="s">
        <v>56</v>
      </c>
      <c r="D85" s="16" t="s">
        <v>423</v>
      </c>
      <c r="E85" s="17" t="s">
        <v>1433</v>
      </c>
      <c r="F85" s="26" t="s">
        <v>1434</v>
      </c>
      <c r="G85" s="29" t="b">
        <v>0</v>
      </c>
      <c r="H85" s="29" t="b">
        <v>0</v>
      </c>
    </row>
    <row r="86">
      <c r="A86" s="13">
        <v>45234.0</v>
      </c>
      <c r="B86" s="14" t="s">
        <v>18</v>
      </c>
      <c r="C86" s="15" t="s">
        <v>110</v>
      </c>
      <c r="D86" s="16" t="s">
        <v>1435</v>
      </c>
      <c r="E86" s="17" t="s">
        <v>14</v>
      </c>
      <c r="F86" s="26"/>
      <c r="G86" s="29" t="b">
        <v>0</v>
      </c>
      <c r="H86" s="29" t="b">
        <v>0</v>
      </c>
    </row>
    <row r="87">
      <c r="A87" s="13">
        <v>45237.0</v>
      </c>
      <c r="B87" s="14" t="s">
        <v>18</v>
      </c>
      <c r="C87" s="15" t="s">
        <v>1436</v>
      </c>
      <c r="D87" s="16" t="s">
        <v>1437</v>
      </c>
      <c r="E87" s="17" t="s">
        <v>1438</v>
      </c>
      <c r="F87" s="26" t="s">
        <v>1439</v>
      </c>
      <c r="G87" s="29" t="b">
        <v>0</v>
      </c>
      <c r="H87" s="29" t="b">
        <v>0</v>
      </c>
    </row>
    <row r="88">
      <c r="A88" s="13">
        <v>45238.0</v>
      </c>
      <c r="B88" s="14" t="s">
        <v>18</v>
      </c>
      <c r="C88" s="15" t="s">
        <v>131</v>
      </c>
      <c r="D88" s="16" t="s">
        <v>1440</v>
      </c>
      <c r="E88" s="17" t="s">
        <v>623</v>
      </c>
      <c r="F88" s="26"/>
      <c r="G88" s="29" t="b">
        <v>0</v>
      </c>
      <c r="H88" s="29" t="b">
        <v>0</v>
      </c>
    </row>
    <row r="89">
      <c r="A89" s="13">
        <v>45240.0</v>
      </c>
      <c r="B89" s="14" t="s">
        <v>18</v>
      </c>
      <c r="C89" s="15" t="s">
        <v>110</v>
      </c>
      <c r="D89" s="16" t="s">
        <v>1430</v>
      </c>
      <c r="E89" s="17" t="s">
        <v>14</v>
      </c>
      <c r="F89" s="26"/>
      <c r="G89" s="29" t="b">
        <v>0</v>
      </c>
      <c r="H89" s="29" t="b">
        <v>0</v>
      </c>
    </row>
    <row r="90">
      <c r="A90" s="13">
        <v>45241.0</v>
      </c>
      <c r="B90" s="14" t="s">
        <v>26</v>
      </c>
      <c r="C90" s="15" t="s">
        <v>56</v>
      </c>
      <c r="D90" s="16" t="s">
        <v>423</v>
      </c>
      <c r="E90" s="17" t="s">
        <v>1417</v>
      </c>
      <c r="F90" s="26"/>
      <c r="G90" s="29" t="b">
        <v>0</v>
      </c>
      <c r="H90" s="29" t="b">
        <v>0</v>
      </c>
    </row>
    <row r="91">
      <c r="A91" s="13">
        <v>45241.0</v>
      </c>
      <c r="B91" s="14" t="s">
        <v>18</v>
      </c>
      <c r="C91" s="15" t="s">
        <v>202</v>
      </c>
      <c r="D91" s="16" t="s">
        <v>1364</v>
      </c>
      <c r="E91" s="17" t="s">
        <v>1441</v>
      </c>
      <c r="F91" s="26" t="s">
        <v>1442</v>
      </c>
      <c r="G91" s="29" t="b">
        <v>0</v>
      </c>
      <c r="H91" s="29" t="b">
        <v>0</v>
      </c>
    </row>
    <row r="92">
      <c r="A92" s="13">
        <v>45241.0</v>
      </c>
      <c r="B92" s="14" t="s">
        <v>18</v>
      </c>
      <c r="C92" s="15" t="s">
        <v>110</v>
      </c>
      <c r="D92" s="16" t="s">
        <v>1435</v>
      </c>
      <c r="E92" s="17" t="s">
        <v>14</v>
      </c>
      <c r="F92" s="26"/>
      <c r="G92" s="29" t="b">
        <v>0</v>
      </c>
      <c r="H92" s="29" t="b">
        <v>0</v>
      </c>
    </row>
    <row r="93">
      <c r="A93" s="13">
        <v>45244.0</v>
      </c>
      <c r="B93" s="14" t="s">
        <v>1345</v>
      </c>
      <c r="C93" s="15" t="s">
        <v>202</v>
      </c>
      <c r="D93" s="16" t="s">
        <v>1443</v>
      </c>
      <c r="E93" s="17"/>
      <c r="F93" s="26"/>
      <c r="G93" s="29" t="b">
        <v>0</v>
      </c>
      <c r="H93" s="29" t="b">
        <v>0</v>
      </c>
    </row>
    <row r="94">
      <c r="A94" s="13">
        <v>45246.0</v>
      </c>
      <c r="B94" s="14" t="s">
        <v>18</v>
      </c>
      <c r="C94" s="15" t="s">
        <v>623</v>
      </c>
      <c r="D94" s="16" t="s">
        <v>1444</v>
      </c>
      <c r="E94" s="17" t="s">
        <v>16</v>
      </c>
      <c r="F94" s="26" t="s">
        <v>1445</v>
      </c>
      <c r="G94" s="29" t="b">
        <v>0</v>
      </c>
      <c r="H94" s="29" t="b">
        <v>0</v>
      </c>
    </row>
    <row r="95">
      <c r="A95" s="13">
        <v>45246.0</v>
      </c>
      <c r="B95" s="14" t="s">
        <v>18</v>
      </c>
      <c r="C95" s="15" t="s">
        <v>623</v>
      </c>
      <c r="D95" s="16" t="s">
        <v>1446</v>
      </c>
      <c r="E95" s="17" t="s">
        <v>386</v>
      </c>
      <c r="F95" s="26"/>
      <c r="G95" s="29" t="b">
        <v>0</v>
      </c>
      <c r="H95" s="29" t="b">
        <v>0</v>
      </c>
    </row>
    <row r="96">
      <c r="A96" s="13">
        <v>45246.0</v>
      </c>
      <c r="B96" s="14" t="s">
        <v>18</v>
      </c>
      <c r="C96" s="15" t="s">
        <v>499</v>
      </c>
      <c r="D96" s="16" t="s">
        <v>287</v>
      </c>
      <c r="E96" s="17" t="s">
        <v>1447</v>
      </c>
      <c r="F96" s="26" t="s">
        <v>1448</v>
      </c>
      <c r="G96" s="29" t="b">
        <v>0</v>
      </c>
      <c r="H96" s="29" t="b">
        <v>0</v>
      </c>
    </row>
    <row r="97">
      <c r="A97" s="13">
        <v>45246.0</v>
      </c>
      <c r="B97" s="14" t="s">
        <v>18</v>
      </c>
      <c r="C97" s="15" t="s">
        <v>499</v>
      </c>
      <c r="D97" s="16" t="s">
        <v>1031</v>
      </c>
      <c r="E97" s="17" t="s">
        <v>1447</v>
      </c>
      <c r="F97" s="26" t="s">
        <v>1448</v>
      </c>
      <c r="G97" s="29" t="b">
        <v>0</v>
      </c>
      <c r="H97" s="29" t="b">
        <v>0</v>
      </c>
    </row>
    <row r="98">
      <c r="A98" s="13">
        <v>45246.0</v>
      </c>
      <c r="B98" s="14" t="s">
        <v>18</v>
      </c>
      <c r="C98" s="15" t="s">
        <v>1414</v>
      </c>
      <c r="D98" s="16" t="s">
        <v>1449</v>
      </c>
      <c r="E98" s="17" t="s">
        <v>1447</v>
      </c>
      <c r="F98" s="26" t="s">
        <v>1450</v>
      </c>
      <c r="G98" s="29" t="b">
        <v>0</v>
      </c>
      <c r="H98" s="29" t="b">
        <v>0</v>
      </c>
    </row>
    <row r="99">
      <c r="A99" s="13">
        <v>45246.0</v>
      </c>
      <c r="B99" s="14" t="s">
        <v>18</v>
      </c>
      <c r="C99" s="15" t="s">
        <v>131</v>
      </c>
      <c r="D99" s="16" t="s">
        <v>1451</v>
      </c>
      <c r="E99" s="17" t="s">
        <v>16</v>
      </c>
      <c r="F99" s="26" t="s">
        <v>1452</v>
      </c>
      <c r="G99" s="29" t="b">
        <v>0</v>
      </c>
      <c r="H99" s="29" t="b">
        <v>0</v>
      </c>
    </row>
    <row r="100">
      <c r="A100" s="13">
        <v>45250.0</v>
      </c>
      <c r="B100" s="14" t="s">
        <v>18</v>
      </c>
      <c r="C100" s="15" t="s">
        <v>19</v>
      </c>
      <c r="D100" s="16" t="s">
        <v>770</v>
      </c>
      <c r="E100" s="17" t="s">
        <v>16</v>
      </c>
      <c r="F100" s="26" t="s">
        <v>1453</v>
      </c>
      <c r="G100" s="29" t="b">
        <v>0</v>
      </c>
      <c r="H100" s="29" t="b">
        <v>0</v>
      </c>
    </row>
    <row r="101">
      <c r="A101" s="13">
        <v>45250.0</v>
      </c>
      <c r="B101" s="14" t="s">
        <v>18</v>
      </c>
      <c r="C101" s="15" t="s">
        <v>19</v>
      </c>
      <c r="D101" s="16" t="s">
        <v>755</v>
      </c>
      <c r="E101" s="17" t="s">
        <v>16</v>
      </c>
      <c r="F101" s="26" t="s">
        <v>808</v>
      </c>
      <c r="G101" s="29" t="b">
        <v>0</v>
      </c>
      <c r="H101" s="29" t="b">
        <v>0</v>
      </c>
    </row>
    <row r="102">
      <c r="A102" s="13">
        <v>45250.0</v>
      </c>
      <c r="B102" s="14" t="s">
        <v>18</v>
      </c>
      <c r="C102" s="15" t="s">
        <v>19</v>
      </c>
      <c r="D102" s="16" t="s">
        <v>1454</v>
      </c>
      <c r="E102" s="17" t="s">
        <v>16</v>
      </c>
      <c r="F102" s="17" t="s">
        <v>198</v>
      </c>
      <c r="G102" s="29" t="b">
        <v>0</v>
      </c>
      <c r="H102" s="29" t="b">
        <v>0</v>
      </c>
    </row>
    <row r="103">
      <c r="A103" s="13">
        <v>45252.0</v>
      </c>
      <c r="B103" s="14" t="s">
        <v>18</v>
      </c>
      <c r="C103" s="15" t="s">
        <v>60</v>
      </c>
      <c r="D103" s="16" t="s">
        <v>1455</v>
      </c>
      <c r="E103" s="17" t="s">
        <v>47</v>
      </c>
      <c r="F103" s="26"/>
      <c r="G103" s="29" t="b">
        <v>0</v>
      </c>
      <c r="H103" s="29" t="b">
        <v>0</v>
      </c>
    </row>
    <row r="104">
      <c r="A104" s="13">
        <v>45252.0</v>
      </c>
      <c r="B104" s="14" t="s">
        <v>18</v>
      </c>
      <c r="C104" s="15" t="s">
        <v>60</v>
      </c>
      <c r="D104" s="16" t="s">
        <v>1456</v>
      </c>
      <c r="E104" s="17" t="s">
        <v>151</v>
      </c>
      <c r="F104" s="26"/>
      <c r="G104" s="29" t="b">
        <v>0</v>
      </c>
      <c r="H104" s="29" t="b">
        <v>0</v>
      </c>
    </row>
    <row r="105">
      <c r="A105" s="13">
        <v>45252.0</v>
      </c>
      <c r="B105" s="14" t="s">
        <v>18</v>
      </c>
      <c r="C105" s="15" t="s">
        <v>60</v>
      </c>
      <c r="D105" s="16" t="s">
        <v>1457</v>
      </c>
      <c r="E105" s="17" t="s">
        <v>151</v>
      </c>
      <c r="F105" s="26"/>
      <c r="G105" s="29" t="b">
        <v>0</v>
      </c>
      <c r="H105" s="29" t="b">
        <v>0</v>
      </c>
    </row>
    <row r="106">
      <c r="A106" s="13">
        <v>45253.0</v>
      </c>
      <c r="B106" s="14" t="s">
        <v>18</v>
      </c>
      <c r="C106" s="15" t="s">
        <v>38</v>
      </c>
      <c r="D106" s="16" t="s">
        <v>269</v>
      </c>
      <c r="E106" s="17" t="s">
        <v>151</v>
      </c>
      <c r="F106" s="26"/>
      <c r="G106" s="29" t="b">
        <v>0</v>
      </c>
      <c r="H106" s="29" t="b">
        <v>0</v>
      </c>
    </row>
    <row r="107">
      <c r="A107" s="13">
        <v>45253.0</v>
      </c>
      <c r="B107" s="14" t="s">
        <v>18</v>
      </c>
      <c r="C107" s="15" t="s">
        <v>125</v>
      </c>
      <c r="D107" s="16" t="s">
        <v>256</v>
      </c>
      <c r="E107" s="17" t="s">
        <v>16</v>
      </c>
      <c r="F107" s="26" t="s">
        <v>1458</v>
      </c>
      <c r="G107" s="29" t="b">
        <v>0</v>
      </c>
      <c r="H107" s="29" t="b">
        <v>0</v>
      </c>
    </row>
    <row r="108">
      <c r="A108" s="13">
        <v>45254.0</v>
      </c>
      <c r="B108" s="14" t="s">
        <v>18</v>
      </c>
      <c r="C108" s="15" t="s">
        <v>60</v>
      </c>
      <c r="D108" s="16" t="s">
        <v>809</v>
      </c>
      <c r="E108" s="17" t="s">
        <v>16</v>
      </c>
      <c r="F108" s="26" t="s">
        <v>1459</v>
      </c>
      <c r="G108" s="29" t="b">
        <v>0</v>
      </c>
      <c r="H108" s="29" t="b">
        <v>0</v>
      </c>
    </row>
    <row r="109">
      <c r="A109" s="13">
        <v>45254.0</v>
      </c>
      <c r="B109" s="14" t="s">
        <v>18</v>
      </c>
      <c r="C109" s="15" t="s">
        <v>60</v>
      </c>
      <c r="D109" s="16" t="s">
        <v>433</v>
      </c>
      <c r="E109" s="17" t="s">
        <v>16</v>
      </c>
      <c r="F109" s="26" t="s">
        <v>1459</v>
      </c>
      <c r="G109" s="29" t="b">
        <v>0</v>
      </c>
      <c r="H109" s="29" t="b">
        <v>0</v>
      </c>
    </row>
    <row r="110">
      <c r="A110" s="13">
        <v>45255.0</v>
      </c>
      <c r="B110" s="14" t="s">
        <v>59</v>
      </c>
      <c r="C110" s="15" t="s">
        <v>411</v>
      </c>
      <c r="D110" s="299">
        <v>41223.0</v>
      </c>
      <c r="E110" s="17" t="s">
        <v>16</v>
      </c>
      <c r="F110" s="26" t="s">
        <v>1460</v>
      </c>
      <c r="G110" s="29" t="b">
        <v>0</v>
      </c>
      <c r="H110" s="29" t="b">
        <v>0</v>
      </c>
    </row>
    <row r="111">
      <c r="A111" s="13">
        <v>45257.0</v>
      </c>
      <c r="B111" s="14" t="s">
        <v>18</v>
      </c>
      <c r="C111" s="15" t="s">
        <v>47</v>
      </c>
      <c r="D111" s="16" t="s">
        <v>1461</v>
      </c>
      <c r="E111" s="17" t="s">
        <v>1343</v>
      </c>
      <c r="F111" s="26"/>
      <c r="G111" s="29" t="b">
        <v>0</v>
      </c>
      <c r="H111" s="29" t="b">
        <v>0</v>
      </c>
    </row>
    <row r="112">
      <c r="A112" s="13">
        <v>45257.0</v>
      </c>
      <c r="B112" s="14" t="s">
        <v>1362</v>
      </c>
      <c r="C112" s="15" t="s">
        <v>47</v>
      </c>
      <c r="D112" s="16" t="s">
        <v>1462</v>
      </c>
      <c r="E112" s="17" t="s">
        <v>1343</v>
      </c>
      <c r="F112" s="26" t="s">
        <v>694</v>
      </c>
      <c r="G112" s="29" t="b">
        <v>0</v>
      </c>
      <c r="H112" s="29" t="b">
        <v>0</v>
      </c>
    </row>
    <row r="113">
      <c r="A113" s="13">
        <v>45257.0</v>
      </c>
      <c r="B113" s="14" t="s">
        <v>18</v>
      </c>
      <c r="C113" s="15" t="s">
        <v>47</v>
      </c>
      <c r="D113" s="16" t="s">
        <v>1463</v>
      </c>
      <c r="E113" s="17" t="s">
        <v>16</v>
      </c>
      <c r="F113" s="26" t="s">
        <v>1464</v>
      </c>
      <c r="G113" s="29" t="b">
        <v>0</v>
      </c>
      <c r="H113" s="29" t="b">
        <v>0</v>
      </c>
    </row>
    <row r="114">
      <c r="A114" s="13">
        <v>45257.0</v>
      </c>
      <c r="B114" s="14" t="s">
        <v>18</v>
      </c>
      <c r="C114" s="15" t="s">
        <v>197</v>
      </c>
      <c r="D114" s="16" t="s">
        <v>1465</v>
      </c>
      <c r="E114" s="17" t="s">
        <v>16</v>
      </c>
      <c r="F114" s="26" t="s">
        <v>1466</v>
      </c>
      <c r="G114" s="32" t="b">
        <v>0</v>
      </c>
      <c r="H114" s="32" t="b">
        <v>0</v>
      </c>
    </row>
    <row r="115">
      <c r="A115" s="13">
        <v>45257.0</v>
      </c>
      <c r="B115" s="14" t="s">
        <v>1362</v>
      </c>
      <c r="C115" s="15" t="s">
        <v>125</v>
      </c>
      <c r="D115" s="16" t="s">
        <v>1467</v>
      </c>
      <c r="E115" s="17"/>
      <c r="F115" s="26" t="s">
        <v>1468</v>
      </c>
      <c r="G115" s="29" t="b">
        <v>0</v>
      </c>
      <c r="H115" s="29" t="b">
        <v>0</v>
      </c>
    </row>
    <row r="116">
      <c r="A116" s="13">
        <v>45257.0</v>
      </c>
      <c r="B116" s="14" t="s">
        <v>18</v>
      </c>
      <c r="C116" s="15" t="s">
        <v>1368</v>
      </c>
      <c r="D116" s="16" t="s">
        <v>515</v>
      </c>
      <c r="E116" s="17" t="s">
        <v>151</v>
      </c>
      <c r="F116" s="26"/>
      <c r="G116" s="29" t="b">
        <v>0</v>
      </c>
      <c r="H116" s="29" t="b">
        <v>0</v>
      </c>
    </row>
    <row r="117">
      <c r="A117" s="13">
        <v>45257.0</v>
      </c>
      <c r="B117" s="14" t="s">
        <v>18</v>
      </c>
      <c r="C117" s="15" t="s">
        <v>85</v>
      </c>
      <c r="D117" s="16" t="s">
        <v>379</v>
      </c>
      <c r="E117" s="17" t="s">
        <v>16</v>
      </c>
      <c r="F117" s="26" t="s">
        <v>1469</v>
      </c>
      <c r="G117" s="29" t="b">
        <v>0</v>
      </c>
      <c r="H117" s="29" t="b">
        <v>0</v>
      </c>
    </row>
    <row r="118">
      <c r="A118" s="13">
        <v>45257.0</v>
      </c>
      <c r="B118" s="14" t="s">
        <v>18</v>
      </c>
      <c r="C118" s="15" t="s">
        <v>85</v>
      </c>
      <c r="D118" s="16" t="s">
        <v>1470</v>
      </c>
      <c r="E118" s="17" t="s">
        <v>84</v>
      </c>
      <c r="F118" s="26"/>
      <c r="G118" s="29" t="b">
        <v>0</v>
      </c>
      <c r="H118" s="29" t="b">
        <v>0</v>
      </c>
    </row>
    <row r="119">
      <c r="A119" s="13">
        <v>45258.0</v>
      </c>
      <c r="B119" s="14" t="s">
        <v>59</v>
      </c>
      <c r="C119" s="15" t="s">
        <v>47</v>
      </c>
      <c r="D119" s="16" t="s">
        <v>1471</v>
      </c>
      <c r="E119" s="17" t="s">
        <v>16</v>
      </c>
      <c r="F119" s="26" t="s">
        <v>862</v>
      </c>
      <c r="G119" s="29" t="b">
        <v>0</v>
      </c>
      <c r="H119" s="29" t="b">
        <v>0</v>
      </c>
    </row>
    <row r="120">
      <c r="A120" s="13">
        <v>45259.0</v>
      </c>
      <c r="B120" s="14" t="s">
        <v>18</v>
      </c>
      <c r="C120" s="15" t="s">
        <v>345</v>
      </c>
      <c r="D120" s="16" t="s">
        <v>1472</v>
      </c>
      <c r="E120" s="17" t="s">
        <v>1447</v>
      </c>
      <c r="F120" s="26" t="s">
        <v>1473</v>
      </c>
      <c r="G120" s="29" t="b">
        <v>0</v>
      </c>
      <c r="H120" s="29" t="b">
        <v>0</v>
      </c>
    </row>
    <row r="121">
      <c r="A121" s="13">
        <v>45261.0</v>
      </c>
      <c r="B121" s="14" t="s">
        <v>18</v>
      </c>
      <c r="C121" s="15" t="s">
        <v>19</v>
      </c>
      <c r="D121" s="16" t="s">
        <v>185</v>
      </c>
      <c r="E121" s="17" t="s">
        <v>1343</v>
      </c>
      <c r="F121" s="26"/>
      <c r="G121" s="18" t="b">
        <v>0</v>
      </c>
      <c r="H121" s="18" t="b">
        <v>0</v>
      </c>
    </row>
    <row r="122">
      <c r="A122" s="13">
        <v>45261.0</v>
      </c>
      <c r="B122" s="14" t="s">
        <v>18</v>
      </c>
      <c r="C122" s="15" t="s">
        <v>1376</v>
      </c>
      <c r="D122" s="16" t="s">
        <v>261</v>
      </c>
      <c r="E122" s="17" t="s">
        <v>16</v>
      </c>
      <c r="F122" s="26" t="s">
        <v>1474</v>
      </c>
      <c r="G122" s="18" t="b">
        <v>0</v>
      </c>
      <c r="H122" s="18" t="b">
        <v>0</v>
      </c>
    </row>
    <row r="123">
      <c r="A123" s="13">
        <v>45261.0</v>
      </c>
      <c r="B123" s="14" t="s">
        <v>18</v>
      </c>
      <c r="C123" s="15" t="s">
        <v>110</v>
      </c>
      <c r="D123" s="16" t="s">
        <v>20</v>
      </c>
      <c r="E123" s="17" t="s">
        <v>47</v>
      </c>
      <c r="F123" s="26" t="s">
        <v>1475</v>
      </c>
      <c r="G123" s="18" t="b">
        <v>1</v>
      </c>
      <c r="H123" s="18" t="b">
        <v>0</v>
      </c>
    </row>
    <row r="124">
      <c r="A124" s="13">
        <v>45262.0</v>
      </c>
      <c r="B124" s="14" t="s">
        <v>18</v>
      </c>
      <c r="C124" s="15" t="s">
        <v>202</v>
      </c>
      <c r="D124" s="16" t="s">
        <v>1476</v>
      </c>
      <c r="E124" s="17" t="s">
        <v>16</v>
      </c>
      <c r="F124" s="26" t="s">
        <v>1477</v>
      </c>
      <c r="G124" s="18" t="b">
        <v>0</v>
      </c>
      <c r="H124" s="18" t="b">
        <v>0</v>
      </c>
    </row>
    <row r="125">
      <c r="A125" s="13">
        <v>45262.0</v>
      </c>
      <c r="B125" s="14" t="s">
        <v>18</v>
      </c>
      <c r="C125" s="15" t="s">
        <v>1376</v>
      </c>
      <c r="D125" s="16" t="s">
        <v>508</v>
      </c>
      <c r="E125" s="17" t="s">
        <v>97</v>
      </c>
      <c r="F125" s="26"/>
      <c r="G125" s="18" t="b">
        <v>0</v>
      </c>
      <c r="H125" s="18" t="b">
        <v>0</v>
      </c>
    </row>
    <row r="126">
      <c r="A126" s="13">
        <v>45262.0</v>
      </c>
      <c r="B126" s="14" t="s">
        <v>18</v>
      </c>
      <c r="C126" s="15" t="s">
        <v>110</v>
      </c>
      <c r="D126" s="16" t="s">
        <v>1478</v>
      </c>
      <c r="E126" s="17" t="s">
        <v>30</v>
      </c>
      <c r="F126" s="26"/>
      <c r="G126" s="18" t="b">
        <v>0</v>
      </c>
      <c r="H126" s="18" t="b">
        <v>0</v>
      </c>
    </row>
    <row r="127">
      <c r="A127" s="13">
        <v>45262.0</v>
      </c>
      <c r="B127" s="14" t="s">
        <v>18</v>
      </c>
      <c r="C127" s="15" t="s">
        <v>110</v>
      </c>
      <c r="D127" s="16" t="s">
        <v>1479</v>
      </c>
      <c r="E127" s="17" t="s">
        <v>30</v>
      </c>
      <c r="F127" s="26"/>
      <c r="G127" s="18" t="b">
        <v>0</v>
      </c>
      <c r="H127" s="18" t="b">
        <v>0</v>
      </c>
    </row>
    <row r="128">
      <c r="A128" s="13">
        <v>45264.0</v>
      </c>
      <c r="B128" s="14" t="s">
        <v>26</v>
      </c>
      <c r="C128" s="15" t="s">
        <v>394</v>
      </c>
      <c r="D128" s="16" t="s">
        <v>988</v>
      </c>
      <c r="E128" s="17" t="s">
        <v>16</v>
      </c>
      <c r="F128" s="26"/>
      <c r="G128" s="18" t="b">
        <v>0</v>
      </c>
      <c r="H128" s="18" t="b">
        <v>0</v>
      </c>
    </row>
    <row r="129">
      <c r="A129" s="13">
        <v>45264.0</v>
      </c>
      <c r="B129" s="14" t="s">
        <v>18</v>
      </c>
      <c r="C129" s="15" t="s">
        <v>1368</v>
      </c>
      <c r="D129" s="16" t="s">
        <v>515</v>
      </c>
      <c r="E129" s="17" t="s">
        <v>151</v>
      </c>
      <c r="F129" s="26"/>
      <c r="G129" s="18" t="b">
        <v>0</v>
      </c>
      <c r="H129" s="18" t="b">
        <v>0</v>
      </c>
    </row>
    <row r="130">
      <c r="A130" s="13">
        <v>45266.0</v>
      </c>
      <c r="B130" s="14" t="s">
        <v>10</v>
      </c>
      <c r="C130" s="15" t="s">
        <v>56</v>
      </c>
      <c r="D130" s="16" t="s">
        <v>1480</v>
      </c>
      <c r="E130" s="17"/>
      <c r="F130" s="26"/>
      <c r="G130" s="18" t="b">
        <v>0</v>
      </c>
      <c r="H130" s="18" t="b">
        <v>0</v>
      </c>
    </row>
    <row r="131">
      <c r="A131" s="13">
        <v>45266.0</v>
      </c>
      <c r="B131" s="14" t="s">
        <v>18</v>
      </c>
      <c r="C131" s="15" t="s">
        <v>11</v>
      </c>
      <c r="D131" s="16" t="s">
        <v>45</v>
      </c>
      <c r="E131" s="17" t="s">
        <v>1481</v>
      </c>
      <c r="F131" s="26"/>
      <c r="G131" s="18" t="b">
        <v>0</v>
      </c>
      <c r="H131" s="18" t="b">
        <v>0</v>
      </c>
    </row>
    <row r="132">
      <c r="A132" s="13">
        <v>45266.0</v>
      </c>
      <c r="B132" s="14" t="s">
        <v>18</v>
      </c>
      <c r="C132" s="15" t="s">
        <v>19</v>
      </c>
      <c r="D132" s="16" t="s">
        <v>1482</v>
      </c>
      <c r="E132" s="17" t="s">
        <v>16</v>
      </c>
      <c r="F132" s="26" t="s">
        <v>1483</v>
      </c>
      <c r="G132" s="18" t="b">
        <v>1</v>
      </c>
      <c r="H132" s="18" t="b">
        <v>0</v>
      </c>
    </row>
    <row r="133">
      <c r="A133" s="13">
        <v>45271.0</v>
      </c>
      <c r="B133" s="14" t="s">
        <v>18</v>
      </c>
      <c r="C133" s="15" t="s">
        <v>49</v>
      </c>
      <c r="D133" s="16" t="s">
        <v>228</v>
      </c>
      <c r="E133" s="17" t="s">
        <v>1484</v>
      </c>
      <c r="F133" s="26" t="s">
        <v>1395</v>
      </c>
      <c r="G133" s="18" t="b">
        <v>0</v>
      </c>
      <c r="H133" s="18" t="b">
        <v>0</v>
      </c>
    </row>
    <row r="134">
      <c r="A134" s="13">
        <v>45271.0</v>
      </c>
      <c r="B134" s="14" t="s">
        <v>18</v>
      </c>
      <c r="C134" s="15" t="s">
        <v>1398</v>
      </c>
      <c r="D134" s="16" t="s">
        <v>960</v>
      </c>
      <c r="E134" s="17" t="s">
        <v>16</v>
      </c>
      <c r="F134" s="26" t="s">
        <v>198</v>
      </c>
      <c r="G134" s="18" t="b">
        <v>0</v>
      </c>
      <c r="H134" s="18" t="b">
        <v>0</v>
      </c>
    </row>
    <row r="135">
      <c r="A135" s="13">
        <v>45271.0</v>
      </c>
      <c r="B135" s="14" t="s">
        <v>59</v>
      </c>
      <c r="C135" s="15" t="s">
        <v>1368</v>
      </c>
      <c r="D135" s="16" t="s">
        <v>1485</v>
      </c>
      <c r="E135" s="17" t="s">
        <v>151</v>
      </c>
      <c r="F135" s="26"/>
      <c r="G135" s="18" t="b">
        <v>0</v>
      </c>
      <c r="H135" s="18" t="b">
        <v>0</v>
      </c>
    </row>
    <row r="136">
      <c r="A136" s="13">
        <v>45272.0</v>
      </c>
      <c r="B136" s="14" t="s">
        <v>1345</v>
      </c>
      <c r="C136" s="15" t="s">
        <v>1411</v>
      </c>
      <c r="D136" s="16" t="s">
        <v>96</v>
      </c>
      <c r="E136" s="17" t="s">
        <v>16</v>
      </c>
      <c r="F136" s="26"/>
      <c r="G136" s="18" t="b">
        <v>0</v>
      </c>
      <c r="H136" s="18" t="b">
        <v>0</v>
      </c>
    </row>
    <row r="137">
      <c r="A137" s="13">
        <v>45274.0</v>
      </c>
      <c r="B137" s="8" t="s">
        <v>18</v>
      </c>
      <c r="C137" s="21" t="s">
        <v>54</v>
      </c>
      <c r="D137" s="22" t="s">
        <v>1387</v>
      </c>
      <c r="E137" s="23" t="s">
        <v>1388</v>
      </c>
      <c r="F137" s="209" t="s">
        <v>1389</v>
      </c>
      <c r="G137" s="36" t="b">
        <v>0</v>
      </c>
      <c r="H137" s="36" t="b">
        <v>0</v>
      </c>
    </row>
    <row r="138">
      <c r="A138" s="13">
        <v>45274.0</v>
      </c>
      <c r="B138" s="8" t="s">
        <v>18</v>
      </c>
      <c r="C138" s="21" t="s">
        <v>54</v>
      </c>
      <c r="D138" s="22" t="s">
        <v>1390</v>
      </c>
      <c r="E138" s="23" t="s">
        <v>1391</v>
      </c>
      <c r="F138" s="209" t="s">
        <v>1389</v>
      </c>
      <c r="G138" s="36" t="b">
        <v>0</v>
      </c>
      <c r="H138" s="36" t="b">
        <v>0</v>
      </c>
    </row>
    <row r="139">
      <c r="A139" s="13">
        <v>45274.0</v>
      </c>
      <c r="B139" s="14" t="s">
        <v>18</v>
      </c>
      <c r="C139" s="15" t="s">
        <v>60</v>
      </c>
      <c r="D139" s="16" t="s">
        <v>1486</v>
      </c>
      <c r="E139" s="17" t="s">
        <v>394</v>
      </c>
      <c r="F139" s="26" t="s">
        <v>1487</v>
      </c>
      <c r="G139" s="18" t="b">
        <v>0</v>
      </c>
      <c r="H139" s="18" t="b">
        <v>0</v>
      </c>
    </row>
    <row r="140">
      <c r="A140" s="13">
        <v>45274.0</v>
      </c>
      <c r="B140" s="14" t="s">
        <v>18</v>
      </c>
      <c r="C140" s="15" t="s">
        <v>19</v>
      </c>
      <c r="D140" s="16" t="s">
        <v>1488</v>
      </c>
      <c r="E140" s="17"/>
      <c r="F140" s="26" t="s">
        <v>1489</v>
      </c>
      <c r="G140" s="18" t="b">
        <v>0</v>
      </c>
      <c r="H140" s="18" t="b">
        <v>0</v>
      </c>
    </row>
    <row r="141">
      <c r="A141" s="13">
        <v>45274.0</v>
      </c>
      <c r="B141" s="14" t="s">
        <v>18</v>
      </c>
      <c r="C141" s="15" t="s">
        <v>19</v>
      </c>
      <c r="D141" s="16" t="s">
        <v>1490</v>
      </c>
      <c r="E141" s="17" t="s">
        <v>16</v>
      </c>
      <c r="F141" s="26" t="s">
        <v>1491</v>
      </c>
      <c r="G141" s="18" t="b">
        <v>0</v>
      </c>
      <c r="H141" s="18" t="b">
        <v>0</v>
      </c>
    </row>
    <row r="142">
      <c r="A142" s="13">
        <v>45274.0</v>
      </c>
      <c r="B142" s="14" t="s">
        <v>18</v>
      </c>
      <c r="C142" s="15" t="s">
        <v>1426</v>
      </c>
      <c r="D142" s="16" t="s">
        <v>1492</v>
      </c>
      <c r="E142" s="17" t="s">
        <v>1493</v>
      </c>
      <c r="F142" s="26" t="s">
        <v>1494</v>
      </c>
      <c r="G142" s="18" t="b">
        <v>0</v>
      </c>
      <c r="H142" s="18" t="b">
        <v>0</v>
      </c>
    </row>
    <row r="143">
      <c r="A143" s="13">
        <v>45274.0</v>
      </c>
      <c r="B143" s="14" t="s">
        <v>10</v>
      </c>
      <c r="C143" s="133" t="s">
        <v>630</v>
      </c>
      <c r="D143" s="133" t="s">
        <v>654</v>
      </c>
      <c r="E143" s="135" t="s">
        <v>16</v>
      </c>
      <c r="F143" s="300"/>
      <c r="G143" s="157" t="b">
        <v>0</v>
      </c>
      <c r="H143" s="157" t="b">
        <v>0</v>
      </c>
    </row>
    <row r="144">
      <c r="A144" s="33">
        <v>45274.0</v>
      </c>
      <c r="B144" s="14" t="s">
        <v>10</v>
      </c>
      <c r="C144" s="133" t="s">
        <v>630</v>
      </c>
      <c r="D144" s="133" t="s">
        <v>1194</v>
      </c>
      <c r="E144" s="135" t="s">
        <v>16</v>
      </c>
      <c r="F144" s="300"/>
      <c r="G144" s="157" t="b">
        <v>0</v>
      </c>
      <c r="H144" s="157" t="b">
        <v>0</v>
      </c>
    </row>
    <row r="145">
      <c r="A145" s="13">
        <v>45275.0</v>
      </c>
      <c r="B145" s="14" t="s">
        <v>59</v>
      </c>
      <c r="C145" s="15" t="s">
        <v>11</v>
      </c>
      <c r="D145" s="16" t="s">
        <v>1495</v>
      </c>
      <c r="E145" s="26" t="s">
        <v>623</v>
      </c>
      <c r="F145" s="26" t="s">
        <v>1386</v>
      </c>
      <c r="G145" s="18" t="b">
        <v>0</v>
      </c>
      <c r="H145" s="18" t="b">
        <v>0</v>
      </c>
    </row>
    <row r="146">
      <c r="A146" s="13">
        <v>45275.0</v>
      </c>
      <c r="B146" s="14" t="s">
        <v>18</v>
      </c>
      <c r="C146" s="15" t="s">
        <v>1376</v>
      </c>
      <c r="D146" s="16" t="s">
        <v>261</v>
      </c>
      <c r="E146" s="140" t="s">
        <v>16</v>
      </c>
      <c r="F146" s="26" t="s">
        <v>1474</v>
      </c>
      <c r="G146" s="18" t="b">
        <v>0</v>
      </c>
      <c r="H146" s="18" t="b">
        <v>0</v>
      </c>
    </row>
    <row r="147">
      <c r="A147" s="13">
        <v>45275.0</v>
      </c>
      <c r="B147" s="14" t="s">
        <v>10</v>
      </c>
      <c r="C147" s="15" t="s">
        <v>40</v>
      </c>
      <c r="D147" s="16" t="s">
        <v>1496</v>
      </c>
      <c r="E147" s="140"/>
      <c r="F147" s="26"/>
      <c r="G147" s="18" t="b">
        <v>0</v>
      </c>
      <c r="H147" s="18" t="b">
        <v>0</v>
      </c>
    </row>
    <row r="148">
      <c r="A148" s="13">
        <v>45278.0</v>
      </c>
      <c r="B148" s="14" t="s">
        <v>18</v>
      </c>
      <c r="C148" s="15" t="s">
        <v>1368</v>
      </c>
      <c r="D148" s="16" t="s">
        <v>515</v>
      </c>
      <c r="E148" s="17" t="s">
        <v>151</v>
      </c>
      <c r="F148" s="26" t="s">
        <v>1497</v>
      </c>
      <c r="G148" s="18" t="b">
        <v>0</v>
      </c>
      <c r="H148" s="18" t="b">
        <v>0</v>
      </c>
    </row>
    <row r="149">
      <c r="A149" s="13">
        <v>45279.0</v>
      </c>
      <c r="B149" s="14" t="s">
        <v>18</v>
      </c>
      <c r="C149" s="15" t="s">
        <v>47</v>
      </c>
      <c r="D149" s="16" t="s">
        <v>1498</v>
      </c>
      <c r="E149" s="17" t="s">
        <v>30</v>
      </c>
      <c r="F149" s="26"/>
      <c r="G149" s="18" t="b">
        <v>0</v>
      </c>
      <c r="H149" s="18" t="b">
        <v>0</v>
      </c>
    </row>
    <row r="150">
      <c r="A150" s="13">
        <v>45279.0</v>
      </c>
      <c r="B150" s="14" t="s">
        <v>18</v>
      </c>
      <c r="C150" s="15" t="s">
        <v>623</v>
      </c>
      <c r="D150" s="16" t="s">
        <v>1499</v>
      </c>
      <c r="E150" s="17" t="s">
        <v>1500</v>
      </c>
      <c r="F150" s="26" t="s">
        <v>1501</v>
      </c>
      <c r="G150" s="18" t="b">
        <v>0</v>
      </c>
      <c r="H150" s="18" t="b">
        <v>0</v>
      </c>
    </row>
    <row r="151">
      <c r="A151" s="13">
        <v>45279.0</v>
      </c>
      <c r="B151" s="14" t="s">
        <v>18</v>
      </c>
      <c r="C151" s="15" t="s">
        <v>623</v>
      </c>
      <c r="D151" s="16" t="s">
        <v>1424</v>
      </c>
      <c r="E151" s="17" t="s">
        <v>1500</v>
      </c>
      <c r="F151" s="26" t="s">
        <v>1502</v>
      </c>
      <c r="G151" s="18" t="b">
        <v>0</v>
      </c>
      <c r="H151" s="18" t="b">
        <v>0</v>
      </c>
    </row>
    <row r="152">
      <c r="A152" s="13">
        <v>45279.0</v>
      </c>
      <c r="B152" s="14" t="s">
        <v>59</v>
      </c>
      <c r="C152" s="15" t="s">
        <v>202</v>
      </c>
      <c r="D152" s="16" t="s">
        <v>1503</v>
      </c>
      <c r="E152" s="17" t="s">
        <v>16</v>
      </c>
      <c r="F152" s="26" t="s">
        <v>89</v>
      </c>
      <c r="G152" s="18" t="b">
        <v>1</v>
      </c>
      <c r="H152" s="18" t="b">
        <v>0</v>
      </c>
    </row>
    <row r="153">
      <c r="A153" s="13">
        <v>45280.0</v>
      </c>
      <c r="B153" s="14" t="s">
        <v>18</v>
      </c>
      <c r="C153" s="15" t="s">
        <v>47</v>
      </c>
      <c r="D153" s="16" t="s">
        <v>1504</v>
      </c>
      <c r="E153" s="17" t="s">
        <v>167</v>
      </c>
      <c r="F153" s="26"/>
      <c r="G153" s="18" t="b">
        <v>0</v>
      </c>
      <c r="H153" s="18" t="b">
        <v>0</v>
      </c>
    </row>
    <row r="154">
      <c r="A154" s="13">
        <v>45280.0</v>
      </c>
      <c r="B154" s="14" t="s">
        <v>18</v>
      </c>
      <c r="C154" s="15" t="s">
        <v>11</v>
      </c>
      <c r="D154" s="16" t="s">
        <v>1505</v>
      </c>
      <c r="E154" s="17" t="s">
        <v>16</v>
      </c>
      <c r="F154" s="26" t="s">
        <v>1506</v>
      </c>
      <c r="G154" s="18" t="b">
        <v>1</v>
      </c>
      <c r="H154" s="18" t="b">
        <v>0</v>
      </c>
    </row>
    <row r="155">
      <c r="A155" s="13">
        <v>45280.0</v>
      </c>
      <c r="B155" s="14" t="s">
        <v>18</v>
      </c>
      <c r="C155" s="15" t="s">
        <v>139</v>
      </c>
      <c r="D155" s="16" t="s">
        <v>351</v>
      </c>
      <c r="E155" s="17" t="s">
        <v>16</v>
      </c>
      <c r="F155" s="26" t="s">
        <v>373</v>
      </c>
      <c r="G155" s="18" t="b">
        <v>0</v>
      </c>
      <c r="H155" s="18" t="b">
        <v>0</v>
      </c>
    </row>
    <row r="156">
      <c r="A156" s="13">
        <v>45280.0</v>
      </c>
      <c r="B156" s="14" t="s">
        <v>18</v>
      </c>
      <c r="C156" s="15" t="s">
        <v>131</v>
      </c>
      <c r="D156" s="16" t="s">
        <v>98</v>
      </c>
      <c r="E156" s="17" t="s">
        <v>1507</v>
      </c>
      <c r="F156" s="26" t="s">
        <v>1508</v>
      </c>
      <c r="G156" s="18" t="b">
        <v>1</v>
      </c>
      <c r="H156" s="18" t="b">
        <v>0</v>
      </c>
    </row>
    <row r="157">
      <c r="A157" s="13">
        <v>45281.0</v>
      </c>
      <c r="B157" s="14" t="s">
        <v>18</v>
      </c>
      <c r="C157" s="15" t="s">
        <v>47</v>
      </c>
      <c r="D157" s="16" t="s">
        <v>1509</v>
      </c>
      <c r="E157" s="17" t="s">
        <v>30</v>
      </c>
      <c r="F157" s="26"/>
      <c r="G157" s="18" t="b">
        <v>0</v>
      </c>
      <c r="H157" s="18" t="b">
        <v>0</v>
      </c>
    </row>
    <row r="158">
      <c r="A158" s="13">
        <v>45281.0</v>
      </c>
      <c r="B158" s="14" t="s">
        <v>18</v>
      </c>
      <c r="C158" s="15" t="s">
        <v>47</v>
      </c>
      <c r="D158" s="16" t="s">
        <v>1510</v>
      </c>
      <c r="E158" s="17" t="s">
        <v>1511</v>
      </c>
      <c r="F158" s="26" t="s">
        <v>1512</v>
      </c>
      <c r="G158" s="18" t="b">
        <v>0</v>
      </c>
      <c r="H158" s="18" t="b">
        <v>0</v>
      </c>
    </row>
    <row r="159">
      <c r="A159" s="13">
        <v>45281.0</v>
      </c>
      <c r="B159" s="14" t="s">
        <v>18</v>
      </c>
      <c r="C159" s="15" t="s">
        <v>80</v>
      </c>
      <c r="D159" s="16" t="s">
        <v>1392</v>
      </c>
      <c r="E159" s="17" t="s">
        <v>1403</v>
      </c>
      <c r="F159" s="26"/>
      <c r="G159" s="18" t="b">
        <v>0</v>
      </c>
      <c r="H159" s="18" t="b">
        <v>0</v>
      </c>
    </row>
    <row r="160">
      <c r="A160" s="13">
        <v>45281.0</v>
      </c>
      <c r="B160" s="14" t="s">
        <v>18</v>
      </c>
      <c r="C160" s="15" t="s">
        <v>139</v>
      </c>
      <c r="D160" s="16" t="s">
        <v>305</v>
      </c>
      <c r="E160" s="17" t="s">
        <v>16</v>
      </c>
      <c r="F160" s="26" t="s">
        <v>1513</v>
      </c>
      <c r="G160" s="18" t="b">
        <v>0</v>
      </c>
      <c r="H160" s="18" t="b">
        <v>0</v>
      </c>
    </row>
    <row r="161">
      <c r="A161" s="13">
        <v>45281.0</v>
      </c>
      <c r="B161" s="14" t="s">
        <v>18</v>
      </c>
      <c r="C161" s="15" t="s">
        <v>386</v>
      </c>
      <c r="D161" s="16" t="s">
        <v>1514</v>
      </c>
      <c r="E161" s="17" t="s">
        <v>16</v>
      </c>
      <c r="F161" s="26" t="s">
        <v>1515</v>
      </c>
      <c r="G161" s="18" t="b">
        <v>1</v>
      </c>
      <c r="H161" s="18" t="b">
        <v>0</v>
      </c>
    </row>
    <row r="162">
      <c r="A162" s="146">
        <v>45282.0</v>
      </c>
      <c r="B162" s="8" t="s">
        <v>18</v>
      </c>
      <c r="C162" s="21" t="s">
        <v>84</v>
      </c>
      <c r="D162" s="16" t="s">
        <v>1516</v>
      </c>
      <c r="E162" s="17" t="s">
        <v>16</v>
      </c>
      <c r="F162" s="152" t="s">
        <v>895</v>
      </c>
      <c r="G162" s="35" t="b">
        <v>1</v>
      </c>
      <c r="H162" s="36" t="b">
        <v>0</v>
      </c>
    </row>
    <row r="163">
      <c r="A163" s="13">
        <v>45282.0</v>
      </c>
      <c r="B163" s="14" t="s">
        <v>18</v>
      </c>
      <c r="C163" s="15" t="s">
        <v>84</v>
      </c>
      <c r="D163" s="16" t="s">
        <v>50</v>
      </c>
      <c r="E163" s="17" t="s">
        <v>1517</v>
      </c>
      <c r="F163" s="26"/>
      <c r="G163" s="18" t="b">
        <v>0</v>
      </c>
      <c r="H163" s="18" t="b">
        <v>0</v>
      </c>
    </row>
    <row r="164">
      <c r="A164" s="13">
        <v>45282.0</v>
      </c>
      <c r="B164" s="14" t="s">
        <v>18</v>
      </c>
      <c r="C164" s="133" t="s">
        <v>63</v>
      </c>
      <c r="D164" s="133" t="s">
        <v>477</v>
      </c>
      <c r="E164" s="135" t="s">
        <v>16</v>
      </c>
      <c r="F164" s="135" t="s">
        <v>97</v>
      </c>
      <c r="G164" s="157" t="b">
        <v>0</v>
      </c>
      <c r="H164" s="157" t="b">
        <v>0</v>
      </c>
    </row>
    <row r="165">
      <c r="A165" s="13">
        <v>45282.0</v>
      </c>
      <c r="B165" s="14" t="s">
        <v>26</v>
      </c>
      <c r="C165" s="15" t="s">
        <v>60</v>
      </c>
      <c r="D165" s="16" t="s">
        <v>1518</v>
      </c>
      <c r="E165" s="17"/>
      <c r="F165" s="26"/>
      <c r="G165" s="18" t="b">
        <v>0</v>
      </c>
      <c r="H165" s="18" t="b">
        <v>0</v>
      </c>
    </row>
    <row r="166">
      <c r="A166" s="13">
        <v>45282.0</v>
      </c>
      <c r="B166" s="14" t="s">
        <v>26</v>
      </c>
      <c r="C166" s="15" t="s">
        <v>49</v>
      </c>
      <c r="D166" s="16" t="s">
        <v>1519</v>
      </c>
      <c r="E166" s="17" t="s">
        <v>1520</v>
      </c>
      <c r="F166" s="26" t="s">
        <v>1521</v>
      </c>
      <c r="G166" s="18" t="b">
        <v>0</v>
      </c>
      <c r="H166" s="18" t="b">
        <v>0</v>
      </c>
    </row>
    <row r="167">
      <c r="A167" s="13">
        <v>45282.0</v>
      </c>
      <c r="B167" s="14" t="s">
        <v>18</v>
      </c>
      <c r="C167" s="15" t="s">
        <v>19</v>
      </c>
      <c r="D167" s="16" t="s">
        <v>1522</v>
      </c>
      <c r="E167" s="17" t="s">
        <v>1343</v>
      </c>
      <c r="F167" s="26"/>
      <c r="G167" s="18" t="b">
        <v>0</v>
      </c>
      <c r="H167" s="18" t="b">
        <v>0</v>
      </c>
    </row>
    <row r="168">
      <c r="A168" s="13">
        <v>45282.0</v>
      </c>
      <c r="B168" s="14" t="s">
        <v>18</v>
      </c>
      <c r="C168" s="15" t="s">
        <v>110</v>
      </c>
      <c r="D168" s="16" t="s">
        <v>100</v>
      </c>
      <c r="E168" s="17" t="s">
        <v>1359</v>
      </c>
      <c r="F168" s="140"/>
      <c r="G168" s="18" t="b">
        <v>0</v>
      </c>
      <c r="H168" s="18" t="b">
        <v>0</v>
      </c>
    </row>
    <row r="169">
      <c r="A169" s="13">
        <v>45282.0</v>
      </c>
      <c r="B169" s="14" t="s">
        <v>59</v>
      </c>
      <c r="C169" s="15" t="s">
        <v>259</v>
      </c>
      <c r="D169" s="16" t="s">
        <v>1523</v>
      </c>
      <c r="E169" s="17"/>
      <c r="F169" s="26" t="s">
        <v>694</v>
      </c>
      <c r="G169" s="18" t="b">
        <v>0</v>
      </c>
      <c r="H169" s="18" t="b">
        <v>0</v>
      </c>
    </row>
    <row r="170">
      <c r="A170" s="13">
        <v>45299.0</v>
      </c>
      <c r="B170" s="14" t="s">
        <v>59</v>
      </c>
      <c r="C170" s="15" t="s">
        <v>253</v>
      </c>
      <c r="D170" s="16" t="s">
        <v>1524</v>
      </c>
      <c r="E170" s="17"/>
      <c r="F170" s="26" t="s">
        <v>1525</v>
      </c>
      <c r="G170" s="29" t="b">
        <v>0</v>
      </c>
      <c r="H170" s="29" t="b">
        <v>0</v>
      </c>
    </row>
    <row r="171">
      <c r="A171" s="13">
        <v>45299.0</v>
      </c>
      <c r="B171" s="14" t="s">
        <v>18</v>
      </c>
      <c r="C171" s="15" t="s">
        <v>80</v>
      </c>
      <c r="D171" s="16" t="s">
        <v>1526</v>
      </c>
      <c r="E171" s="17" t="s">
        <v>49</v>
      </c>
      <c r="F171" s="26"/>
      <c r="G171" s="29" t="b">
        <v>0</v>
      </c>
      <c r="H171" s="29" t="b">
        <v>0</v>
      </c>
    </row>
    <row r="172">
      <c r="A172" s="13">
        <v>45299.0</v>
      </c>
      <c r="B172" s="14" t="s">
        <v>18</v>
      </c>
      <c r="C172" s="15" t="s">
        <v>80</v>
      </c>
      <c r="D172" s="16" t="s">
        <v>1169</v>
      </c>
      <c r="E172" s="17" t="s">
        <v>85</v>
      </c>
      <c r="F172" s="26"/>
      <c r="G172" s="29" t="b">
        <v>0</v>
      </c>
      <c r="H172" s="29" t="b">
        <v>0</v>
      </c>
    </row>
    <row r="173">
      <c r="A173" s="13">
        <v>45299.0</v>
      </c>
      <c r="B173" s="14" t="s">
        <v>18</v>
      </c>
      <c r="C173" s="15" t="s">
        <v>80</v>
      </c>
      <c r="D173" s="16" t="s">
        <v>1527</v>
      </c>
      <c r="E173" s="17" t="s">
        <v>1403</v>
      </c>
      <c r="F173" s="26"/>
      <c r="G173" s="29" t="b">
        <v>0</v>
      </c>
      <c r="H173" s="29" t="b">
        <v>0</v>
      </c>
    </row>
    <row r="174">
      <c r="A174" s="13">
        <v>45300.0</v>
      </c>
      <c r="B174" s="14" t="s">
        <v>18</v>
      </c>
      <c r="C174" s="15" t="s">
        <v>623</v>
      </c>
      <c r="D174" s="16" t="s">
        <v>1528</v>
      </c>
      <c r="E174" s="23" t="s">
        <v>1500</v>
      </c>
      <c r="F174" s="26" t="s">
        <v>1529</v>
      </c>
      <c r="G174" s="29" t="b">
        <v>0</v>
      </c>
      <c r="H174" s="29" t="b">
        <v>0</v>
      </c>
    </row>
    <row r="175">
      <c r="A175" s="13">
        <v>45300.0</v>
      </c>
      <c r="B175" s="14" t="s">
        <v>18</v>
      </c>
      <c r="C175" s="15" t="s">
        <v>80</v>
      </c>
      <c r="D175" s="16" t="s">
        <v>1530</v>
      </c>
      <c r="E175" s="17" t="s">
        <v>84</v>
      </c>
      <c r="F175" s="26"/>
      <c r="G175" s="29" t="b">
        <v>0</v>
      </c>
      <c r="H175" s="29" t="b">
        <v>0</v>
      </c>
    </row>
    <row r="176">
      <c r="A176" s="13">
        <v>45302.0</v>
      </c>
      <c r="B176" s="14" t="s">
        <v>18</v>
      </c>
      <c r="C176" s="15" t="s">
        <v>623</v>
      </c>
      <c r="D176" s="16" t="s">
        <v>1531</v>
      </c>
      <c r="E176" s="17" t="s">
        <v>1532</v>
      </c>
      <c r="F176" s="26" t="s">
        <v>1386</v>
      </c>
      <c r="G176" s="29" t="b">
        <v>0</v>
      </c>
      <c r="H176" s="29" t="b">
        <v>0</v>
      </c>
    </row>
    <row r="177">
      <c r="A177" s="13">
        <v>45302.0</v>
      </c>
      <c r="B177" s="14" t="s">
        <v>18</v>
      </c>
      <c r="C177" s="133" t="s">
        <v>1414</v>
      </c>
      <c r="D177" s="133" t="s">
        <v>1533</v>
      </c>
      <c r="E177" s="135" t="s">
        <v>1447</v>
      </c>
      <c r="F177" s="300" t="s">
        <v>1534</v>
      </c>
      <c r="G177" s="29" t="b">
        <v>1</v>
      </c>
      <c r="H177" s="29" t="b">
        <v>0</v>
      </c>
    </row>
    <row r="178">
      <c r="A178" s="13">
        <v>45302.0</v>
      </c>
      <c r="B178" s="14" t="s">
        <v>1362</v>
      </c>
      <c r="C178" s="15" t="s">
        <v>107</v>
      </c>
      <c r="D178" s="16" t="s">
        <v>1535</v>
      </c>
      <c r="E178" s="17"/>
      <c r="F178" s="26" t="s">
        <v>1009</v>
      </c>
      <c r="G178" s="29" t="b">
        <v>0</v>
      </c>
      <c r="H178" s="29" t="b">
        <v>0</v>
      </c>
    </row>
    <row r="179">
      <c r="A179" s="13">
        <v>45302.0</v>
      </c>
      <c r="B179" s="14" t="s">
        <v>26</v>
      </c>
      <c r="C179" s="15" t="s">
        <v>151</v>
      </c>
      <c r="D179" s="16" t="s">
        <v>1536</v>
      </c>
      <c r="E179" s="17"/>
      <c r="F179" s="26" t="s">
        <v>1537</v>
      </c>
      <c r="G179" s="29" t="b">
        <v>0</v>
      </c>
      <c r="H179" s="29" t="b">
        <v>0</v>
      </c>
    </row>
    <row r="180">
      <c r="A180" s="13">
        <v>45303.0</v>
      </c>
      <c r="B180" s="14" t="s">
        <v>10</v>
      </c>
      <c r="C180" s="21" t="s">
        <v>151</v>
      </c>
      <c r="D180" s="16" t="s">
        <v>1538</v>
      </c>
      <c r="E180" s="208"/>
      <c r="F180" s="209" t="s">
        <v>1537</v>
      </c>
      <c r="G180" s="29" t="b">
        <v>0</v>
      </c>
      <c r="H180" s="29" t="b">
        <v>0</v>
      </c>
    </row>
    <row r="181">
      <c r="A181" s="13">
        <v>45306.0</v>
      </c>
      <c r="B181" s="14" t="s">
        <v>18</v>
      </c>
      <c r="C181" s="15" t="s">
        <v>197</v>
      </c>
      <c r="D181" s="16" t="s">
        <v>115</v>
      </c>
      <c r="E181" s="17" t="s">
        <v>16</v>
      </c>
      <c r="F181" s="26" t="s">
        <v>1539</v>
      </c>
      <c r="G181" s="29" t="b">
        <v>1</v>
      </c>
      <c r="H181" s="29" t="b">
        <v>0</v>
      </c>
    </row>
    <row r="182">
      <c r="A182" s="13">
        <v>45306.0</v>
      </c>
      <c r="B182" s="14" t="s">
        <v>18</v>
      </c>
      <c r="C182" s="15" t="s">
        <v>80</v>
      </c>
      <c r="D182" s="16" t="s">
        <v>1526</v>
      </c>
      <c r="E182" s="17" t="s">
        <v>49</v>
      </c>
      <c r="F182" s="26"/>
      <c r="G182" s="29" t="b">
        <v>0</v>
      </c>
      <c r="H182" s="29" t="b">
        <v>0</v>
      </c>
    </row>
    <row r="183">
      <c r="A183" s="13">
        <v>45306.0</v>
      </c>
      <c r="B183" s="14" t="s">
        <v>18</v>
      </c>
      <c r="C183" s="15" t="s">
        <v>80</v>
      </c>
      <c r="D183" s="16" t="s">
        <v>1527</v>
      </c>
      <c r="E183" s="17" t="s">
        <v>1403</v>
      </c>
      <c r="F183" s="26"/>
      <c r="G183" s="29" t="b">
        <v>0</v>
      </c>
      <c r="H183" s="29" t="b">
        <v>0</v>
      </c>
    </row>
    <row r="184">
      <c r="A184" s="13">
        <v>45306.0</v>
      </c>
      <c r="B184" s="14" t="s">
        <v>18</v>
      </c>
      <c r="C184" s="15" t="s">
        <v>80</v>
      </c>
      <c r="D184" s="16" t="s">
        <v>1169</v>
      </c>
      <c r="E184" s="17" t="s">
        <v>85</v>
      </c>
      <c r="F184" s="26"/>
      <c r="G184" s="29" t="b">
        <v>0</v>
      </c>
      <c r="H184" s="29" t="b">
        <v>0</v>
      </c>
    </row>
    <row r="185">
      <c r="A185" s="13">
        <v>45307.0</v>
      </c>
      <c r="B185" s="14" t="s">
        <v>18</v>
      </c>
      <c r="C185" s="15" t="s">
        <v>128</v>
      </c>
      <c r="D185" s="16" t="s">
        <v>1540</v>
      </c>
      <c r="E185" s="17" t="s">
        <v>16</v>
      </c>
      <c r="F185" s="26" t="s">
        <v>1541</v>
      </c>
      <c r="G185" s="29" t="b">
        <v>1</v>
      </c>
      <c r="H185" s="29" t="b">
        <v>0</v>
      </c>
    </row>
    <row r="186">
      <c r="A186" s="13">
        <v>45307.0</v>
      </c>
      <c r="B186" s="14" t="s">
        <v>18</v>
      </c>
      <c r="C186" s="15" t="s">
        <v>128</v>
      </c>
      <c r="D186" s="16" t="s">
        <v>254</v>
      </c>
      <c r="E186" s="17" t="s">
        <v>16</v>
      </c>
      <c r="F186" s="26" t="s">
        <v>1542</v>
      </c>
      <c r="G186" s="29" t="b">
        <v>1</v>
      </c>
      <c r="H186" s="29" t="b">
        <v>0</v>
      </c>
    </row>
    <row r="187">
      <c r="A187" s="13">
        <v>45307.0</v>
      </c>
      <c r="B187" s="14" t="s">
        <v>10</v>
      </c>
      <c r="C187" s="15" t="s">
        <v>1436</v>
      </c>
      <c r="D187" s="16" t="s">
        <v>1543</v>
      </c>
      <c r="E187" s="17" t="s">
        <v>378</v>
      </c>
      <c r="F187" s="26"/>
      <c r="G187" s="29" t="b">
        <v>0</v>
      </c>
      <c r="H187" s="29" t="b">
        <v>0</v>
      </c>
    </row>
    <row r="188">
      <c r="A188" s="13">
        <v>45309.0</v>
      </c>
      <c r="B188" s="14" t="s">
        <v>18</v>
      </c>
      <c r="C188" s="15" t="s">
        <v>1414</v>
      </c>
      <c r="D188" s="16" t="s">
        <v>1533</v>
      </c>
      <c r="E188" s="17" t="s">
        <v>1447</v>
      </c>
      <c r="F188" s="26" t="s">
        <v>1544</v>
      </c>
      <c r="G188" s="29" t="b">
        <v>0</v>
      </c>
      <c r="H188" s="29" t="b">
        <v>0</v>
      </c>
    </row>
    <row r="189">
      <c r="A189" s="146">
        <v>45309.0</v>
      </c>
      <c r="B189" s="8" t="s">
        <v>10</v>
      </c>
      <c r="C189" s="21" t="s">
        <v>151</v>
      </c>
      <c r="D189" s="16" t="s">
        <v>1545</v>
      </c>
      <c r="E189" s="23"/>
      <c r="F189" s="301"/>
      <c r="G189" s="29" t="b">
        <v>0</v>
      </c>
      <c r="H189" s="29" t="b">
        <v>0</v>
      </c>
    </row>
    <row r="190">
      <c r="A190" s="13">
        <v>45309.0</v>
      </c>
      <c r="B190" s="14" t="s">
        <v>18</v>
      </c>
      <c r="C190" s="15" t="s">
        <v>85</v>
      </c>
      <c r="D190" s="16" t="s">
        <v>1546</v>
      </c>
      <c r="E190" s="17" t="s">
        <v>84</v>
      </c>
      <c r="F190" s="26"/>
      <c r="G190" s="29" t="b">
        <v>0</v>
      </c>
      <c r="H190" s="29" t="b">
        <v>0</v>
      </c>
    </row>
    <row r="191">
      <c r="A191" s="13">
        <v>45310.0</v>
      </c>
      <c r="B191" s="14" t="s">
        <v>18</v>
      </c>
      <c r="C191" s="15" t="s">
        <v>49</v>
      </c>
      <c r="D191" s="16" t="s">
        <v>477</v>
      </c>
      <c r="E191" s="17" t="s">
        <v>1547</v>
      </c>
      <c r="F191" s="26" t="s">
        <v>1395</v>
      </c>
      <c r="G191" s="29" t="b">
        <v>0</v>
      </c>
      <c r="H191" s="29" t="b">
        <v>0</v>
      </c>
    </row>
    <row r="192">
      <c r="A192" s="13">
        <v>45310.0</v>
      </c>
      <c r="B192" s="14" t="s">
        <v>10</v>
      </c>
      <c r="C192" s="15" t="s">
        <v>66</v>
      </c>
      <c r="D192" s="16" t="s">
        <v>1548</v>
      </c>
      <c r="E192" s="17"/>
      <c r="F192" s="26"/>
      <c r="G192" s="29" t="b">
        <v>0</v>
      </c>
      <c r="H192" s="29" t="b">
        <v>0</v>
      </c>
    </row>
    <row r="193">
      <c r="A193" s="146">
        <v>45310.0</v>
      </c>
      <c r="B193" s="8" t="s">
        <v>10</v>
      </c>
      <c r="C193" s="21" t="s">
        <v>151</v>
      </c>
      <c r="D193" s="16" t="s">
        <v>1549</v>
      </c>
      <c r="E193" s="23"/>
      <c r="F193" s="301"/>
      <c r="G193" s="29" t="b">
        <v>0</v>
      </c>
      <c r="H193" s="29" t="b">
        <v>0</v>
      </c>
    </row>
    <row r="194">
      <c r="A194" s="13">
        <v>45313.0</v>
      </c>
      <c r="B194" s="14" t="s">
        <v>26</v>
      </c>
      <c r="C194" s="15" t="s">
        <v>1550</v>
      </c>
      <c r="D194" s="16" t="s">
        <v>1551</v>
      </c>
      <c r="E194" s="17"/>
      <c r="F194" s="26" t="s">
        <v>1552</v>
      </c>
      <c r="G194" s="29" t="b">
        <v>0</v>
      </c>
      <c r="H194" s="29" t="b">
        <v>0</v>
      </c>
    </row>
    <row r="195">
      <c r="A195" s="13">
        <v>45314.0</v>
      </c>
      <c r="B195" s="8" t="s">
        <v>10</v>
      </c>
      <c r="C195" s="21" t="s">
        <v>1436</v>
      </c>
      <c r="D195" s="22" t="s">
        <v>1543</v>
      </c>
      <c r="E195" s="23" t="s">
        <v>378</v>
      </c>
      <c r="F195" s="26"/>
      <c r="G195" s="29" t="b">
        <v>0</v>
      </c>
      <c r="H195" s="29" t="b">
        <v>0</v>
      </c>
    </row>
    <row r="196">
      <c r="A196" s="13">
        <v>45314.0</v>
      </c>
      <c r="B196" s="14" t="s">
        <v>1345</v>
      </c>
      <c r="C196" s="15" t="s">
        <v>1411</v>
      </c>
      <c r="D196" s="16" t="s">
        <v>525</v>
      </c>
      <c r="E196" s="17" t="s">
        <v>16</v>
      </c>
      <c r="F196" s="26"/>
      <c r="G196" s="29" t="b">
        <v>0</v>
      </c>
      <c r="H196" s="29" t="b">
        <v>0</v>
      </c>
    </row>
    <row r="197">
      <c r="A197" s="13">
        <v>45316.0</v>
      </c>
      <c r="B197" s="14" t="s">
        <v>26</v>
      </c>
      <c r="C197" s="15" t="s">
        <v>1414</v>
      </c>
      <c r="D197" s="16" t="s">
        <v>1553</v>
      </c>
      <c r="E197" s="17" t="s">
        <v>499</v>
      </c>
      <c r="F197" s="26"/>
      <c r="G197" s="29" t="b">
        <v>0</v>
      </c>
      <c r="H197" s="29" t="b">
        <v>0</v>
      </c>
    </row>
    <row r="198">
      <c r="A198" s="13">
        <v>45317.0</v>
      </c>
      <c r="B198" s="14" t="s">
        <v>18</v>
      </c>
      <c r="C198" s="15" t="s">
        <v>19</v>
      </c>
      <c r="D198" s="16" t="s">
        <v>798</v>
      </c>
      <c r="E198" s="17" t="s">
        <v>16</v>
      </c>
      <c r="F198" s="26" t="s">
        <v>1554</v>
      </c>
      <c r="G198" s="29" t="b">
        <v>0</v>
      </c>
      <c r="H198" s="29" t="b">
        <v>0</v>
      </c>
    </row>
    <row r="199">
      <c r="A199" s="13">
        <v>45317.0</v>
      </c>
      <c r="B199" s="14" t="s">
        <v>18</v>
      </c>
      <c r="C199" s="15" t="s">
        <v>19</v>
      </c>
      <c r="D199" s="16" t="s">
        <v>801</v>
      </c>
      <c r="E199" s="17" t="s">
        <v>151</v>
      </c>
      <c r="F199" s="26"/>
      <c r="G199" s="29" t="b">
        <v>0</v>
      </c>
      <c r="H199" s="29" t="b">
        <v>0</v>
      </c>
    </row>
    <row r="200">
      <c r="A200" s="13">
        <v>45318.0</v>
      </c>
      <c r="B200" s="14" t="s">
        <v>18</v>
      </c>
      <c r="C200" s="15" t="s">
        <v>202</v>
      </c>
      <c r="D200" s="16" t="s">
        <v>1364</v>
      </c>
      <c r="E200" s="17" t="s">
        <v>1356</v>
      </c>
      <c r="F200" s="26" t="s">
        <v>1555</v>
      </c>
      <c r="G200" s="29" t="b">
        <v>0</v>
      </c>
      <c r="H200" s="29" t="b">
        <v>0</v>
      </c>
    </row>
    <row r="201">
      <c r="A201" s="13">
        <v>45321.0</v>
      </c>
      <c r="B201" s="14" t="s">
        <v>18</v>
      </c>
      <c r="C201" s="133" t="s">
        <v>1426</v>
      </c>
      <c r="D201" s="133" t="s">
        <v>129</v>
      </c>
      <c r="E201" s="135" t="s">
        <v>1436</v>
      </c>
      <c r="F201" s="300"/>
      <c r="G201" s="79" t="b">
        <v>0</v>
      </c>
      <c r="H201" s="79" t="b">
        <v>0</v>
      </c>
    </row>
    <row r="202">
      <c r="A202" s="13">
        <v>45322.0</v>
      </c>
      <c r="B202" s="14" t="s">
        <v>26</v>
      </c>
      <c r="C202" s="133" t="s">
        <v>345</v>
      </c>
      <c r="D202" s="133"/>
      <c r="E202" s="135"/>
      <c r="F202" s="300"/>
      <c r="G202" s="79" t="b">
        <v>0</v>
      </c>
      <c r="H202" s="79" t="b">
        <v>0</v>
      </c>
    </row>
    <row r="203">
      <c r="A203" s="13">
        <v>45322.0</v>
      </c>
      <c r="B203" s="14" t="s">
        <v>18</v>
      </c>
      <c r="C203" s="133" t="s">
        <v>1426</v>
      </c>
      <c r="D203" s="133" t="s">
        <v>1002</v>
      </c>
      <c r="E203" s="135" t="s">
        <v>1556</v>
      </c>
      <c r="F203" s="300"/>
      <c r="G203" s="79" t="b">
        <v>0</v>
      </c>
      <c r="H203" s="79" t="b">
        <v>0</v>
      </c>
    </row>
    <row r="204">
      <c r="A204" s="13">
        <v>45322.0</v>
      </c>
      <c r="B204" s="14" t="s">
        <v>18</v>
      </c>
      <c r="C204" s="133" t="s">
        <v>1426</v>
      </c>
      <c r="D204" s="133" t="s">
        <v>1557</v>
      </c>
      <c r="E204" s="135" t="s">
        <v>1558</v>
      </c>
      <c r="F204" s="300"/>
      <c r="G204" s="79" t="b">
        <v>0</v>
      </c>
      <c r="H204" s="79" t="b">
        <v>0</v>
      </c>
    </row>
    <row r="205">
      <c r="A205" s="13">
        <v>45323.0</v>
      </c>
      <c r="B205" s="14" t="s">
        <v>1362</v>
      </c>
      <c r="C205" s="133" t="s">
        <v>19</v>
      </c>
      <c r="D205" s="133" t="s">
        <v>1559</v>
      </c>
      <c r="E205" s="135"/>
      <c r="F205" s="300" t="s">
        <v>1560</v>
      </c>
      <c r="G205" s="79" t="b">
        <v>0</v>
      </c>
      <c r="H205" s="79" t="b">
        <v>0</v>
      </c>
    </row>
    <row r="206">
      <c r="A206" s="13">
        <v>45323.0</v>
      </c>
      <c r="B206" s="14" t="s">
        <v>10</v>
      </c>
      <c r="C206" s="133" t="s">
        <v>151</v>
      </c>
      <c r="D206" s="133" t="s">
        <v>1561</v>
      </c>
      <c r="E206" s="135"/>
      <c r="F206" s="300"/>
      <c r="G206" s="79" t="b">
        <v>0</v>
      </c>
      <c r="H206" s="79" t="b">
        <v>0</v>
      </c>
    </row>
    <row r="207">
      <c r="A207" s="13">
        <v>45324.0</v>
      </c>
      <c r="B207" s="8" t="s">
        <v>10</v>
      </c>
      <c r="C207" s="9" t="s">
        <v>151</v>
      </c>
      <c r="D207" s="133" t="s">
        <v>1562</v>
      </c>
      <c r="E207" s="135"/>
      <c r="F207" s="300"/>
      <c r="G207" s="79" t="b">
        <v>0</v>
      </c>
      <c r="H207" s="79" t="b">
        <v>0</v>
      </c>
    </row>
    <row r="208">
      <c r="A208" s="13">
        <v>45325.0</v>
      </c>
      <c r="B208" s="14" t="s">
        <v>18</v>
      </c>
      <c r="C208" s="133" t="s">
        <v>189</v>
      </c>
      <c r="D208" s="133" t="s">
        <v>1563</v>
      </c>
      <c r="E208" s="135" t="s">
        <v>49</v>
      </c>
      <c r="F208" s="300"/>
      <c r="G208" s="79" t="b">
        <v>0</v>
      </c>
      <c r="H208" s="79" t="b">
        <v>0</v>
      </c>
    </row>
    <row r="209">
      <c r="A209" s="13">
        <v>45325.0</v>
      </c>
      <c r="B209" s="14" t="s">
        <v>18</v>
      </c>
      <c r="C209" s="133" t="s">
        <v>110</v>
      </c>
      <c r="D209" s="133" t="s">
        <v>1564</v>
      </c>
      <c r="E209" s="135" t="s">
        <v>585</v>
      </c>
      <c r="F209" s="300" t="s">
        <v>113</v>
      </c>
      <c r="G209" s="79" t="b">
        <v>0</v>
      </c>
      <c r="H209" s="79" t="b">
        <v>0</v>
      </c>
    </row>
    <row r="210">
      <c r="A210" s="13">
        <v>45327.0</v>
      </c>
      <c r="B210" s="14" t="s">
        <v>18</v>
      </c>
      <c r="C210" s="133" t="s">
        <v>47</v>
      </c>
      <c r="D210" s="133" t="s">
        <v>1565</v>
      </c>
      <c r="E210" s="135" t="s">
        <v>30</v>
      </c>
      <c r="F210" s="300"/>
      <c r="G210" s="79" t="b">
        <v>0</v>
      </c>
      <c r="H210" s="79" t="b">
        <v>0</v>
      </c>
    </row>
    <row r="211">
      <c r="A211" s="13">
        <v>45328.0</v>
      </c>
      <c r="B211" s="14" t="s">
        <v>18</v>
      </c>
      <c r="C211" s="133" t="s">
        <v>189</v>
      </c>
      <c r="D211" s="133" t="s">
        <v>1566</v>
      </c>
      <c r="E211" s="135" t="s">
        <v>56</v>
      </c>
      <c r="F211" s="300"/>
      <c r="G211" s="79" t="b">
        <v>0</v>
      </c>
      <c r="H211" s="79" t="b">
        <v>0</v>
      </c>
    </row>
    <row r="212">
      <c r="A212" s="13">
        <v>45328.0</v>
      </c>
      <c r="B212" s="14" t="s">
        <v>18</v>
      </c>
      <c r="C212" s="133" t="s">
        <v>202</v>
      </c>
      <c r="D212" s="133" t="s">
        <v>254</v>
      </c>
      <c r="E212" s="135" t="s">
        <v>16</v>
      </c>
      <c r="F212" s="300" t="s">
        <v>89</v>
      </c>
      <c r="G212" s="79" t="b">
        <v>0</v>
      </c>
      <c r="H212" s="79" t="b">
        <v>0</v>
      </c>
    </row>
    <row r="213">
      <c r="A213" s="13">
        <v>45328.0</v>
      </c>
      <c r="B213" s="14" t="s">
        <v>10</v>
      </c>
      <c r="C213" s="133" t="s">
        <v>1426</v>
      </c>
      <c r="D213" s="133" t="s">
        <v>1567</v>
      </c>
      <c r="E213" s="135"/>
      <c r="F213" s="300" t="s">
        <v>1568</v>
      </c>
      <c r="G213" s="79" t="b">
        <v>0</v>
      </c>
      <c r="H213" s="79" t="b">
        <v>0</v>
      </c>
    </row>
    <row r="214">
      <c r="A214" s="13">
        <v>45329.0</v>
      </c>
      <c r="B214" s="14" t="s">
        <v>18</v>
      </c>
      <c r="C214" s="133" t="s">
        <v>189</v>
      </c>
      <c r="D214" s="133" t="s">
        <v>45</v>
      </c>
      <c r="E214" s="135" t="s">
        <v>49</v>
      </c>
      <c r="F214" s="300"/>
      <c r="G214" s="79" t="b">
        <v>0</v>
      </c>
      <c r="H214" s="79" t="b">
        <v>0</v>
      </c>
    </row>
    <row r="215">
      <c r="A215" s="13">
        <v>45329.0</v>
      </c>
      <c r="B215" s="14" t="s">
        <v>18</v>
      </c>
      <c r="C215" s="133" t="s">
        <v>189</v>
      </c>
      <c r="D215" s="133" t="s">
        <v>1569</v>
      </c>
      <c r="E215" s="135"/>
      <c r="F215" s="300" t="s">
        <v>1570</v>
      </c>
      <c r="G215" s="79" t="b">
        <v>0</v>
      </c>
      <c r="H215" s="79" t="b">
        <v>0</v>
      </c>
    </row>
    <row r="216">
      <c r="A216" s="13">
        <v>45329.0</v>
      </c>
      <c r="B216" s="14" t="s">
        <v>18</v>
      </c>
      <c r="C216" s="133" t="s">
        <v>1556</v>
      </c>
      <c r="D216" s="133" t="s">
        <v>353</v>
      </c>
      <c r="E216" s="135" t="s">
        <v>16</v>
      </c>
      <c r="F216" s="300" t="s">
        <v>1571</v>
      </c>
      <c r="G216" s="79" t="b">
        <v>0</v>
      </c>
      <c r="H216" s="79" t="b">
        <v>0</v>
      </c>
    </row>
    <row r="217">
      <c r="A217" s="13">
        <v>45329.0</v>
      </c>
      <c r="B217" s="14" t="s">
        <v>18</v>
      </c>
      <c r="C217" s="133" t="s">
        <v>386</v>
      </c>
      <c r="D217" s="133" t="s">
        <v>351</v>
      </c>
      <c r="E217" s="135" t="s">
        <v>16</v>
      </c>
      <c r="F217" s="300" t="s">
        <v>198</v>
      </c>
      <c r="G217" s="79" t="b">
        <v>0</v>
      </c>
      <c r="H217" s="79" t="b">
        <v>0</v>
      </c>
    </row>
    <row r="218">
      <c r="A218" s="13">
        <v>45329.0</v>
      </c>
      <c r="B218" s="14" t="s">
        <v>18</v>
      </c>
      <c r="C218" s="133" t="s">
        <v>1426</v>
      </c>
      <c r="D218" s="133" t="s">
        <v>353</v>
      </c>
      <c r="E218" s="135" t="s">
        <v>16</v>
      </c>
      <c r="F218" s="300" t="s">
        <v>1572</v>
      </c>
      <c r="G218" s="79" t="b">
        <v>0</v>
      </c>
      <c r="H218" s="79" t="b">
        <v>0</v>
      </c>
    </row>
    <row r="219">
      <c r="A219" s="13">
        <v>45330.0</v>
      </c>
      <c r="B219" s="14" t="s">
        <v>18</v>
      </c>
      <c r="C219" s="133" t="s">
        <v>623</v>
      </c>
      <c r="D219" s="133" t="s">
        <v>1573</v>
      </c>
      <c r="E219" s="135" t="s">
        <v>1574</v>
      </c>
      <c r="F219" s="300" t="s">
        <v>1575</v>
      </c>
      <c r="G219" s="79" t="b">
        <v>0</v>
      </c>
      <c r="H219" s="79" t="b">
        <v>0</v>
      </c>
    </row>
    <row r="220">
      <c r="A220" s="13">
        <v>45330.0</v>
      </c>
      <c r="B220" s="14" t="s">
        <v>18</v>
      </c>
      <c r="C220" s="133" t="s">
        <v>386</v>
      </c>
      <c r="D220" s="133" t="s">
        <v>1514</v>
      </c>
      <c r="E220" s="135" t="s">
        <v>16</v>
      </c>
      <c r="F220" s="300" t="s">
        <v>1576</v>
      </c>
      <c r="G220" s="79" t="b">
        <v>0</v>
      </c>
      <c r="H220" s="79" t="b">
        <v>0</v>
      </c>
    </row>
    <row r="221">
      <c r="A221" s="13">
        <v>45330.0</v>
      </c>
      <c r="B221" s="14" t="s">
        <v>18</v>
      </c>
      <c r="C221" s="133" t="s">
        <v>386</v>
      </c>
      <c r="D221" s="133" t="s">
        <v>460</v>
      </c>
      <c r="E221" s="135" t="s">
        <v>16</v>
      </c>
      <c r="F221" s="300" t="s">
        <v>198</v>
      </c>
      <c r="G221" s="79" t="b">
        <v>0</v>
      </c>
      <c r="H221" s="79" t="b">
        <v>0</v>
      </c>
    </row>
    <row r="222">
      <c r="A222" s="13">
        <v>45330.0</v>
      </c>
      <c r="B222" s="8" t="s">
        <v>10</v>
      </c>
      <c r="C222" s="9" t="s">
        <v>151</v>
      </c>
      <c r="D222" s="9" t="s">
        <v>1561</v>
      </c>
      <c r="E222" s="135"/>
      <c r="F222" s="300"/>
      <c r="G222" s="79" t="b">
        <v>0</v>
      </c>
      <c r="H222" s="79" t="b">
        <v>0</v>
      </c>
    </row>
    <row r="223">
      <c r="A223" s="13">
        <v>45331.0</v>
      </c>
      <c r="B223" s="14" t="s">
        <v>10</v>
      </c>
      <c r="C223" s="133" t="s">
        <v>84</v>
      </c>
      <c r="D223" s="133" t="s">
        <v>1577</v>
      </c>
      <c r="E223" s="135" t="s">
        <v>1578</v>
      </c>
      <c r="F223" s="300" t="s">
        <v>1579</v>
      </c>
      <c r="G223" s="79" t="b">
        <v>0</v>
      </c>
      <c r="H223" s="79" t="b">
        <v>0</v>
      </c>
    </row>
    <row r="224">
      <c r="A224" s="13">
        <v>45331.0</v>
      </c>
      <c r="B224" s="14" t="s">
        <v>10</v>
      </c>
      <c r="C224" s="133" t="s">
        <v>60</v>
      </c>
      <c r="D224" s="133" t="s">
        <v>1580</v>
      </c>
      <c r="E224" s="135" t="s">
        <v>16</v>
      </c>
      <c r="F224" s="300"/>
      <c r="G224" s="79" t="b">
        <v>0</v>
      </c>
      <c r="H224" s="79" t="b">
        <v>0</v>
      </c>
    </row>
    <row r="225">
      <c r="A225" s="13">
        <v>45331.0</v>
      </c>
      <c r="B225" s="14" t="s">
        <v>10</v>
      </c>
      <c r="C225" s="9" t="s">
        <v>151</v>
      </c>
      <c r="D225" s="9" t="s">
        <v>1561</v>
      </c>
      <c r="E225" s="135"/>
      <c r="F225" s="300"/>
      <c r="G225" s="79" t="b">
        <v>0</v>
      </c>
      <c r="H225" s="79" t="b">
        <v>0</v>
      </c>
    </row>
    <row r="226">
      <c r="A226" s="13">
        <v>45332.0</v>
      </c>
      <c r="B226" s="14" t="s">
        <v>18</v>
      </c>
      <c r="C226" s="133" t="s">
        <v>84</v>
      </c>
      <c r="D226" s="133" t="s">
        <v>1581</v>
      </c>
      <c r="E226" s="135" t="s">
        <v>1582</v>
      </c>
      <c r="F226" s="300" t="s">
        <v>1579</v>
      </c>
      <c r="G226" s="79" t="b">
        <v>0</v>
      </c>
      <c r="H226" s="79" t="b">
        <v>0</v>
      </c>
    </row>
    <row r="227">
      <c r="A227" s="13">
        <v>45332.0</v>
      </c>
      <c r="B227" s="14" t="s">
        <v>18</v>
      </c>
      <c r="C227" s="133" t="s">
        <v>189</v>
      </c>
      <c r="D227" s="133" t="s">
        <v>1563</v>
      </c>
      <c r="E227" s="135" t="s">
        <v>49</v>
      </c>
      <c r="F227" s="300"/>
      <c r="G227" s="79" t="b">
        <v>0</v>
      </c>
      <c r="H227" s="79" t="b">
        <v>0</v>
      </c>
    </row>
    <row r="228">
      <c r="A228" s="13">
        <v>45332.0</v>
      </c>
      <c r="B228" s="14" t="s">
        <v>18</v>
      </c>
      <c r="C228" s="133" t="s">
        <v>202</v>
      </c>
      <c r="D228" s="133" t="s">
        <v>1364</v>
      </c>
      <c r="E228" s="135" t="s">
        <v>1441</v>
      </c>
      <c r="F228" s="300" t="s">
        <v>1442</v>
      </c>
      <c r="G228" s="79" t="b">
        <v>0</v>
      </c>
      <c r="H228" s="79" t="b">
        <v>0</v>
      </c>
    </row>
    <row r="229">
      <c r="A229" s="13">
        <v>45334.0</v>
      </c>
      <c r="B229" s="14" t="s">
        <v>18</v>
      </c>
      <c r="C229" s="133" t="s">
        <v>85</v>
      </c>
      <c r="D229" s="133" t="s">
        <v>740</v>
      </c>
      <c r="E229" s="135" t="s">
        <v>16</v>
      </c>
      <c r="F229" s="300" t="s">
        <v>89</v>
      </c>
      <c r="G229" s="79" t="b">
        <v>0</v>
      </c>
      <c r="H229" s="79" t="b">
        <v>0</v>
      </c>
    </row>
    <row r="230">
      <c r="A230" s="13">
        <v>45335.0</v>
      </c>
      <c r="B230" s="14" t="s">
        <v>18</v>
      </c>
      <c r="C230" s="133" t="s">
        <v>189</v>
      </c>
      <c r="D230" s="133" t="s">
        <v>1566</v>
      </c>
      <c r="E230" s="135" t="s">
        <v>56</v>
      </c>
      <c r="F230" s="298"/>
      <c r="G230" s="190" t="b">
        <v>0</v>
      </c>
      <c r="H230" s="190" t="b">
        <v>0</v>
      </c>
    </row>
    <row r="231">
      <c r="A231" s="13">
        <v>45335.0</v>
      </c>
      <c r="B231" s="14" t="s">
        <v>18</v>
      </c>
      <c r="C231" s="133" t="s">
        <v>386</v>
      </c>
      <c r="D231" s="133" t="s">
        <v>1583</v>
      </c>
      <c r="E231" s="135" t="s">
        <v>16</v>
      </c>
      <c r="F231" s="300" t="s">
        <v>1584</v>
      </c>
      <c r="G231" s="79" t="b">
        <v>0</v>
      </c>
      <c r="H231" s="79" t="b">
        <v>0</v>
      </c>
    </row>
    <row r="232">
      <c r="A232" s="13">
        <v>45336.0</v>
      </c>
      <c r="B232" s="14" t="s">
        <v>18</v>
      </c>
      <c r="C232" s="15" t="s">
        <v>11</v>
      </c>
      <c r="D232" s="16" t="s">
        <v>1585</v>
      </c>
      <c r="E232" s="17" t="s">
        <v>623</v>
      </c>
      <c r="F232" s="26"/>
      <c r="G232" s="29" t="b">
        <v>0</v>
      </c>
      <c r="H232" s="29" t="b">
        <v>0</v>
      </c>
    </row>
    <row r="233">
      <c r="A233" s="13">
        <v>45336.0</v>
      </c>
      <c r="B233" s="14" t="s">
        <v>10</v>
      </c>
      <c r="C233" s="15" t="s">
        <v>139</v>
      </c>
      <c r="D233" s="16" t="s">
        <v>1586</v>
      </c>
      <c r="E233" s="17"/>
      <c r="F233" s="26" t="s">
        <v>97</v>
      </c>
      <c r="G233" s="29" t="b">
        <v>0</v>
      </c>
      <c r="H233" s="29" t="b">
        <v>0</v>
      </c>
    </row>
    <row r="234">
      <c r="A234" s="13">
        <v>45337.0</v>
      </c>
      <c r="B234" s="14" t="s">
        <v>18</v>
      </c>
      <c r="C234" s="15" t="s">
        <v>47</v>
      </c>
      <c r="D234" s="16" t="s">
        <v>1587</v>
      </c>
      <c r="E234" s="17" t="s">
        <v>30</v>
      </c>
      <c r="F234" s="26"/>
      <c r="G234" s="29" t="b">
        <v>0</v>
      </c>
      <c r="H234" s="29" t="b">
        <v>0</v>
      </c>
    </row>
    <row r="235">
      <c r="A235" s="13">
        <v>45337.0</v>
      </c>
      <c r="B235" s="14" t="s">
        <v>1342</v>
      </c>
      <c r="C235" s="15" t="s">
        <v>630</v>
      </c>
      <c r="D235" s="16" t="s">
        <v>1588</v>
      </c>
      <c r="E235" s="17" t="s">
        <v>16</v>
      </c>
      <c r="F235" s="26"/>
      <c r="G235" s="29" t="b">
        <v>0</v>
      </c>
      <c r="H235" s="29" t="b">
        <v>0</v>
      </c>
    </row>
    <row r="236">
      <c r="A236" s="13">
        <v>45337.0</v>
      </c>
      <c r="B236" s="14" t="s">
        <v>18</v>
      </c>
      <c r="C236" s="15" t="s">
        <v>1418</v>
      </c>
      <c r="D236" s="16" t="s">
        <v>1589</v>
      </c>
      <c r="E236" s="17" t="s">
        <v>259</v>
      </c>
      <c r="F236" s="26" t="s">
        <v>62</v>
      </c>
      <c r="G236" s="29" t="b">
        <v>0</v>
      </c>
      <c r="H236" s="29" t="b">
        <v>0</v>
      </c>
    </row>
    <row r="237">
      <c r="A237" s="13">
        <v>45337.0</v>
      </c>
      <c r="B237" s="14" t="s">
        <v>18</v>
      </c>
      <c r="C237" s="15" t="s">
        <v>1418</v>
      </c>
      <c r="D237" s="16" t="s">
        <v>1590</v>
      </c>
      <c r="E237" s="17" t="s">
        <v>259</v>
      </c>
      <c r="F237" s="26"/>
      <c r="G237" s="29" t="b">
        <v>0</v>
      </c>
      <c r="H237" s="29" t="b">
        <v>0</v>
      </c>
    </row>
    <row r="238">
      <c r="A238" s="13">
        <v>45338.0</v>
      </c>
      <c r="B238" s="14" t="s">
        <v>18</v>
      </c>
      <c r="C238" s="15" t="s">
        <v>63</v>
      </c>
      <c r="D238" s="16" t="s">
        <v>177</v>
      </c>
      <c r="E238" s="17" t="s">
        <v>16</v>
      </c>
      <c r="F238" s="26" t="s">
        <v>97</v>
      </c>
      <c r="G238" s="29" t="b">
        <v>0</v>
      </c>
      <c r="H238" s="29" t="b">
        <v>0</v>
      </c>
    </row>
    <row r="239">
      <c r="A239" s="13">
        <v>45338.0</v>
      </c>
      <c r="B239" s="14" t="s">
        <v>18</v>
      </c>
      <c r="C239" s="15" t="s">
        <v>11</v>
      </c>
      <c r="D239" s="16" t="s">
        <v>1591</v>
      </c>
      <c r="E239" s="17" t="s">
        <v>623</v>
      </c>
      <c r="F239" s="26"/>
      <c r="G239" s="29" t="b">
        <v>0</v>
      </c>
      <c r="H239" s="29" t="b">
        <v>0</v>
      </c>
    </row>
    <row r="240">
      <c r="A240" s="13">
        <v>45338.0</v>
      </c>
      <c r="B240" s="14" t="s">
        <v>1362</v>
      </c>
      <c r="C240" s="15" t="s">
        <v>125</v>
      </c>
      <c r="D240" s="16" t="s">
        <v>1592</v>
      </c>
      <c r="E240" s="17" t="s">
        <v>16</v>
      </c>
      <c r="F240" s="26"/>
      <c r="G240" s="29" t="b">
        <v>0</v>
      </c>
      <c r="H240" s="29" t="b">
        <v>0</v>
      </c>
    </row>
    <row r="241">
      <c r="A241" s="13">
        <v>45341.0</v>
      </c>
      <c r="B241" s="14" t="s">
        <v>10</v>
      </c>
      <c r="C241" s="15" t="s">
        <v>63</v>
      </c>
      <c r="D241" s="16" t="s">
        <v>518</v>
      </c>
      <c r="E241" s="17" t="s">
        <v>16</v>
      </c>
      <c r="F241" s="26" t="s">
        <v>97</v>
      </c>
      <c r="G241" s="29" t="b">
        <v>0</v>
      </c>
      <c r="H241" s="29" t="b">
        <v>0</v>
      </c>
    </row>
    <row r="242">
      <c r="A242" s="13">
        <v>45341.0</v>
      </c>
      <c r="B242" s="14" t="s">
        <v>18</v>
      </c>
      <c r="C242" s="15" t="s">
        <v>60</v>
      </c>
      <c r="D242" s="16" t="s">
        <v>88</v>
      </c>
      <c r="E242" s="17" t="s">
        <v>16</v>
      </c>
      <c r="F242" s="26" t="s">
        <v>1593</v>
      </c>
      <c r="G242" s="29" t="b">
        <v>0</v>
      </c>
      <c r="H242" s="29" t="b">
        <v>0</v>
      </c>
    </row>
    <row r="243">
      <c r="A243" s="13">
        <v>45341.0</v>
      </c>
      <c r="B243" s="14" t="s">
        <v>18</v>
      </c>
      <c r="C243" s="15" t="s">
        <v>80</v>
      </c>
      <c r="D243" s="16" t="s">
        <v>379</v>
      </c>
      <c r="E243" s="17" t="s">
        <v>49</v>
      </c>
      <c r="F243" s="26"/>
      <c r="G243" s="29" t="b">
        <v>0</v>
      </c>
      <c r="H243" s="29" t="b">
        <v>0</v>
      </c>
    </row>
    <row r="244">
      <c r="A244" s="13">
        <v>45341.0</v>
      </c>
      <c r="B244" s="14" t="s">
        <v>18</v>
      </c>
      <c r="C244" s="15" t="s">
        <v>80</v>
      </c>
      <c r="D244" s="16" t="s">
        <v>1594</v>
      </c>
      <c r="E244" s="17" t="s">
        <v>16</v>
      </c>
      <c r="F244" s="26" t="s">
        <v>1595</v>
      </c>
      <c r="G244" s="29" t="b">
        <v>0</v>
      </c>
      <c r="H244" s="29" t="b">
        <v>0</v>
      </c>
    </row>
    <row r="245">
      <c r="A245" s="13">
        <v>45341.0</v>
      </c>
      <c r="B245" s="14" t="s">
        <v>18</v>
      </c>
      <c r="C245" s="15" t="s">
        <v>80</v>
      </c>
      <c r="D245" s="16" t="s">
        <v>382</v>
      </c>
      <c r="E245" s="17" t="s">
        <v>85</v>
      </c>
      <c r="F245" s="26"/>
      <c r="G245" s="29" t="b">
        <v>0</v>
      </c>
      <c r="H245" s="29" t="b">
        <v>0</v>
      </c>
    </row>
    <row r="246">
      <c r="A246" s="13">
        <v>45341.0</v>
      </c>
      <c r="B246" s="14" t="s">
        <v>10</v>
      </c>
      <c r="C246" s="15" t="s">
        <v>151</v>
      </c>
      <c r="D246" s="16" t="s">
        <v>1596</v>
      </c>
      <c r="E246" s="17"/>
      <c r="F246" s="26"/>
      <c r="G246" s="29" t="b">
        <v>0</v>
      </c>
      <c r="H246" s="29" t="b">
        <v>0</v>
      </c>
    </row>
    <row r="247">
      <c r="A247" s="13">
        <v>45341.0</v>
      </c>
      <c r="B247" s="14" t="s">
        <v>59</v>
      </c>
      <c r="C247" s="15" t="s">
        <v>33</v>
      </c>
      <c r="D247" s="16" t="s">
        <v>1597</v>
      </c>
      <c r="E247" s="17" t="s">
        <v>16</v>
      </c>
      <c r="F247" s="26" t="s">
        <v>97</v>
      </c>
      <c r="G247" s="29" t="b">
        <v>0</v>
      </c>
      <c r="H247" s="29" t="b">
        <v>0</v>
      </c>
    </row>
    <row r="248">
      <c r="A248" s="13">
        <v>45342.0</v>
      </c>
      <c r="B248" s="14" t="s">
        <v>18</v>
      </c>
      <c r="C248" s="15" t="s">
        <v>128</v>
      </c>
      <c r="D248" s="16" t="s">
        <v>147</v>
      </c>
      <c r="E248" s="17" t="s">
        <v>16</v>
      </c>
      <c r="F248" s="26" t="s">
        <v>1598</v>
      </c>
      <c r="G248" s="29" t="b">
        <v>0</v>
      </c>
      <c r="H248" s="29" t="b">
        <v>0</v>
      </c>
    </row>
    <row r="249">
      <c r="A249" s="13">
        <v>45343.0</v>
      </c>
      <c r="B249" s="14" t="s">
        <v>18</v>
      </c>
      <c r="C249" s="15" t="s">
        <v>11</v>
      </c>
      <c r="D249" s="16" t="s">
        <v>1585</v>
      </c>
      <c r="E249" s="17" t="s">
        <v>623</v>
      </c>
      <c r="F249" s="26"/>
      <c r="G249" s="29" t="b">
        <v>0</v>
      </c>
      <c r="H249" s="29" t="b">
        <v>0</v>
      </c>
    </row>
    <row r="250">
      <c r="A250" s="13">
        <v>45344.0</v>
      </c>
      <c r="B250" s="14" t="s">
        <v>10</v>
      </c>
      <c r="C250" s="15" t="s">
        <v>54</v>
      </c>
      <c r="D250" s="16" t="s">
        <v>1599</v>
      </c>
      <c r="E250" s="17" t="s">
        <v>16</v>
      </c>
      <c r="F250" s="26"/>
      <c r="G250" s="29" t="b">
        <v>0</v>
      </c>
      <c r="H250" s="29" t="b">
        <v>0</v>
      </c>
    </row>
    <row r="251">
      <c r="A251" s="13">
        <v>45345.0</v>
      </c>
      <c r="B251" s="14" t="s">
        <v>26</v>
      </c>
      <c r="C251" s="15" t="s">
        <v>60</v>
      </c>
      <c r="D251" s="16" t="s">
        <v>1600</v>
      </c>
      <c r="E251" s="17"/>
      <c r="F251" s="26" t="s">
        <v>1601</v>
      </c>
      <c r="G251" s="29" t="b">
        <v>0</v>
      </c>
      <c r="H251" s="29" t="b">
        <v>0</v>
      </c>
    </row>
    <row r="252">
      <c r="A252" s="13">
        <v>45345.0</v>
      </c>
      <c r="B252" s="14" t="s">
        <v>26</v>
      </c>
      <c r="C252" s="15" t="s">
        <v>60</v>
      </c>
      <c r="D252" s="16" t="s">
        <v>1602</v>
      </c>
      <c r="E252" s="17" t="s">
        <v>151</v>
      </c>
      <c r="F252" s="26"/>
      <c r="G252" s="29" t="b">
        <v>0</v>
      </c>
      <c r="H252" s="29" t="b">
        <v>0</v>
      </c>
    </row>
    <row r="253">
      <c r="A253" s="13">
        <v>45345.0</v>
      </c>
      <c r="B253" s="14" t="s">
        <v>26</v>
      </c>
      <c r="C253" s="15" t="s">
        <v>60</v>
      </c>
      <c r="D253" s="16" t="s">
        <v>1603</v>
      </c>
      <c r="E253" s="17" t="s">
        <v>16</v>
      </c>
      <c r="F253" s="26" t="s">
        <v>1604</v>
      </c>
      <c r="G253" s="29" t="b">
        <v>0</v>
      </c>
      <c r="H253" s="29" t="b">
        <v>0</v>
      </c>
    </row>
    <row r="254">
      <c r="A254" s="13">
        <v>45345.0</v>
      </c>
      <c r="B254" s="14" t="s">
        <v>26</v>
      </c>
      <c r="C254" s="21" t="s">
        <v>60</v>
      </c>
      <c r="D254" s="22" t="s">
        <v>1605</v>
      </c>
      <c r="E254" s="23" t="s">
        <v>378</v>
      </c>
      <c r="F254" s="26" t="s">
        <v>1606</v>
      </c>
      <c r="G254" s="29" t="b">
        <v>0</v>
      </c>
      <c r="H254" s="29" t="b">
        <v>0</v>
      </c>
    </row>
    <row r="255">
      <c r="A255" s="13">
        <v>45346.0</v>
      </c>
      <c r="B255" s="14" t="s">
        <v>59</v>
      </c>
      <c r="C255" s="15" t="s">
        <v>60</v>
      </c>
      <c r="D255" s="16" t="s">
        <v>1607</v>
      </c>
      <c r="E255" s="17" t="s">
        <v>16</v>
      </c>
      <c r="F255" s="26" t="s">
        <v>1608</v>
      </c>
      <c r="G255" s="29" t="b">
        <v>0</v>
      </c>
      <c r="H255" s="29" t="b">
        <v>0</v>
      </c>
    </row>
    <row r="256">
      <c r="A256" s="13">
        <v>45350.0</v>
      </c>
      <c r="B256" s="14" t="s">
        <v>1345</v>
      </c>
      <c r="C256" s="15" t="s">
        <v>56</v>
      </c>
      <c r="D256" s="16" t="s">
        <v>760</v>
      </c>
      <c r="E256" s="17" t="s">
        <v>16</v>
      </c>
      <c r="F256" s="26" t="s">
        <v>1609</v>
      </c>
      <c r="G256" s="29" t="b">
        <v>0</v>
      </c>
      <c r="H256" s="29" t="b">
        <v>0</v>
      </c>
    </row>
    <row r="257">
      <c r="A257" s="13">
        <v>45352.0</v>
      </c>
      <c r="B257" s="14" t="s">
        <v>909</v>
      </c>
      <c r="C257" s="15" t="s">
        <v>60</v>
      </c>
      <c r="D257" s="16" t="s">
        <v>1603</v>
      </c>
      <c r="E257" s="17" t="s">
        <v>16</v>
      </c>
      <c r="F257" s="26" t="s">
        <v>1610</v>
      </c>
      <c r="G257" s="18" t="b">
        <v>1</v>
      </c>
      <c r="H257" s="29" t="b">
        <v>0</v>
      </c>
    </row>
    <row r="258">
      <c r="A258" s="13">
        <v>45352.0</v>
      </c>
      <c r="B258" s="14" t="s">
        <v>909</v>
      </c>
      <c r="C258" s="15" t="s">
        <v>60</v>
      </c>
      <c r="D258" s="16" t="s">
        <v>1605</v>
      </c>
      <c r="E258" s="17" t="s">
        <v>378</v>
      </c>
      <c r="F258" s="26" t="s">
        <v>1611</v>
      </c>
      <c r="G258" s="18" t="b">
        <v>1</v>
      </c>
      <c r="H258" s="29" t="b">
        <v>0</v>
      </c>
    </row>
    <row r="259">
      <c r="A259" s="13">
        <v>45353.0</v>
      </c>
      <c r="B259" s="14" t="s">
        <v>18</v>
      </c>
      <c r="C259" s="15" t="s">
        <v>202</v>
      </c>
      <c r="D259" s="16" t="s">
        <v>157</v>
      </c>
      <c r="E259" s="17" t="s">
        <v>1356</v>
      </c>
      <c r="F259" s="26" t="s">
        <v>1555</v>
      </c>
      <c r="G259" s="18" t="b">
        <v>0</v>
      </c>
      <c r="H259" s="29" t="b">
        <v>0</v>
      </c>
    </row>
    <row r="260">
      <c r="A260" s="13">
        <v>45353.0</v>
      </c>
      <c r="B260" s="14" t="s">
        <v>1345</v>
      </c>
      <c r="C260" s="15" t="s">
        <v>1481</v>
      </c>
      <c r="D260" s="16" t="s">
        <v>157</v>
      </c>
      <c r="E260" s="17" t="s">
        <v>16</v>
      </c>
      <c r="F260" s="26" t="s">
        <v>1612</v>
      </c>
      <c r="G260" s="18" t="b">
        <v>0</v>
      </c>
      <c r="H260" s="29" t="b">
        <v>0</v>
      </c>
    </row>
    <row r="261">
      <c r="A261" s="13">
        <v>45355.0</v>
      </c>
      <c r="B261" s="14" t="s">
        <v>59</v>
      </c>
      <c r="C261" s="15" t="s">
        <v>846</v>
      </c>
      <c r="D261" s="16" t="s">
        <v>1613</v>
      </c>
      <c r="E261" s="17"/>
      <c r="F261" s="26"/>
      <c r="G261" s="18" t="b">
        <v>0</v>
      </c>
      <c r="H261" s="29" t="b">
        <v>0</v>
      </c>
    </row>
    <row r="262">
      <c r="A262" s="13">
        <v>45356.0</v>
      </c>
      <c r="B262" s="14" t="s">
        <v>1345</v>
      </c>
      <c r="C262" s="15" t="s">
        <v>1411</v>
      </c>
      <c r="D262" s="16" t="s">
        <v>1614</v>
      </c>
      <c r="E262" s="17" t="s">
        <v>16</v>
      </c>
      <c r="F262" s="26"/>
      <c r="G262" s="18" t="b">
        <v>0</v>
      </c>
      <c r="H262" s="29" t="b">
        <v>0</v>
      </c>
    </row>
    <row r="263">
      <c r="A263" s="13">
        <v>45357.0</v>
      </c>
      <c r="B263" s="14" t="s">
        <v>18</v>
      </c>
      <c r="C263" s="15" t="s">
        <v>345</v>
      </c>
      <c r="D263" s="16" t="s">
        <v>132</v>
      </c>
      <c r="E263" s="17" t="s">
        <v>1615</v>
      </c>
      <c r="F263" s="26" t="s">
        <v>1616</v>
      </c>
      <c r="G263" s="18" t="b">
        <v>1</v>
      </c>
      <c r="H263" s="29" t="b">
        <v>0</v>
      </c>
    </row>
    <row r="264">
      <c r="A264" s="13">
        <v>45358.0</v>
      </c>
      <c r="B264" s="14" t="s">
        <v>26</v>
      </c>
      <c r="C264" s="15" t="s">
        <v>350</v>
      </c>
      <c r="D264" s="16" t="s">
        <v>1617</v>
      </c>
      <c r="E264" s="17"/>
      <c r="F264" s="26" t="s">
        <v>1618</v>
      </c>
      <c r="G264" s="18" t="b">
        <v>1</v>
      </c>
      <c r="H264" s="29" t="b">
        <v>0</v>
      </c>
    </row>
    <row r="265">
      <c r="A265" s="13">
        <v>45359.0</v>
      </c>
      <c r="B265" s="14" t="s">
        <v>59</v>
      </c>
      <c r="C265" s="15" t="s">
        <v>1376</v>
      </c>
      <c r="D265" s="16" t="s">
        <v>1619</v>
      </c>
      <c r="E265" s="17"/>
      <c r="F265" s="26"/>
      <c r="G265" s="18" t="b">
        <v>0</v>
      </c>
      <c r="H265" s="29" t="b">
        <v>0</v>
      </c>
    </row>
    <row r="266">
      <c r="A266" s="13">
        <v>45362.0</v>
      </c>
      <c r="B266" s="14" t="s">
        <v>18</v>
      </c>
      <c r="C266" s="15" t="s">
        <v>197</v>
      </c>
      <c r="D266" s="16" t="s">
        <v>369</v>
      </c>
      <c r="E266" s="17" t="s">
        <v>16</v>
      </c>
      <c r="F266" s="26" t="s">
        <v>1620</v>
      </c>
      <c r="G266" s="18" t="b">
        <v>1</v>
      </c>
      <c r="H266" s="29" t="b">
        <v>0</v>
      </c>
    </row>
    <row r="267">
      <c r="A267" s="13">
        <v>45362.0</v>
      </c>
      <c r="B267" s="14" t="s">
        <v>18</v>
      </c>
      <c r="C267" s="15" t="s">
        <v>76</v>
      </c>
      <c r="D267" s="16" t="s">
        <v>515</v>
      </c>
      <c r="E267" s="17" t="s">
        <v>16</v>
      </c>
      <c r="F267" s="26" t="s">
        <v>1610</v>
      </c>
      <c r="G267" s="18" t="b">
        <v>1</v>
      </c>
      <c r="H267" s="29" t="b">
        <v>0</v>
      </c>
    </row>
    <row r="268">
      <c r="A268" s="13">
        <v>45363.0</v>
      </c>
      <c r="B268" s="14" t="s">
        <v>18</v>
      </c>
      <c r="C268" s="15" t="s">
        <v>499</v>
      </c>
      <c r="D268" s="16" t="s">
        <v>1621</v>
      </c>
      <c r="E268" s="17" t="s">
        <v>16</v>
      </c>
      <c r="F268" s="26" t="s">
        <v>1622</v>
      </c>
      <c r="G268" s="18" t="b">
        <v>1</v>
      </c>
      <c r="H268" s="29" t="b">
        <v>0</v>
      </c>
    </row>
    <row r="269">
      <c r="A269" s="13">
        <v>45363.0</v>
      </c>
      <c r="B269" s="14" t="s">
        <v>1345</v>
      </c>
      <c r="C269" s="15" t="s">
        <v>1411</v>
      </c>
      <c r="D269" s="16" t="s">
        <v>1614</v>
      </c>
      <c r="E269" s="17" t="s">
        <v>16</v>
      </c>
      <c r="F269" s="26"/>
      <c r="G269" s="18" t="b">
        <v>0</v>
      </c>
      <c r="H269" s="29" t="b">
        <v>0</v>
      </c>
    </row>
    <row r="270">
      <c r="A270" s="13">
        <v>45365.0</v>
      </c>
      <c r="B270" s="14" t="s">
        <v>10</v>
      </c>
      <c r="C270" s="15" t="s">
        <v>630</v>
      </c>
      <c r="D270" s="16" t="s">
        <v>1623</v>
      </c>
      <c r="E270" s="17"/>
      <c r="F270" s="26"/>
      <c r="G270" s="18" t="b">
        <v>0</v>
      </c>
      <c r="H270" s="29" t="b">
        <v>0</v>
      </c>
    </row>
    <row r="271">
      <c r="A271" s="13">
        <v>45366.0</v>
      </c>
      <c r="B271" s="14" t="s">
        <v>59</v>
      </c>
      <c r="C271" s="15" t="s">
        <v>1376</v>
      </c>
      <c r="D271" s="16" t="s">
        <v>1619</v>
      </c>
      <c r="E271" s="17" t="s">
        <v>62</v>
      </c>
      <c r="F271" s="88"/>
      <c r="G271" s="29" t="b">
        <v>0</v>
      </c>
      <c r="H271" s="29" t="b">
        <v>0</v>
      </c>
    </row>
    <row r="272">
      <c r="A272" s="13">
        <v>45367.0</v>
      </c>
      <c r="B272" s="14" t="s">
        <v>18</v>
      </c>
      <c r="C272" s="15" t="s">
        <v>275</v>
      </c>
      <c r="D272" s="16" t="s">
        <v>1624</v>
      </c>
      <c r="E272" s="17" t="s">
        <v>16</v>
      </c>
      <c r="F272" s="26" t="s">
        <v>97</v>
      </c>
      <c r="G272" s="18" t="b">
        <v>0</v>
      </c>
      <c r="H272" s="29" t="b">
        <v>0</v>
      </c>
    </row>
    <row r="273">
      <c r="A273" s="13">
        <v>45369.0</v>
      </c>
      <c r="B273" s="14" t="s">
        <v>18</v>
      </c>
      <c r="C273" s="15" t="s">
        <v>47</v>
      </c>
      <c r="D273" s="16" t="s">
        <v>1625</v>
      </c>
      <c r="E273" s="17" t="s">
        <v>30</v>
      </c>
      <c r="F273" s="26"/>
      <c r="G273" s="29" t="b">
        <v>0</v>
      </c>
      <c r="H273" s="29" t="b">
        <v>0</v>
      </c>
    </row>
    <row r="274">
      <c r="A274" s="13">
        <v>45369.0</v>
      </c>
      <c r="B274" s="14" t="s">
        <v>18</v>
      </c>
      <c r="C274" s="15" t="s">
        <v>47</v>
      </c>
      <c r="D274" s="16" t="s">
        <v>1626</v>
      </c>
      <c r="E274" s="17" t="s">
        <v>131</v>
      </c>
      <c r="F274" s="26"/>
      <c r="G274" s="29" t="b">
        <v>0</v>
      </c>
      <c r="H274" s="29" t="b">
        <v>0</v>
      </c>
    </row>
    <row r="275">
      <c r="A275" s="13">
        <v>45369.0</v>
      </c>
      <c r="B275" s="14" t="s">
        <v>18</v>
      </c>
      <c r="C275" s="15" t="s">
        <v>47</v>
      </c>
      <c r="D275" s="16" t="s">
        <v>143</v>
      </c>
      <c r="E275" s="17" t="s">
        <v>110</v>
      </c>
      <c r="F275" s="26"/>
      <c r="G275" s="29" t="b">
        <v>0</v>
      </c>
      <c r="H275" s="29" t="b">
        <v>0</v>
      </c>
    </row>
    <row r="276">
      <c r="A276" s="13">
        <v>45371.0</v>
      </c>
      <c r="B276" s="14" t="s">
        <v>18</v>
      </c>
      <c r="C276" s="15" t="s">
        <v>189</v>
      </c>
      <c r="D276" s="16" t="s">
        <v>1627</v>
      </c>
      <c r="E276" s="17" t="s">
        <v>936</v>
      </c>
      <c r="F276" s="26" t="s">
        <v>1628</v>
      </c>
      <c r="G276" s="29" t="b">
        <v>0</v>
      </c>
      <c r="H276" s="29" t="b">
        <v>0</v>
      </c>
    </row>
    <row r="277">
      <c r="A277" s="13">
        <v>45372.0</v>
      </c>
      <c r="B277" s="14" t="s">
        <v>26</v>
      </c>
      <c r="C277" s="15" t="s">
        <v>54</v>
      </c>
      <c r="D277" s="16" t="s">
        <v>1629</v>
      </c>
      <c r="E277" s="17" t="s">
        <v>1630</v>
      </c>
      <c r="F277" s="26" t="s">
        <v>1631</v>
      </c>
      <c r="G277" s="29" t="b">
        <v>0</v>
      </c>
      <c r="H277" s="29" t="b">
        <v>0</v>
      </c>
    </row>
    <row r="278">
      <c r="A278" s="13">
        <v>45372.0</v>
      </c>
      <c r="B278" s="14" t="s">
        <v>26</v>
      </c>
      <c r="C278" s="15" t="s">
        <v>54</v>
      </c>
      <c r="D278" s="16" t="s">
        <v>1632</v>
      </c>
      <c r="E278" s="17" t="s">
        <v>1633</v>
      </c>
      <c r="F278" s="302" t="s">
        <v>1631</v>
      </c>
      <c r="G278" s="29" t="b">
        <v>0</v>
      </c>
      <c r="H278" s="29" t="b">
        <v>0</v>
      </c>
    </row>
    <row r="279">
      <c r="A279" s="13">
        <v>45372.0</v>
      </c>
      <c r="B279" s="14" t="s">
        <v>18</v>
      </c>
      <c r="C279" s="15" t="s">
        <v>1414</v>
      </c>
      <c r="D279" s="16" t="s">
        <v>1533</v>
      </c>
      <c r="E279" s="17" t="s">
        <v>1634</v>
      </c>
      <c r="F279" s="26" t="s">
        <v>1635</v>
      </c>
      <c r="G279" s="29" t="b">
        <v>0</v>
      </c>
      <c r="H279" s="29" t="b">
        <v>0</v>
      </c>
    </row>
    <row r="280">
      <c r="A280" s="13">
        <v>45373.0</v>
      </c>
      <c r="B280" s="14" t="s">
        <v>26</v>
      </c>
      <c r="C280" s="15" t="s">
        <v>11</v>
      </c>
      <c r="D280" s="16" t="s">
        <v>1636</v>
      </c>
      <c r="E280" s="17" t="s">
        <v>623</v>
      </c>
      <c r="F280" s="300"/>
      <c r="G280" s="29" t="b">
        <v>0</v>
      </c>
      <c r="H280" s="29" t="b">
        <v>0</v>
      </c>
    </row>
    <row r="281">
      <c r="A281" s="13">
        <v>45373.0</v>
      </c>
      <c r="B281" s="14" t="s">
        <v>10</v>
      </c>
      <c r="C281" s="15" t="s">
        <v>1376</v>
      </c>
      <c r="D281" s="16" t="s">
        <v>1637</v>
      </c>
      <c r="E281" s="17"/>
      <c r="F281" s="26" t="s">
        <v>62</v>
      </c>
      <c r="G281" s="29" t="b">
        <v>0</v>
      </c>
      <c r="H281" s="29" t="b">
        <v>0</v>
      </c>
    </row>
    <row r="282">
      <c r="A282" s="13">
        <v>45376.0</v>
      </c>
      <c r="B282" s="14" t="s">
        <v>18</v>
      </c>
      <c r="C282" s="15" t="s">
        <v>167</v>
      </c>
      <c r="D282" s="16" t="s">
        <v>1638</v>
      </c>
      <c r="E282" s="17" t="s">
        <v>1639</v>
      </c>
      <c r="F282" s="26" t="s">
        <v>170</v>
      </c>
      <c r="G282" s="29" t="b">
        <v>0</v>
      </c>
      <c r="H282" s="29" t="b">
        <v>0</v>
      </c>
    </row>
    <row r="283">
      <c r="A283" s="13">
        <v>45378.0</v>
      </c>
      <c r="B283" s="14" t="s">
        <v>26</v>
      </c>
      <c r="C283" s="15" t="s">
        <v>60</v>
      </c>
      <c r="D283" s="16" t="s">
        <v>1640</v>
      </c>
      <c r="E283" s="17" t="s">
        <v>65</v>
      </c>
      <c r="F283" s="26" t="s">
        <v>822</v>
      </c>
      <c r="G283" s="29" t="b">
        <v>1</v>
      </c>
      <c r="H283" s="29" t="b">
        <v>0</v>
      </c>
    </row>
    <row r="284">
      <c r="A284" s="13">
        <v>45379.0</v>
      </c>
      <c r="B284" s="14" t="s">
        <v>26</v>
      </c>
      <c r="C284" s="15" t="s">
        <v>630</v>
      </c>
      <c r="D284" s="16" t="s">
        <v>1623</v>
      </c>
      <c r="E284" s="17" t="s">
        <v>378</v>
      </c>
      <c r="F284" s="26" t="s">
        <v>1641</v>
      </c>
      <c r="G284" s="29" t="b">
        <v>1</v>
      </c>
      <c r="H284" s="29" t="b">
        <v>0</v>
      </c>
    </row>
    <row r="285">
      <c r="A285" s="13">
        <v>45379.0</v>
      </c>
      <c r="B285" s="14" t="s">
        <v>1345</v>
      </c>
      <c r="C285" s="15" t="s">
        <v>1418</v>
      </c>
      <c r="D285" s="16" t="s">
        <v>1642</v>
      </c>
      <c r="E285" s="17" t="s">
        <v>16</v>
      </c>
      <c r="F285" s="26" t="s">
        <v>1643</v>
      </c>
      <c r="G285" s="29" t="b">
        <v>0</v>
      </c>
      <c r="H285" s="29" t="b">
        <v>0</v>
      </c>
    </row>
    <row r="286">
      <c r="A286" s="37">
        <v>45380.0</v>
      </c>
      <c r="B286" s="38" t="s">
        <v>18</v>
      </c>
      <c r="C286" s="39" t="s">
        <v>60</v>
      </c>
      <c r="D286" s="40" t="s">
        <v>280</v>
      </c>
      <c r="E286" s="83" t="s">
        <v>16</v>
      </c>
      <c r="F286" s="88" t="s">
        <v>1644</v>
      </c>
      <c r="G286" s="29" t="b">
        <v>1</v>
      </c>
      <c r="H286" s="29" t="b">
        <v>0</v>
      </c>
    </row>
    <row r="287">
      <c r="A287" s="37">
        <v>45380.0</v>
      </c>
      <c r="B287" s="38" t="s">
        <v>18</v>
      </c>
      <c r="C287" s="39" t="s">
        <v>60</v>
      </c>
      <c r="D287" s="40" t="s">
        <v>1645</v>
      </c>
      <c r="E287" s="83" t="s">
        <v>151</v>
      </c>
      <c r="F287" s="88"/>
      <c r="G287" s="29" t="b">
        <v>1</v>
      </c>
      <c r="H287" s="29" t="b">
        <v>0</v>
      </c>
    </row>
    <row r="288">
      <c r="A288" s="37">
        <v>45380.0</v>
      </c>
      <c r="B288" s="38" t="s">
        <v>18</v>
      </c>
      <c r="C288" s="39" t="s">
        <v>60</v>
      </c>
      <c r="D288" s="40" t="s">
        <v>1646</v>
      </c>
      <c r="E288" s="83" t="s">
        <v>16</v>
      </c>
      <c r="F288" s="88" t="s">
        <v>1647</v>
      </c>
      <c r="G288" s="29" t="b">
        <v>1</v>
      </c>
      <c r="H288" s="29" t="b">
        <v>0</v>
      </c>
    </row>
    <row r="289">
      <c r="A289" s="37">
        <v>45380.0</v>
      </c>
      <c r="B289" s="38" t="s">
        <v>18</v>
      </c>
      <c r="C289" s="39" t="s">
        <v>60</v>
      </c>
      <c r="D289" s="40" t="s">
        <v>1648</v>
      </c>
      <c r="E289" s="83" t="s">
        <v>16</v>
      </c>
      <c r="F289" s="88" t="s">
        <v>1649</v>
      </c>
      <c r="G289" s="29" t="b">
        <v>1</v>
      </c>
      <c r="H289" s="29" t="b">
        <v>0</v>
      </c>
    </row>
    <row r="290">
      <c r="A290" s="13">
        <v>45380.0</v>
      </c>
      <c r="B290" s="14" t="s">
        <v>18</v>
      </c>
      <c r="C290" s="15" t="s">
        <v>60</v>
      </c>
      <c r="D290" s="16" t="s">
        <v>1650</v>
      </c>
      <c r="E290" s="17" t="s">
        <v>16</v>
      </c>
      <c r="F290" s="26" t="s">
        <v>627</v>
      </c>
      <c r="G290" s="29" t="b">
        <v>0</v>
      </c>
      <c r="H290" s="29" t="b">
        <v>0</v>
      </c>
    </row>
    <row r="291">
      <c r="A291" s="13">
        <v>45380.0</v>
      </c>
      <c r="B291" s="14" t="s">
        <v>18</v>
      </c>
      <c r="C291" s="15" t="s">
        <v>110</v>
      </c>
      <c r="D291" s="16" t="s">
        <v>1651</v>
      </c>
      <c r="E291" s="17" t="s">
        <v>14</v>
      </c>
      <c r="F291" s="26"/>
      <c r="G291" s="29" t="b">
        <v>0</v>
      </c>
      <c r="H291" s="29" t="b">
        <v>0</v>
      </c>
    </row>
    <row r="292">
      <c r="A292" s="13">
        <v>45384.0</v>
      </c>
      <c r="B292" s="14" t="s">
        <v>18</v>
      </c>
      <c r="C292" s="15" t="s">
        <v>63</v>
      </c>
      <c r="D292" s="16" t="s">
        <v>1652</v>
      </c>
      <c r="E292" s="17" t="s">
        <v>139</v>
      </c>
      <c r="F292" s="26"/>
      <c r="G292" s="18" t="b">
        <v>0</v>
      </c>
      <c r="H292" s="29" t="b">
        <v>0</v>
      </c>
    </row>
    <row r="293">
      <c r="A293" s="13">
        <v>45384.0</v>
      </c>
      <c r="B293" s="14" t="s">
        <v>59</v>
      </c>
      <c r="C293" s="15" t="s">
        <v>128</v>
      </c>
      <c r="D293" s="16" t="s">
        <v>1023</v>
      </c>
      <c r="E293" s="17" t="s">
        <v>16</v>
      </c>
      <c r="F293" s="26" t="s">
        <v>1609</v>
      </c>
      <c r="G293" s="18" t="b">
        <v>1</v>
      </c>
      <c r="H293" s="29" t="b">
        <v>0</v>
      </c>
    </row>
    <row r="294">
      <c r="A294" s="13">
        <v>45384.0</v>
      </c>
      <c r="B294" s="14" t="s">
        <v>18</v>
      </c>
      <c r="C294" s="15" t="s">
        <v>623</v>
      </c>
      <c r="D294" s="16" t="s">
        <v>129</v>
      </c>
      <c r="E294" s="17" t="s">
        <v>1500</v>
      </c>
      <c r="F294" s="26" t="s">
        <v>1501</v>
      </c>
      <c r="G294" s="18" t="b">
        <v>0</v>
      </c>
      <c r="H294" s="29" t="b">
        <v>0</v>
      </c>
    </row>
    <row r="295">
      <c r="A295" s="13">
        <v>45384.0</v>
      </c>
      <c r="B295" s="14" t="s">
        <v>18</v>
      </c>
      <c r="C295" s="15" t="s">
        <v>79</v>
      </c>
      <c r="D295" s="16" t="s">
        <v>1653</v>
      </c>
      <c r="E295" s="17" t="s">
        <v>16</v>
      </c>
      <c r="F295" s="26" t="s">
        <v>1654</v>
      </c>
      <c r="G295" s="18" t="b">
        <v>1</v>
      </c>
      <c r="H295" s="29" t="b">
        <v>0</v>
      </c>
    </row>
    <row r="296">
      <c r="A296" s="13">
        <v>45384.0</v>
      </c>
      <c r="B296" s="14" t="s">
        <v>18</v>
      </c>
      <c r="C296" s="15" t="s">
        <v>79</v>
      </c>
      <c r="D296" s="16" t="s">
        <v>1422</v>
      </c>
      <c r="E296" s="17" t="s">
        <v>259</v>
      </c>
      <c r="F296" s="26"/>
      <c r="G296" s="18" t="b">
        <v>0</v>
      </c>
      <c r="H296" s="29" t="b">
        <v>0</v>
      </c>
    </row>
    <row r="297">
      <c r="A297" s="13">
        <v>45384.0</v>
      </c>
      <c r="B297" s="14" t="s">
        <v>18</v>
      </c>
      <c r="C297" s="15" t="s">
        <v>80</v>
      </c>
      <c r="D297" s="16" t="s">
        <v>1655</v>
      </c>
      <c r="E297" s="17" t="s">
        <v>1656</v>
      </c>
      <c r="F297" s="26" t="s">
        <v>934</v>
      </c>
      <c r="G297" s="18" t="b">
        <v>0</v>
      </c>
      <c r="H297" s="29" t="b">
        <v>0</v>
      </c>
    </row>
    <row r="298">
      <c r="A298" s="13">
        <v>45384.0</v>
      </c>
      <c r="B298" s="14" t="s">
        <v>18</v>
      </c>
      <c r="C298" s="15" t="s">
        <v>386</v>
      </c>
      <c r="D298" s="16" t="s">
        <v>96</v>
      </c>
      <c r="E298" s="17" t="s">
        <v>16</v>
      </c>
      <c r="F298" s="26" t="s">
        <v>1657</v>
      </c>
      <c r="G298" s="18" t="b">
        <v>0</v>
      </c>
      <c r="H298" s="29" t="b">
        <v>0</v>
      </c>
    </row>
    <row r="299">
      <c r="A299" s="13">
        <v>45384.0</v>
      </c>
      <c r="B299" s="14" t="s">
        <v>18</v>
      </c>
      <c r="C299" s="15" t="s">
        <v>394</v>
      </c>
      <c r="D299" s="16" t="s">
        <v>1652</v>
      </c>
      <c r="E299" s="17" t="s">
        <v>139</v>
      </c>
      <c r="F299" s="26"/>
      <c r="G299" s="18" t="b">
        <v>0</v>
      </c>
      <c r="H299" s="29" t="b">
        <v>0</v>
      </c>
    </row>
    <row r="300">
      <c r="A300" s="13">
        <v>45385.0</v>
      </c>
      <c r="B300" s="14" t="s">
        <v>26</v>
      </c>
      <c r="C300" s="15" t="s">
        <v>84</v>
      </c>
      <c r="D300" s="16" t="s">
        <v>1658</v>
      </c>
      <c r="E300" s="17" t="s">
        <v>1659</v>
      </c>
      <c r="F300" s="26"/>
      <c r="G300" s="18" t="b">
        <v>0</v>
      </c>
      <c r="H300" s="29" t="b">
        <v>0</v>
      </c>
    </row>
    <row r="301">
      <c r="A301" s="13">
        <v>45385.0</v>
      </c>
      <c r="B301" s="14" t="s">
        <v>18</v>
      </c>
      <c r="C301" s="15" t="s">
        <v>386</v>
      </c>
      <c r="D301" s="16" t="s">
        <v>351</v>
      </c>
      <c r="E301" s="17" t="s">
        <v>16</v>
      </c>
      <c r="F301" s="26" t="s">
        <v>198</v>
      </c>
      <c r="G301" s="18" t="b">
        <v>0</v>
      </c>
      <c r="H301" s="29" t="b">
        <v>0</v>
      </c>
    </row>
    <row r="302">
      <c r="A302" s="13">
        <v>45385.0</v>
      </c>
      <c r="B302" s="14" t="s">
        <v>18</v>
      </c>
      <c r="C302" s="15" t="s">
        <v>1343</v>
      </c>
      <c r="D302" s="16" t="s">
        <v>1660</v>
      </c>
      <c r="E302" s="17" t="s">
        <v>76</v>
      </c>
      <c r="F302" s="26"/>
      <c r="G302" s="18" t="b">
        <v>0</v>
      </c>
      <c r="H302" s="29" t="b">
        <v>0</v>
      </c>
    </row>
    <row r="303">
      <c r="A303" s="13">
        <v>45386.0</v>
      </c>
      <c r="B303" s="14" t="s">
        <v>18</v>
      </c>
      <c r="C303" s="15" t="s">
        <v>386</v>
      </c>
      <c r="D303" s="16" t="s">
        <v>1514</v>
      </c>
      <c r="E303" s="17" t="s">
        <v>16</v>
      </c>
      <c r="F303" s="26" t="s">
        <v>1661</v>
      </c>
      <c r="G303" s="18" t="b">
        <v>0</v>
      </c>
      <c r="H303" s="29" t="b">
        <v>0</v>
      </c>
    </row>
    <row r="304">
      <c r="A304" s="13">
        <v>45386.0</v>
      </c>
      <c r="B304" s="14" t="s">
        <v>18</v>
      </c>
      <c r="C304" s="15" t="s">
        <v>386</v>
      </c>
      <c r="D304" s="16" t="s">
        <v>460</v>
      </c>
      <c r="E304" s="17" t="s">
        <v>65</v>
      </c>
      <c r="F304" s="26" t="s">
        <v>198</v>
      </c>
      <c r="G304" s="18" t="b">
        <v>0</v>
      </c>
      <c r="H304" s="29" t="b">
        <v>0</v>
      </c>
    </row>
    <row r="305">
      <c r="A305" s="13">
        <v>45386.0</v>
      </c>
      <c r="B305" s="14" t="s">
        <v>18</v>
      </c>
      <c r="C305" s="15" t="s">
        <v>1414</v>
      </c>
      <c r="D305" s="16" t="s">
        <v>1533</v>
      </c>
      <c r="E305" s="17" t="s">
        <v>378</v>
      </c>
      <c r="F305" s="26" t="s">
        <v>779</v>
      </c>
      <c r="G305" s="18" t="b">
        <v>1</v>
      </c>
      <c r="H305" s="29" t="b">
        <v>0</v>
      </c>
    </row>
    <row r="306">
      <c r="A306" s="13">
        <v>45386.0</v>
      </c>
      <c r="B306" s="14" t="s">
        <v>18</v>
      </c>
      <c r="C306" s="15" t="s">
        <v>33</v>
      </c>
      <c r="D306" s="16" t="s">
        <v>134</v>
      </c>
      <c r="E306" s="17" t="s">
        <v>16</v>
      </c>
      <c r="F306" s="26" t="s">
        <v>97</v>
      </c>
      <c r="G306" s="18" t="b">
        <v>0</v>
      </c>
      <c r="H306" s="29" t="b">
        <v>0</v>
      </c>
    </row>
    <row r="307">
      <c r="A307" s="13">
        <v>45387.0</v>
      </c>
      <c r="B307" s="14" t="s">
        <v>18</v>
      </c>
      <c r="C307" s="15" t="s">
        <v>19</v>
      </c>
      <c r="D307" s="16" t="s">
        <v>798</v>
      </c>
      <c r="E307" s="17" t="s">
        <v>16</v>
      </c>
      <c r="F307" s="26" t="s">
        <v>1662</v>
      </c>
      <c r="G307" s="18" t="b">
        <v>1</v>
      </c>
      <c r="H307" s="29" t="b">
        <v>0</v>
      </c>
    </row>
    <row r="308">
      <c r="A308" s="13">
        <v>45387.0</v>
      </c>
      <c r="B308" s="14" t="s">
        <v>18</v>
      </c>
      <c r="C308" s="15" t="s">
        <v>19</v>
      </c>
      <c r="D308" s="16" t="s">
        <v>801</v>
      </c>
      <c r="E308" s="17" t="s">
        <v>151</v>
      </c>
      <c r="F308" s="26"/>
      <c r="G308" s="18" t="b">
        <v>0</v>
      </c>
      <c r="H308" s="29" t="b">
        <v>0</v>
      </c>
    </row>
    <row r="309">
      <c r="A309" s="13">
        <v>45388.0</v>
      </c>
      <c r="B309" s="14" t="s">
        <v>10</v>
      </c>
      <c r="C309" s="15" t="s">
        <v>202</v>
      </c>
      <c r="D309" s="16" t="s">
        <v>1663</v>
      </c>
      <c r="E309" s="17"/>
      <c r="F309" s="26" t="s">
        <v>1664</v>
      </c>
      <c r="G309" s="18" t="b">
        <v>0</v>
      </c>
      <c r="H309" s="29" t="b">
        <v>0</v>
      </c>
    </row>
    <row r="310">
      <c r="A310" s="13">
        <v>45388.0</v>
      </c>
      <c r="B310" s="14" t="s">
        <v>18</v>
      </c>
      <c r="C310" s="15" t="s">
        <v>1376</v>
      </c>
      <c r="D310" s="16" t="s">
        <v>508</v>
      </c>
      <c r="E310" s="135" t="s">
        <v>16</v>
      </c>
      <c r="F310" s="300" t="s">
        <v>97</v>
      </c>
      <c r="G310" s="18" t="b">
        <v>0</v>
      </c>
      <c r="H310" s="29" t="b">
        <v>0</v>
      </c>
    </row>
    <row r="311">
      <c r="A311" s="13">
        <v>45388.0</v>
      </c>
      <c r="B311" s="14" t="s">
        <v>18</v>
      </c>
      <c r="C311" s="15" t="s">
        <v>110</v>
      </c>
      <c r="D311" s="16" t="s">
        <v>366</v>
      </c>
      <c r="E311" s="135" t="s">
        <v>30</v>
      </c>
      <c r="F311" s="300"/>
      <c r="G311" s="18" t="b">
        <v>0</v>
      </c>
      <c r="H311" s="29" t="b">
        <v>0</v>
      </c>
    </row>
    <row r="312">
      <c r="A312" s="13">
        <v>45390.0</v>
      </c>
      <c r="B312" s="14" t="s">
        <v>18</v>
      </c>
      <c r="C312" s="15" t="s">
        <v>394</v>
      </c>
      <c r="D312" s="16" t="s">
        <v>1665</v>
      </c>
      <c r="E312" s="303"/>
      <c r="F312" s="304"/>
      <c r="G312" s="18" t="b">
        <v>0</v>
      </c>
      <c r="H312" s="29" t="b">
        <v>0</v>
      </c>
    </row>
    <row r="313">
      <c r="A313" s="13">
        <v>45390.0</v>
      </c>
      <c r="B313" s="14" t="s">
        <v>18</v>
      </c>
      <c r="C313" s="15" t="s">
        <v>33</v>
      </c>
      <c r="D313" s="16" t="s">
        <v>960</v>
      </c>
      <c r="E313" s="303" t="s">
        <v>16</v>
      </c>
      <c r="F313" s="303" t="s">
        <v>1666</v>
      </c>
      <c r="G313" s="18" t="b">
        <v>1</v>
      </c>
      <c r="H313" s="29" t="b">
        <v>0</v>
      </c>
    </row>
    <row r="314">
      <c r="A314" s="305">
        <v>45390.0</v>
      </c>
      <c r="B314" s="306"/>
      <c r="C314" s="307"/>
      <c r="D314" s="308"/>
      <c r="E314" s="309"/>
      <c r="F314" s="300" t="s">
        <v>1667</v>
      </c>
      <c r="G314" s="18" t="b">
        <v>0</v>
      </c>
      <c r="H314" s="29" t="b">
        <v>0</v>
      </c>
    </row>
    <row r="315">
      <c r="A315" s="13">
        <v>45391.0</v>
      </c>
      <c r="B315" s="14" t="s">
        <v>18</v>
      </c>
      <c r="C315" s="15" t="s">
        <v>80</v>
      </c>
      <c r="D315" s="16" t="s">
        <v>129</v>
      </c>
      <c r="E315" s="303" t="s">
        <v>85</v>
      </c>
      <c r="F315" s="304"/>
      <c r="G315" s="18" t="b">
        <v>0</v>
      </c>
      <c r="H315" s="29" t="b">
        <v>0</v>
      </c>
    </row>
    <row r="316">
      <c r="A316" s="13">
        <v>45391.0</v>
      </c>
      <c r="B316" s="14" t="s">
        <v>18</v>
      </c>
      <c r="C316" s="15" t="s">
        <v>394</v>
      </c>
      <c r="D316" s="16" t="s">
        <v>96</v>
      </c>
      <c r="E316" s="303" t="s">
        <v>197</v>
      </c>
      <c r="F316" s="304"/>
      <c r="G316" s="18" t="b">
        <v>0</v>
      </c>
      <c r="H316" s="29" t="b">
        <v>0</v>
      </c>
    </row>
    <row r="317">
      <c r="A317" s="13">
        <v>45392.0</v>
      </c>
      <c r="B317" s="14" t="s">
        <v>26</v>
      </c>
      <c r="C317" s="15" t="s">
        <v>84</v>
      </c>
      <c r="D317" s="16" t="s">
        <v>1658</v>
      </c>
      <c r="E317" s="135" t="s">
        <v>1668</v>
      </c>
      <c r="F317" s="300"/>
      <c r="G317" s="18" t="b">
        <v>0</v>
      </c>
      <c r="H317" s="29" t="b">
        <v>0</v>
      </c>
    </row>
    <row r="318">
      <c r="A318" s="13">
        <v>45393.0</v>
      </c>
      <c r="B318" s="14" t="s">
        <v>18</v>
      </c>
      <c r="C318" s="15" t="s">
        <v>60</v>
      </c>
      <c r="D318" s="16" t="s">
        <v>1669</v>
      </c>
      <c r="E318" s="303" t="s">
        <v>16</v>
      </c>
      <c r="F318" s="303" t="s">
        <v>1670</v>
      </c>
      <c r="G318" s="18" t="b">
        <v>1</v>
      </c>
      <c r="H318" s="29" t="b">
        <v>0</v>
      </c>
    </row>
    <row r="319">
      <c r="A319" s="13">
        <v>45393.0</v>
      </c>
      <c r="B319" s="14" t="s">
        <v>18</v>
      </c>
      <c r="C319" s="15" t="s">
        <v>1414</v>
      </c>
      <c r="D319" s="16" t="s">
        <v>1533</v>
      </c>
      <c r="E319" s="310" t="s">
        <v>1634</v>
      </c>
      <c r="F319" s="310" t="s">
        <v>1635</v>
      </c>
      <c r="G319" s="18" t="b">
        <v>0</v>
      </c>
      <c r="H319" s="29" t="b">
        <v>0</v>
      </c>
    </row>
    <row r="320">
      <c r="A320" s="13">
        <v>45393.0</v>
      </c>
      <c r="B320" s="14" t="s">
        <v>18</v>
      </c>
      <c r="C320" s="15" t="s">
        <v>630</v>
      </c>
      <c r="D320" s="16" t="s">
        <v>240</v>
      </c>
      <c r="E320" s="303" t="s">
        <v>1671</v>
      </c>
      <c r="F320" s="303" t="s">
        <v>1672</v>
      </c>
      <c r="G320" s="18" t="b">
        <v>0</v>
      </c>
      <c r="H320" s="29" t="b">
        <v>0</v>
      </c>
    </row>
    <row r="321">
      <c r="A321" s="13">
        <v>45397.0</v>
      </c>
      <c r="B321" s="14" t="s">
        <v>59</v>
      </c>
      <c r="C321" s="15" t="s">
        <v>84</v>
      </c>
      <c r="D321" s="16" t="s">
        <v>1673</v>
      </c>
      <c r="E321" s="303" t="s">
        <v>1674</v>
      </c>
      <c r="F321" s="303" t="s">
        <v>1675</v>
      </c>
      <c r="G321" s="29" t="b">
        <v>0</v>
      </c>
      <c r="H321" s="29" t="b">
        <v>0</v>
      </c>
    </row>
    <row r="322">
      <c r="A322" s="13">
        <v>45397.0</v>
      </c>
      <c r="B322" s="14" t="s">
        <v>18</v>
      </c>
      <c r="C322" s="15" t="s">
        <v>60</v>
      </c>
      <c r="D322" s="16" t="s">
        <v>88</v>
      </c>
      <c r="E322" s="303" t="s">
        <v>19</v>
      </c>
      <c r="F322" s="310"/>
      <c r="G322" s="29" t="b">
        <v>0</v>
      </c>
      <c r="H322" s="29" t="b">
        <v>0</v>
      </c>
    </row>
    <row r="323">
      <c r="A323" s="13">
        <v>45398.0</v>
      </c>
      <c r="B323" s="14" t="s">
        <v>18</v>
      </c>
      <c r="C323" s="15" t="s">
        <v>167</v>
      </c>
      <c r="D323" s="16" t="s">
        <v>129</v>
      </c>
      <c r="E323" s="303" t="s">
        <v>84</v>
      </c>
      <c r="F323" s="310"/>
      <c r="G323" s="29" t="b">
        <v>0</v>
      </c>
      <c r="H323" s="29" t="b">
        <v>0</v>
      </c>
    </row>
    <row r="324">
      <c r="A324" s="13">
        <v>45398.0</v>
      </c>
      <c r="B324" s="14" t="s">
        <v>26</v>
      </c>
      <c r="C324" s="15" t="s">
        <v>1436</v>
      </c>
      <c r="D324" s="16" t="s">
        <v>1676</v>
      </c>
      <c r="E324" s="303"/>
      <c r="F324" s="303" t="s">
        <v>1677</v>
      </c>
      <c r="G324" s="29" t="b">
        <v>0</v>
      </c>
      <c r="H324" s="29" t="b">
        <v>0</v>
      </c>
    </row>
    <row r="325" ht="19.5" customHeight="1">
      <c r="A325" s="13">
        <v>45399.0</v>
      </c>
      <c r="B325" s="14" t="s">
        <v>26</v>
      </c>
      <c r="C325" s="15" t="s">
        <v>645</v>
      </c>
      <c r="D325" s="16" t="s">
        <v>1678</v>
      </c>
      <c r="E325" s="135" t="s">
        <v>1436</v>
      </c>
      <c r="F325" s="300"/>
      <c r="G325" s="29" t="b">
        <v>0</v>
      </c>
      <c r="H325" s="29" t="b">
        <v>0</v>
      </c>
    </row>
    <row r="326" ht="19.5" customHeight="1">
      <c r="A326" s="13">
        <v>45399.0</v>
      </c>
      <c r="B326" s="14" t="s">
        <v>18</v>
      </c>
      <c r="C326" s="15" t="s">
        <v>60</v>
      </c>
      <c r="D326" s="16" t="s">
        <v>1679</v>
      </c>
      <c r="E326" s="135" t="s">
        <v>47</v>
      </c>
      <c r="F326" s="300"/>
      <c r="G326" s="29" t="b">
        <v>0</v>
      </c>
      <c r="H326" s="29" t="b">
        <v>0</v>
      </c>
    </row>
    <row r="327" ht="19.5" customHeight="1">
      <c r="A327" s="13">
        <v>45399.0</v>
      </c>
      <c r="B327" s="14" t="s">
        <v>59</v>
      </c>
      <c r="C327" s="15" t="s">
        <v>60</v>
      </c>
      <c r="D327" s="16" t="s">
        <v>1680</v>
      </c>
      <c r="E327" s="17"/>
      <c r="F327" s="26" t="s">
        <v>1681</v>
      </c>
      <c r="G327" s="29" t="b">
        <v>1</v>
      </c>
      <c r="H327" s="29" t="b">
        <v>0</v>
      </c>
    </row>
    <row r="328">
      <c r="A328" s="13">
        <v>45399.0</v>
      </c>
      <c r="B328" s="14" t="s">
        <v>59</v>
      </c>
      <c r="C328" s="15" t="s">
        <v>60</v>
      </c>
      <c r="D328" s="16" t="s">
        <v>1682</v>
      </c>
      <c r="E328" s="17"/>
      <c r="F328" s="26" t="s">
        <v>1683</v>
      </c>
      <c r="G328" s="29" t="b">
        <v>1</v>
      </c>
      <c r="H328" s="29" t="b">
        <v>0</v>
      </c>
    </row>
    <row r="329">
      <c r="A329" s="13">
        <v>45399.0</v>
      </c>
      <c r="B329" s="14" t="s">
        <v>18</v>
      </c>
      <c r="C329" s="15" t="s">
        <v>14</v>
      </c>
      <c r="D329" s="16" t="s">
        <v>45</v>
      </c>
      <c r="E329" s="17" t="s">
        <v>47</v>
      </c>
      <c r="F329" s="26"/>
      <c r="G329" s="29" t="b">
        <v>0</v>
      </c>
      <c r="H329" s="29" t="b">
        <v>0</v>
      </c>
    </row>
    <row r="330">
      <c r="A330" s="13">
        <v>45399.0</v>
      </c>
      <c r="B330" s="14" t="s">
        <v>18</v>
      </c>
      <c r="C330" s="15" t="s">
        <v>204</v>
      </c>
      <c r="D330" s="16" t="s">
        <v>1684</v>
      </c>
      <c r="E330" s="135" t="s">
        <v>1685</v>
      </c>
      <c r="F330" s="300" t="s">
        <v>1686</v>
      </c>
      <c r="G330" s="29" t="b">
        <v>0</v>
      </c>
      <c r="H330" s="29" t="b">
        <v>0</v>
      </c>
    </row>
    <row r="331">
      <c r="A331" s="13">
        <v>45399.0</v>
      </c>
      <c r="B331" s="14" t="s">
        <v>18</v>
      </c>
      <c r="C331" s="15" t="s">
        <v>125</v>
      </c>
      <c r="D331" s="16" t="s">
        <v>1687</v>
      </c>
      <c r="E331" s="135" t="s">
        <v>47</v>
      </c>
      <c r="F331" s="300"/>
      <c r="G331" s="29" t="b">
        <v>0</v>
      </c>
      <c r="H331" s="29" t="b">
        <v>0</v>
      </c>
    </row>
    <row r="332">
      <c r="A332" s="13">
        <v>45399.0</v>
      </c>
      <c r="B332" s="14" t="s">
        <v>18</v>
      </c>
      <c r="C332" s="15" t="s">
        <v>1343</v>
      </c>
      <c r="D332" s="16" t="s">
        <v>1688</v>
      </c>
      <c r="E332" s="135" t="s">
        <v>76</v>
      </c>
      <c r="F332" s="300"/>
      <c r="G332" s="29" t="b">
        <v>0</v>
      </c>
      <c r="H332" s="29" t="b">
        <v>0</v>
      </c>
    </row>
    <row r="333">
      <c r="A333" s="13">
        <v>45400.0</v>
      </c>
      <c r="B333" s="14" t="s">
        <v>59</v>
      </c>
      <c r="C333" s="21" t="s">
        <v>60</v>
      </c>
      <c r="D333" s="16" t="s">
        <v>1689</v>
      </c>
      <c r="E333" s="135" t="s">
        <v>151</v>
      </c>
      <c r="F333" s="300"/>
      <c r="G333" s="270" t="b">
        <v>0</v>
      </c>
      <c r="H333" s="270" t="b">
        <v>0</v>
      </c>
    </row>
    <row r="334">
      <c r="A334" s="13">
        <v>45400.0</v>
      </c>
      <c r="B334" s="14" t="s">
        <v>59</v>
      </c>
      <c r="C334" s="21" t="s">
        <v>60</v>
      </c>
      <c r="D334" s="16" t="s">
        <v>1690</v>
      </c>
      <c r="E334" s="135" t="s">
        <v>47</v>
      </c>
      <c r="F334" s="300"/>
      <c r="G334" s="270" t="b">
        <v>0</v>
      </c>
      <c r="H334" s="270" t="b">
        <v>0</v>
      </c>
    </row>
    <row r="335">
      <c r="A335" s="13">
        <v>45400.0</v>
      </c>
      <c r="B335" s="14" t="s">
        <v>59</v>
      </c>
      <c r="C335" s="21" t="s">
        <v>60</v>
      </c>
      <c r="D335" s="16" t="s">
        <v>1691</v>
      </c>
      <c r="E335" s="135"/>
      <c r="F335" s="300" t="s">
        <v>1692</v>
      </c>
      <c r="G335" s="29" t="b">
        <v>1</v>
      </c>
      <c r="H335" s="270" t="b">
        <v>0</v>
      </c>
    </row>
    <row r="336">
      <c r="A336" s="13">
        <v>45400.0</v>
      </c>
      <c r="B336" s="14" t="s">
        <v>59</v>
      </c>
      <c r="C336" s="21" t="s">
        <v>60</v>
      </c>
      <c r="D336" s="16" t="s">
        <v>1693</v>
      </c>
      <c r="E336" s="135"/>
      <c r="F336" s="300" t="s">
        <v>1694</v>
      </c>
      <c r="G336" s="29" t="b">
        <v>1</v>
      </c>
      <c r="H336" s="270" t="b">
        <v>0</v>
      </c>
    </row>
    <row r="337">
      <c r="A337" s="13">
        <v>45400.0</v>
      </c>
      <c r="B337" s="14" t="s">
        <v>59</v>
      </c>
      <c r="C337" s="21" t="s">
        <v>60</v>
      </c>
      <c r="D337" s="16" t="s">
        <v>1695</v>
      </c>
      <c r="E337" s="135" t="s">
        <v>47</v>
      </c>
      <c r="F337" s="300"/>
      <c r="G337" s="270" t="b">
        <v>0</v>
      </c>
      <c r="H337" s="270" t="b">
        <v>0</v>
      </c>
    </row>
    <row r="338">
      <c r="A338" s="13">
        <v>45400.0</v>
      </c>
      <c r="B338" s="14" t="s">
        <v>59</v>
      </c>
      <c r="C338" s="21" t="s">
        <v>60</v>
      </c>
      <c r="D338" s="16" t="s">
        <v>1696</v>
      </c>
      <c r="E338" s="135"/>
      <c r="F338" s="300" t="s">
        <v>1694</v>
      </c>
      <c r="G338" s="29" t="b">
        <v>1</v>
      </c>
      <c r="H338" s="270" t="b">
        <v>0</v>
      </c>
    </row>
    <row r="339">
      <c r="A339" s="13">
        <v>45400.0</v>
      </c>
      <c r="B339" s="14" t="s">
        <v>59</v>
      </c>
      <c r="C339" s="21" t="s">
        <v>60</v>
      </c>
      <c r="D339" s="16" t="s">
        <v>1697</v>
      </c>
      <c r="E339" s="135"/>
      <c r="F339" s="300" t="s">
        <v>1698</v>
      </c>
      <c r="G339" s="29" t="b">
        <v>1</v>
      </c>
      <c r="H339" s="270" t="b">
        <v>0</v>
      </c>
    </row>
    <row r="340">
      <c r="A340" s="13">
        <v>45400.0</v>
      </c>
      <c r="B340" s="14" t="s">
        <v>18</v>
      </c>
      <c r="C340" s="15" t="s">
        <v>125</v>
      </c>
      <c r="D340" s="16" t="s">
        <v>1699</v>
      </c>
      <c r="E340" s="135"/>
      <c r="F340" s="300" t="s">
        <v>1692</v>
      </c>
      <c r="G340" s="29" t="b">
        <v>0</v>
      </c>
      <c r="H340" s="29" t="b">
        <v>0</v>
      </c>
    </row>
    <row r="341">
      <c r="A341" s="13">
        <v>45400.0</v>
      </c>
      <c r="B341" s="14" t="s">
        <v>18</v>
      </c>
      <c r="C341" s="15" t="s">
        <v>19</v>
      </c>
      <c r="D341" s="16" t="s">
        <v>1700</v>
      </c>
      <c r="E341" s="310"/>
      <c r="F341" s="303" t="s">
        <v>1701</v>
      </c>
      <c r="G341" s="29" t="b">
        <v>0</v>
      </c>
      <c r="H341" s="29" t="b">
        <v>0</v>
      </c>
    </row>
    <row r="342">
      <c r="A342" s="13">
        <v>45400.0</v>
      </c>
      <c r="B342" s="14" t="s">
        <v>18</v>
      </c>
      <c r="C342" s="15" t="s">
        <v>19</v>
      </c>
      <c r="D342" s="16" t="s">
        <v>269</v>
      </c>
      <c r="E342" s="303" t="s">
        <v>16</v>
      </c>
      <c r="F342" s="303" t="s">
        <v>1702</v>
      </c>
      <c r="G342" s="29" t="b">
        <v>0</v>
      </c>
      <c r="H342" s="29" t="b">
        <v>0</v>
      </c>
    </row>
    <row r="343">
      <c r="A343" s="13">
        <v>45400.0</v>
      </c>
      <c r="B343" s="14" t="s">
        <v>18</v>
      </c>
      <c r="C343" s="15" t="s">
        <v>19</v>
      </c>
      <c r="D343" s="16" t="s">
        <v>1703</v>
      </c>
      <c r="E343" s="303"/>
      <c r="F343" s="303" t="s">
        <v>1704</v>
      </c>
      <c r="G343" s="29" t="b">
        <v>0</v>
      </c>
      <c r="H343" s="29" t="b">
        <v>0</v>
      </c>
    </row>
    <row r="344">
      <c r="A344" s="13">
        <v>45400.0</v>
      </c>
      <c r="B344" s="14" t="s">
        <v>18</v>
      </c>
      <c r="C344" s="15" t="s">
        <v>1414</v>
      </c>
      <c r="D344" s="16" t="s">
        <v>1533</v>
      </c>
      <c r="E344" s="310"/>
      <c r="F344" s="303" t="s">
        <v>1705</v>
      </c>
      <c r="G344" s="29" t="b">
        <v>0</v>
      </c>
      <c r="H344" s="29" t="b">
        <v>0</v>
      </c>
    </row>
    <row r="345">
      <c r="A345" s="13">
        <v>45401.0</v>
      </c>
      <c r="B345" s="14" t="s">
        <v>59</v>
      </c>
      <c r="C345" s="15" t="s">
        <v>60</v>
      </c>
      <c r="D345" s="16" t="s">
        <v>1706</v>
      </c>
      <c r="E345" s="310"/>
      <c r="F345" s="303" t="s">
        <v>1707</v>
      </c>
      <c r="G345" s="29" t="b">
        <v>0</v>
      </c>
      <c r="H345" s="29" t="b">
        <v>0</v>
      </c>
    </row>
    <row r="346">
      <c r="A346" s="13">
        <v>45401.0</v>
      </c>
      <c r="B346" s="14" t="s">
        <v>59</v>
      </c>
      <c r="C346" s="15" t="s">
        <v>60</v>
      </c>
      <c r="D346" s="16" t="s">
        <v>1708</v>
      </c>
      <c r="E346" s="310"/>
      <c r="F346" s="303" t="s">
        <v>1709</v>
      </c>
      <c r="G346" s="29" t="b">
        <v>0</v>
      </c>
      <c r="H346" s="29" t="b">
        <v>0</v>
      </c>
    </row>
    <row r="347">
      <c r="A347" s="13">
        <v>45401.0</v>
      </c>
      <c r="B347" s="14" t="s">
        <v>59</v>
      </c>
      <c r="C347" s="15" t="s">
        <v>60</v>
      </c>
      <c r="D347" s="16" t="s">
        <v>1710</v>
      </c>
      <c r="E347" s="310"/>
      <c r="F347" s="303" t="s">
        <v>895</v>
      </c>
      <c r="G347" s="29" t="b">
        <v>1</v>
      </c>
      <c r="H347" s="29" t="b">
        <v>0</v>
      </c>
    </row>
    <row r="348">
      <c r="A348" s="13">
        <v>45401.0</v>
      </c>
      <c r="B348" s="14" t="s">
        <v>59</v>
      </c>
      <c r="C348" s="15" t="s">
        <v>60</v>
      </c>
      <c r="D348" s="16" t="s">
        <v>1711</v>
      </c>
      <c r="E348" s="303" t="s">
        <v>394</v>
      </c>
      <c r="F348" s="310"/>
      <c r="G348" s="29" t="b">
        <v>0</v>
      </c>
      <c r="H348" s="29" t="b">
        <v>0</v>
      </c>
    </row>
    <row r="349">
      <c r="A349" s="13">
        <v>45401.0</v>
      </c>
      <c r="B349" s="14" t="s">
        <v>10</v>
      </c>
      <c r="C349" s="15" t="s">
        <v>49</v>
      </c>
      <c r="D349" s="16" t="s">
        <v>1712</v>
      </c>
      <c r="E349" s="135"/>
      <c r="F349" s="300"/>
      <c r="G349" s="29" t="b">
        <v>0</v>
      </c>
      <c r="H349" s="29" t="b">
        <v>0</v>
      </c>
    </row>
    <row r="350">
      <c r="A350" s="13">
        <v>45401.0</v>
      </c>
      <c r="B350" s="14" t="s">
        <v>10</v>
      </c>
      <c r="C350" s="15" t="s">
        <v>110</v>
      </c>
      <c r="D350" s="16" t="s">
        <v>1713</v>
      </c>
      <c r="E350" s="135"/>
      <c r="F350" s="300"/>
      <c r="G350" s="29" t="b">
        <v>0</v>
      </c>
      <c r="H350" s="29" t="b">
        <v>0</v>
      </c>
    </row>
    <row r="351">
      <c r="A351" s="13">
        <v>45402.0</v>
      </c>
      <c r="B351" s="14" t="s">
        <v>18</v>
      </c>
      <c r="C351" s="15" t="s">
        <v>60</v>
      </c>
      <c r="D351" s="16" t="s">
        <v>1714</v>
      </c>
      <c r="E351" s="17" t="s">
        <v>151</v>
      </c>
      <c r="F351" s="26"/>
      <c r="G351" s="29" t="b">
        <v>0</v>
      </c>
      <c r="H351" s="29" t="b">
        <v>0</v>
      </c>
    </row>
    <row r="352">
      <c r="A352" s="13">
        <v>45402.0</v>
      </c>
      <c r="B352" s="14" t="s">
        <v>18</v>
      </c>
      <c r="C352" s="15" t="s">
        <v>60</v>
      </c>
      <c r="D352" s="16" t="s">
        <v>1715</v>
      </c>
      <c r="E352" s="17"/>
      <c r="F352" s="26" t="s">
        <v>1716</v>
      </c>
      <c r="G352" s="29" t="b">
        <v>0</v>
      </c>
      <c r="H352" s="29" t="b">
        <v>0</v>
      </c>
    </row>
    <row r="353">
      <c r="A353" s="13">
        <v>45402.0</v>
      </c>
      <c r="B353" s="14" t="s">
        <v>18</v>
      </c>
      <c r="C353" s="15" t="s">
        <v>60</v>
      </c>
      <c r="D353" s="16" t="s">
        <v>1717</v>
      </c>
      <c r="E353" s="17" t="s">
        <v>394</v>
      </c>
      <c r="F353" s="26"/>
      <c r="G353" s="29" t="b">
        <v>0</v>
      </c>
      <c r="H353" s="29" t="b">
        <v>0</v>
      </c>
    </row>
    <row r="354">
      <c r="A354" s="13">
        <v>45402.0</v>
      </c>
      <c r="B354" s="14" t="s">
        <v>18</v>
      </c>
      <c r="C354" s="15" t="s">
        <v>60</v>
      </c>
      <c r="D354" s="133" t="s">
        <v>1718</v>
      </c>
      <c r="E354" s="17" t="s">
        <v>394</v>
      </c>
      <c r="F354" s="26"/>
      <c r="G354" s="29" t="b">
        <v>0</v>
      </c>
      <c r="H354" s="29" t="b">
        <v>0</v>
      </c>
    </row>
    <row r="355">
      <c r="A355" s="13">
        <v>45402.0</v>
      </c>
      <c r="B355" s="14" t="s">
        <v>18</v>
      </c>
      <c r="C355" s="15" t="s">
        <v>60</v>
      </c>
      <c r="D355" s="133" t="s">
        <v>313</v>
      </c>
      <c r="E355" s="17" t="s">
        <v>151</v>
      </c>
      <c r="F355" s="26"/>
      <c r="G355" s="29" t="b">
        <v>0</v>
      </c>
      <c r="H355" s="29" t="b">
        <v>0</v>
      </c>
    </row>
    <row r="356">
      <c r="A356" s="13">
        <v>45402.0</v>
      </c>
      <c r="B356" s="14" t="s">
        <v>18</v>
      </c>
      <c r="C356" s="15" t="s">
        <v>60</v>
      </c>
      <c r="D356" s="133" t="s">
        <v>1719</v>
      </c>
      <c r="E356" s="17" t="s">
        <v>110</v>
      </c>
      <c r="F356" s="26"/>
      <c r="G356" s="29" t="b">
        <v>0</v>
      </c>
      <c r="H356" s="29" t="b">
        <v>0</v>
      </c>
    </row>
    <row r="357">
      <c r="A357" s="13">
        <v>45402.0</v>
      </c>
      <c r="B357" s="14" t="s">
        <v>26</v>
      </c>
      <c r="C357" s="15" t="s">
        <v>202</v>
      </c>
      <c r="D357" s="133" t="s">
        <v>1720</v>
      </c>
      <c r="E357" s="17" t="s">
        <v>1356</v>
      </c>
      <c r="F357" s="26"/>
      <c r="G357" s="29" t="b">
        <v>0</v>
      </c>
      <c r="H357" s="29" t="b">
        <v>0</v>
      </c>
    </row>
    <row r="358">
      <c r="A358" s="13">
        <v>45402.0</v>
      </c>
      <c r="B358" s="14" t="s">
        <v>26</v>
      </c>
      <c r="C358" s="15" t="s">
        <v>1376</v>
      </c>
      <c r="D358" s="133" t="s">
        <v>1721</v>
      </c>
      <c r="E358" s="17"/>
      <c r="F358" s="26" t="s">
        <v>694</v>
      </c>
      <c r="G358" s="29" t="b">
        <v>0</v>
      </c>
      <c r="H358" s="29" t="b">
        <v>0</v>
      </c>
    </row>
    <row r="359">
      <c r="A359" s="13">
        <v>45404.0</v>
      </c>
      <c r="B359" s="8" t="s">
        <v>18</v>
      </c>
      <c r="C359" s="15" t="s">
        <v>1550</v>
      </c>
      <c r="D359" s="133" t="s">
        <v>1722</v>
      </c>
      <c r="E359" s="17" t="s">
        <v>197</v>
      </c>
      <c r="F359" s="26"/>
      <c r="G359" s="29" t="b">
        <v>0</v>
      </c>
      <c r="H359" s="29" t="b">
        <v>0</v>
      </c>
    </row>
    <row r="360">
      <c r="A360" s="13">
        <v>45404.0</v>
      </c>
      <c r="B360" s="8" t="s">
        <v>18</v>
      </c>
      <c r="C360" s="15" t="s">
        <v>1550</v>
      </c>
      <c r="D360" s="133" t="s">
        <v>1723</v>
      </c>
      <c r="E360" s="17" t="s">
        <v>1724</v>
      </c>
      <c r="F360" s="26" t="s">
        <v>1725</v>
      </c>
      <c r="G360" s="29" t="b">
        <v>0</v>
      </c>
      <c r="H360" s="29" t="b">
        <v>0</v>
      </c>
    </row>
    <row r="361">
      <c r="A361" s="13">
        <v>45405.0</v>
      </c>
      <c r="B361" s="14" t="s">
        <v>59</v>
      </c>
      <c r="C361" s="15" t="s">
        <v>499</v>
      </c>
      <c r="D361" s="133" t="s">
        <v>1726</v>
      </c>
      <c r="E361" s="17"/>
      <c r="F361" s="26" t="s">
        <v>1727</v>
      </c>
      <c r="G361" s="29" t="b">
        <v>1</v>
      </c>
      <c r="H361" s="29" t="b">
        <v>0</v>
      </c>
    </row>
    <row r="362">
      <c r="A362" s="13">
        <v>45406.0</v>
      </c>
      <c r="B362" s="14" t="s">
        <v>59</v>
      </c>
      <c r="C362" s="15" t="s">
        <v>1556</v>
      </c>
      <c r="D362" s="133" t="s">
        <v>1728</v>
      </c>
      <c r="E362" s="17"/>
      <c r="F362" s="26"/>
      <c r="G362" s="32" t="b">
        <v>0</v>
      </c>
      <c r="H362" s="32" t="b">
        <v>0</v>
      </c>
    </row>
    <row r="363">
      <c r="A363" s="13">
        <v>45406.0</v>
      </c>
      <c r="B363" s="14" t="s">
        <v>59</v>
      </c>
      <c r="C363" s="15" t="s">
        <v>352</v>
      </c>
      <c r="D363" s="133" t="s">
        <v>1729</v>
      </c>
      <c r="E363" s="17"/>
      <c r="F363" s="26"/>
      <c r="G363" s="29" t="b">
        <v>0</v>
      </c>
      <c r="H363" s="29" t="b">
        <v>0</v>
      </c>
    </row>
    <row r="364">
      <c r="A364" s="13">
        <v>45406.0</v>
      </c>
      <c r="B364" s="8" t="s">
        <v>18</v>
      </c>
      <c r="C364" s="15" t="s">
        <v>1418</v>
      </c>
      <c r="D364" s="133" t="s">
        <v>1730</v>
      </c>
      <c r="E364" s="17" t="s">
        <v>1731</v>
      </c>
      <c r="F364" s="26" t="s">
        <v>1732</v>
      </c>
      <c r="G364" s="29" t="b">
        <v>0</v>
      </c>
      <c r="H364" s="29" t="b">
        <v>0</v>
      </c>
    </row>
    <row r="365">
      <c r="A365" s="13">
        <v>45411.0</v>
      </c>
      <c r="B365" s="14" t="s">
        <v>18</v>
      </c>
      <c r="C365" s="15" t="s">
        <v>14</v>
      </c>
      <c r="D365" s="133" t="s">
        <v>1733</v>
      </c>
      <c r="E365" s="17" t="s">
        <v>1734</v>
      </c>
      <c r="F365" s="26" t="s">
        <v>1735</v>
      </c>
      <c r="G365" s="29" t="b">
        <v>0</v>
      </c>
      <c r="H365" s="29" t="b">
        <v>0</v>
      </c>
    </row>
    <row r="366">
      <c r="A366" s="13">
        <v>45411.0</v>
      </c>
      <c r="B366" s="14" t="s">
        <v>26</v>
      </c>
      <c r="C366" s="15" t="s">
        <v>253</v>
      </c>
      <c r="D366" s="133" t="s">
        <v>1100</v>
      </c>
      <c r="E366" s="17"/>
      <c r="F366" s="93"/>
      <c r="G366" s="29" t="b">
        <v>0</v>
      </c>
      <c r="H366" s="29" t="b">
        <v>0</v>
      </c>
    </row>
    <row r="367">
      <c r="A367" s="13">
        <v>45412.0</v>
      </c>
      <c r="B367" s="14" t="s">
        <v>18</v>
      </c>
      <c r="C367" s="15" t="s">
        <v>202</v>
      </c>
      <c r="D367" s="133" t="s">
        <v>1736</v>
      </c>
      <c r="E367" s="17" t="s">
        <v>16</v>
      </c>
      <c r="F367" s="26" t="s">
        <v>1737</v>
      </c>
      <c r="G367" s="29" t="b">
        <v>1</v>
      </c>
      <c r="H367" s="29" t="b">
        <v>0</v>
      </c>
    </row>
    <row r="368">
      <c r="A368" s="13">
        <v>45412.0</v>
      </c>
      <c r="B368" s="14" t="s">
        <v>18</v>
      </c>
      <c r="C368" s="15" t="s">
        <v>80</v>
      </c>
      <c r="D368" s="133" t="s">
        <v>1738</v>
      </c>
      <c r="E368" s="17" t="s">
        <v>84</v>
      </c>
      <c r="F368" s="88"/>
      <c r="G368" s="29" t="b">
        <v>0</v>
      </c>
      <c r="H368" s="29" t="b">
        <v>0</v>
      </c>
    </row>
    <row r="369">
      <c r="A369" s="13">
        <v>45412.0</v>
      </c>
      <c r="B369" s="14" t="s">
        <v>10</v>
      </c>
      <c r="C369" s="15" t="s">
        <v>167</v>
      </c>
      <c r="D369" s="133" t="s">
        <v>1739</v>
      </c>
      <c r="E369" s="17"/>
      <c r="F369" s="88" t="s">
        <v>37</v>
      </c>
      <c r="G369" s="29" t="b">
        <v>0</v>
      </c>
      <c r="H369" s="29" t="b">
        <v>0</v>
      </c>
    </row>
    <row r="370">
      <c r="A370" s="13">
        <v>45412.0</v>
      </c>
      <c r="B370" s="14" t="s">
        <v>18</v>
      </c>
      <c r="C370" s="15" t="s">
        <v>394</v>
      </c>
      <c r="D370" s="133" t="s">
        <v>96</v>
      </c>
      <c r="E370" s="17" t="s">
        <v>16</v>
      </c>
      <c r="F370" s="26" t="s">
        <v>198</v>
      </c>
      <c r="G370" s="29" t="b">
        <v>0</v>
      </c>
      <c r="H370" s="29" t="b">
        <v>0</v>
      </c>
    </row>
    <row r="371">
      <c r="A371" s="13">
        <v>45414.0</v>
      </c>
      <c r="B371" s="14" t="s">
        <v>26</v>
      </c>
      <c r="C371" s="15" t="s">
        <v>1414</v>
      </c>
      <c r="D371" s="133" t="s">
        <v>1740</v>
      </c>
      <c r="E371" s="17" t="s">
        <v>1741</v>
      </c>
      <c r="F371" s="26" t="s">
        <v>1742</v>
      </c>
      <c r="G371" s="18" t="b">
        <v>0</v>
      </c>
      <c r="H371" s="18" t="b">
        <v>0</v>
      </c>
    </row>
    <row r="372">
      <c r="A372" s="13">
        <v>45414.0</v>
      </c>
      <c r="B372" s="14" t="s">
        <v>59</v>
      </c>
      <c r="C372" s="15" t="s">
        <v>630</v>
      </c>
      <c r="D372" s="133" t="s">
        <v>1743</v>
      </c>
      <c r="E372" s="17"/>
      <c r="F372" s="26" t="s">
        <v>1744</v>
      </c>
      <c r="G372" s="18" t="b">
        <v>1</v>
      </c>
      <c r="H372" s="18" t="b">
        <v>0</v>
      </c>
    </row>
    <row r="373">
      <c r="A373" s="13">
        <v>45414.0</v>
      </c>
      <c r="B373" s="14" t="s">
        <v>1345</v>
      </c>
      <c r="C373" s="15" t="s">
        <v>85</v>
      </c>
      <c r="D373" s="133" t="s">
        <v>1745</v>
      </c>
      <c r="E373" s="17" t="s">
        <v>1746</v>
      </c>
      <c r="F373" s="26"/>
      <c r="G373" s="18" t="b">
        <v>0</v>
      </c>
      <c r="H373" s="18" t="b">
        <v>0</v>
      </c>
    </row>
    <row r="374">
      <c r="A374" s="13">
        <v>45415.0</v>
      </c>
      <c r="B374" s="14" t="s">
        <v>18</v>
      </c>
      <c r="C374" s="15" t="s">
        <v>63</v>
      </c>
      <c r="D374" s="133" t="s">
        <v>1747</v>
      </c>
      <c r="E374" s="17"/>
      <c r="F374" s="26" t="s">
        <v>1748</v>
      </c>
      <c r="G374" s="18" t="b">
        <v>0</v>
      </c>
      <c r="H374" s="18" t="b">
        <v>0</v>
      </c>
    </row>
    <row r="375">
      <c r="A375" s="13">
        <v>45415.0</v>
      </c>
      <c r="B375" s="14" t="s">
        <v>18</v>
      </c>
      <c r="C375" s="15" t="s">
        <v>19</v>
      </c>
      <c r="D375" s="133" t="s">
        <v>798</v>
      </c>
      <c r="E375" s="17" t="s">
        <v>16</v>
      </c>
      <c r="F375" s="26" t="s">
        <v>1749</v>
      </c>
      <c r="G375" s="18" t="b">
        <v>1</v>
      </c>
      <c r="H375" s="18" t="b">
        <v>0</v>
      </c>
    </row>
    <row r="376">
      <c r="A376" s="13">
        <v>45415.0</v>
      </c>
      <c r="B376" s="14" t="s">
        <v>18</v>
      </c>
      <c r="C376" s="15" t="s">
        <v>19</v>
      </c>
      <c r="D376" s="133" t="s">
        <v>1750</v>
      </c>
      <c r="E376" s="17" t="s">
        <v>151</v>
      </c>
      <c r="F376" s="26"/>
      <c r="G376" s="18" t="b">
        <v>0</v>
      </c>
      <c r="H376" s="18" t="b">
        <v>0</v>
      </c>
    </row>
    <row r="377">
      <c r="A377" s="13">
        <v>45415.0</v>
      </c>
      <c r="B377" s="14" t="s">
        <v>18</v>
      </c>
      <c r="C377" s="15" t="s">
        <v>40</v>
      </c>
      <c r="D377" s="133" t="s">
        <v>1747</v>
      </c>
      <c r="E377" s="17"/>
      <c r="F377" s="26" t="s">
        <v>1748</v>
      </c>
      <c r="G377" s="18" t="b">
        <v>0</v>
      </c>
      <c r="H377" s="18" t="b">
        <v>0</v>
      </c>
    </row>
    <row r="378">
      <c r="A378" s="13">
        <v>45415.0</v>
      </c>
      <c r="B378" s="14" t="s">
        <v>26</v>
      </c>
      <c r="C378" s="15" t="s">
        <v>1356</v>
      </c>
      <c r="D378" s="133" t="s">
        <v>1751</v>
      </c>
      <c r="E378" s="17"/>
      <c r="F378" s="26" t="s">
        <v>1477</v>
      </c>
      <c r="G378" s="18" t="b">
        <v>1</v>
      </c>
      <c r="H378" s="18" t="b">
        <v>0</v>
      </c>
    </row>
    <row r="379">
      <c r="A379" s="13">
        <v>45416.0</v>
      </c>
      <c r="B379" s="14" t="s">
        <v>18</v>
      </c>
      <c r="C379" s="15" t="s">
        <v>1376</v>
      </c>
      <c r="D379" s="16" t="s">
        <v>1752</v>
      </c>
      <c r="E379" s="17" t="s">
        <v>16</v>
      </c>
      <c r="F379" s="26" t="s">
        <v>1477</v>
      </c>
      <c r="G379" s="18" t="b">
        <v>1</v>
      </c>
      <c r="H379" s="18" t="b">
        <v>0</v>
      </c>
    </row>
    <row r="380">
      <c r="A380" s="13">
        <v>45418.0</v>
      </c>
      <c r="B380" s="14" t="s">
        <v>18</v>
      </c>
      <c r="C380" s="15" t="s">
        <v>84</v>
      </c>
      <c r="D380" s="16" t="s">
        <v>1753</v>
      </c>
      <c r="E380" s="17" t="s">
        <v>1754</v>
      </c>
      <c r="F380" s="26" t="s">
        <v>164</v>
      </c>
      <c r="G380" s="18" t="b">
        <v>0</v>
      </c>
      <c r="H380" s="18" t="b">
        <v>0</v>
      </c>
    </row>
    <row r="381">
      <c r="A381" s="13">
        <v>45418.0</v>
      </c>
      <c r="B381" s="14" t="s">
        <v>59</v>
      </c>
      <c r="C381" s="15" t="s">
        <v>197</v>
      </c>
      <c r="D381" s="16" t="s">
        <v>1755</v>
      </c>
      <c r="E381" s="17"/>
      <c r="F381" s="26" t="s">
        <v>1756</v>
      </c>
      <c r="G381" s="18" t="b">
        <v>0</v>
      </c>
      <c r="H381" s="18" t="b">
        <v>0</v>
      </c>
    </row>
    <row r="382">
      <c r="A382" s="13">
        <v>45419.0</v>
      </c>
      <c r="B382" s="14" t="s">
        <v>18</v>
      </c>
      <c r="C382" s="15" t="s">
        <v>1411</v>
      </c>
      <c r="D382" s="16" t="s">
        <v>1757</v>
      </c>
      <c r="E382" s="17" t="s">
        <v>198</v>
      </c>
      <c r="F382" s="26"/>
      <c r="G382" s="18" t="b">
        <v>0</v>
      </c>
      <c r="H382" s="18" t="b">
        <v>0</v>
      </c>
    </row>
    <row r="383">
      <c r="A383" s="13">
        <v>45420.0</v>
      </c>
      <c r="B383" s="14" t="s">
        <v>18</v>
      </c>
      <c r="C383" s="15" t="s">
        <v>667</v>
      </c>
      <c r="D383" s="16" t="s">
        <v>1146</v>
      </c>
      <c r="E383" s="17" t="s">
        <v>197</v>
      </c>
      <c r="F383" s="26"/>
      <c r="G383" s="18" t="b">
        <v>0</v>
      </c>
      <c r="H383" s="18" t="b">
        <v>0</v>
      </c>
    </row>
    <row r="384">
      <c r="A384" s="13">
        <v>45420.0</v>
      </c>
      <c r="B384" s="14" t="s">
        <v>18</v>
      </c>
      <c r="C384" s="15" t="s">
        <v>667</v>
      </c>
      <c r="D384" s="16" t="s">
        <v>1147</v>
      </c>
      <c r="E384" s="17" t="s">
        <v>16</v>
      </c>
      <c r="F384" s="26" t="s">
        <v>1758</v>
      </c>
      <c r="G384" s="18" t="b">
        <v>0</v>
      </c>
      <c r="H384" s="18" t="b">
        <v>0</v>
      </c>
    </row>
    <row r="385">
      <c r="A385" s="13">
        <v>45420.0</v>
      </c>
      <c r="B385" s="14" t="s">
        <v>18</v>
      </c>
      <c r="C385" s="15" t="s">
        <v>345</v>
      </c>
      <c r="D385" s="16" t="s">
        <v>1759</v>
      </c>
      <c r="E385" s="17" t="s">
        <v>16</v>
      </c>
      <c r="F385" s="26" t="s">
        <v>89</v>
      </c>
      <c r="G385" s="18" t="b">
        <v>1</v>
      </c>
      <c r="H385" s="18" t="b">
        <v>0</v>
      </c>
    </row>
    <row r="386">
      <c r="A386" s="13">
        <v>45420.0</v>
      </c>
      <c r="B386" s="14" t="s">
        <v>18</v>
      </c>
      <c r="C386" s="15" t="s">
        <v>350</v>
      </c>
      <c r="D386" s="16" t="s">
        <v>496</v>
      </c>
      <c r="E386" s="17" t="s">
        <v>197</v>
      </c>
      <c r="F386" s="26"/>
      <c r="G386" s="18" t="b">
        <v>0</v>
      </c>
      <c r="H386" s="18" t="b">
        <v>0</v>
      </c>
    </row>
    <row r="387">
      <c r="A387" s="13">
        <v>45420.0</v>
      </c>
      <c r="B387" s="14" t="s">
        <v>18</v>
      </c>
      <c r="C387" s="15" t="s">
        <v>350</v>
      </c>
      <c r="D387" s="16" t="s">
        <v>1147</v>
      </c>
      <c r="E387" s="17" t="s">
        <v>16</v>
      </c>
      <c r="F387" s="26" t="s">
        <v>1758</v>
      </c>
      <c r="G387" s="18" t="b">
        <v>0</v>
      </c>
      <c r="H387" s="18" t="b">
        <v>0</v>
      </c>
    </row>
    <row r="388">
      <c r="A388" s="13">
        <v>45421.0</v>
      </c>
      <c r="B388" s="14" t="s">
        <v>26</v>
      </c>
      <c r="C388" s="15" t="s">
        <v>350</v>
      </c>
      <c r="D388" s="16" t="s">
        <v>1760</v>
      </c>
      <c r="E388" s="17" t="s">
        <v>16</v>
      </c>
      <c r="F388" s="26" t="s">
        <v>1761</v>
      </c>
      <c r="G388" s="18" t="b">
        <v>0</v>
      </c>
      <c r="H388" s="18" t="b">
        <v>0</v>
      </c>
    </row>
    <row r="389">
      <c r="A389" s="13">
        <v>45422.0</v>
      </c>
      <c r="B389" s="14" t="s">
        <v>18</v>
      </c>
      <c r="C389" s="15" t="s">
        <v>49</v>
      </c>
      <c r="D389" s="16" t="s">
        <v>1762</v>
      </c>
      <c r="E389" s="17" t="s">
        <v>11</v>
      </c>
      <c r="F389" s="26"/>
      <c r="G389" s="18" t="b">
        <v>0</v>
      </c>
      <c r="H389" s="18" t="b">
        <v>0</v>
      </c>
    </row>
    <row r="390">
      <c r="A390" s="13">
        <v>45422.0</v>
      </c>
      <c r="B390" s="14" t="s">
        <v>18</v>
      </c>
      <c r="C390" s="15" t="s">
        <v>49</v>
      </c>
      <c r="D390" s="16" t="s">
        <v>1763</v>
      </c>
      <c r="E390" s="17" t="s">
        <v>16</v>
      </c>
      <c r="F390" s="26" t="s">
        <v>1764</v>
      </c>
      <c r="G390" s="18" t="b">
        <v>0</v>
      </c>
      <c r="H390" s="18" t="b">
        <v>0</v>
      </c>
    </row>
    <row r="391">
      <c r="A391" s="13">
        <v>45422.0</v>
      </c>
      <c r="B391" s="14" t="s">
        <v>18</v>
      </c>
      <c r="C391" s="15" t="s">
        <v>49</v>
      </c>
      <c r="D391" s="16" t="s">
        <v>1765</v>
      </c>
      <c r="E391" s="17" t="s">
        <v>16</v>
      </c>
      <c r="F391" s="26" t="s">
        <v>1764</v>
      </c>
      <c r="G391" s="18" t="b">
        <v>0</v>
      </c>
      <c r="H391" s="18" t="b">
        <v>0</v>
      </c>
    </row>
    <row r="392">
      <c r="A392" s="13">
        <v>45423.0</v>
      </c>
      <c r="B392" s="14" t="s">
        <v>18</v>
      </c>
      <c r="C392" s="15" t="s">
        <v>202</v>
      </c>
      <c r="D392" s="16" t="s">
        <v>1766</v>
      </c>
      <c r="E392" s="17" t="s">
        <v>16</v>
      </c>
      <c r="F392" s="26" t="s">
        <v>89</v>
      </c>
      <c r="G392" s="18" t="b">
        <v>1</v>
      </c>
      <c r="H392" s="18" t="b">
        <v>0</v>
      </c>
    </row>
    <row r="393">
      <c r="A393" s="13">
        <v>45425.0</v>
      </c>
      <c r="B393" s="14" t="s">
        <v>18</v>
      </c>
      <c r="C393" s="15" t="s">
        <v>131</v>
      </c>
      <c r="D393" s="16" t="s">
        <v>740</v>
      </c>
      <c r="E393" s="17" t="s">
        <v>56</v>
      </c>
      <c r="F393" s="26"/>
      <c r="G393" s="18" t="b">
        <v>0</v>
      </c>
      <c r="H393" s="18" t="b">
        <v>0</v>
      </c>
    </row>
    <row r="394">
      <c r="A394" s="13">
        <v>45427.0</v>
      </c>
      <c r="B394" s="14" t="s">
        <v>18</v>
      </c>
      <c r="C394" s="15" t="s">
        <v>204</v>
      </c>
      <c r="D394" s="16" t="s">
        <v>1767</v>
      </c>
      <c r="E394" s="17" t="s">
        <v>49</v>
      </c>
      <c r="F394" s="26"/>
      <c r="G394" s="18" t="b">
        <v>0</v>
      </c>
      <c r="H394" s="18" t="b">
        <v>0</v>
      </c>
    </row>
    <row r="395">
      <c r="A395" s="13">
        <v>45427.0</v>
      </c>
      <c r="B395" s="14" t="s">
        <v>18</v>
      </c>
      <c r="C395" s="15" t="s">
        <v>204</v>
      </c>
      <c r="D395" s="16" t="s">
        <v>1768</v>
      </c>
      <c r="E395" s="17" t="s">
        <v>47</v>
      </c>
      <c r="F395" s="26"/>
      <c r="G395" s="18" t="b">
        <v>0</v>
      </c>
      <c r="H395" s="18" t="b">
        <v>0</v>
      </c>
    </row>
    <row r="396">
      <c r="A396" s="13">
        <v>45427.0</v>
      </c>
      <c r="B396" s="14" t="s">
        <v>59</v>
      </c>
      <c r="C396" s="15" t="s">
        <v>197</v>
      </c>
      <c r="D396" s="16" t="s">
        <v>1769</v>
      </c>
      <c r="E396" s="17"/>
      <c r="F396" s="26" t="s">
        <v>198</v>
      </c>
      <c r="G396" s="18" t="b">
        <v>0</v>
      </c>
      <c r="H396" s="18" t="b">
        <v>0</v>
      </c>
    </row>
    <row r="397">
      <c r="A397" s="13">
        <v>45428.0</v>
      </c>
      <c r="B397" s="14" t="s">
        <v>18</v>
      </c>
      <c r="C397" s="15" t="s">
        <v>80</v>
      </c>
      <c r="D397" s="16" t="s">
        <v>1770</v>
      </c>
      <c r="E397" s="17" t="s">
        <v>1403</v>
      </c>
      <c r="F397" s="26"/>
      <c r="G397" s="18" t="b">
        <v>0</v>
      </c>
      <c r="H397" s="18" t="b">
        <v>0</v>
      </c>
    </row>
    <row r="398">
      <c r="A398" s="13">
        <v>45428.0</v>
      </c>
      <c r="B398" s="14" t="s">
        <v>18</v>
      </c>
      <c r="C398" s="15" t="s">
        <v>85</v>
      </c>
      <c r="D398" s="16" t="s">
        <v>137</v>
      </c>
      <c r="E398" s="17" t="s">
        <v>84</v>
      </c>
      <c r="F398" s="26"/>
      <c r="G398" s="18" t="b">
        <v>0</v>
      </c>
      <c r="H398" s="18" t="b">
        <v>0</v>
      </c>
    </row>
    <row r="399">
      <c r="A399" s="13">
        <v>45428.0</v>
      </c>
      <c r="B399" s="14" t="s">
        <v>10</v>
      </c>
      <c r="C399" s="15" t="s">
        <v>1414</v>
      </c>
      <c r="D399" s="16" t="s">
        <v>1771</v>
      </c>
      <c r="E399" s="17"/>
      <c r="F399" s="26" t="s">
        <v>1772</v>
      </c>
      <c r="G399" s="18" t="b">
        <v>0</v>
      </c>
      <c r="H399" s="18" t="b">
        <v>0</v>
      </c>
    </row>
    <row r="400">
      <c r="A400" s="13">
        <v>45429.0</v>
      </c>
      <c r="B400" s="14" t="s">
        <v>18</v>
      </c>
      <c r="C400" s="15" t="s">
        <v>84</v>
      </c>
      <c r="D400" s="16" t="s">
        <v>477</v>
      </c>
      <c r="E400" s="17" t="s">
        <v>1656</v>
      </c>
      <c r="F400" s="26" t="s">
        <v>164</v>
      </c>
      <c r="G400" s="18" t="b">
        <v>0</v>
      </c>
      <c r="H400" s="18" t="b">
        <v>0</v>
      </c>
    </row>
    <row r="401">
      <c r="A401" s="13">
        <v>45429.0</v>
      </c>
      <c r="B401" s="14" t="s">
        <v>18</v>
      </c>
      <c r="C401" s="15" t="s">
        <v>1773</v>
      </c>
      <c r="D401" s="16" t="s">
        <v>798</v>
      </c>
      <c r="E401" s="17" t="s">
        <v>56</v>
      </c>
      <c r="F401" s="26"/>
      <c r="G401" s="18" t="b">
        <v>0</v>
      </c>
      <c r="H401" s="18" t="b">
        <v>0</v>
      </c>
    </row>
    <row r="402">
      <c r="A402" s="13">
        <v>45429.0</v>
      </c>
      <c r="B402" s="14" t="s">
        <v>59</v>
      </c>
      <c r="C402" s="311" t="s">
        <v>11</v>
      </c>
      <c r="D402" s="16" t="s">
        <v>1774</v>
      </c>
      <c r="E402" s="17" t="s">
        <v>1775</v>
      </c>
      <c r="F402" s="26"/>
      <c r="G402" s="18" t="b">
        <v>0</v>
      </c>
      <c r="H402" s="18" t="b">
        <v>0</v>
      </c>
    </row>
    <row r="403">
      <c r="A403" s="13">
        <v>45430.0</v>
      </c>
      <c r="B403" s="14" t="s">
        <v>18</v>
      </c>
      <c r="C403" s="15" t="s">
        <v>275</v>
      </c>
      <c r="D403" s="16" t="s">
        <v>220</v>
      </c>
      <c r="E403" s="17" t="s">
        <v>16</v>
      </c>
      <c r="F403" s="26" t="s">
        <v>97</v>
      </c>
      <c r="G403" s="18" t="b">
        <v>0</v>
      </c>
      <c r="H403" s="18" t="b">
        <v>0</v>
      </c>
    </row>
    <row r="404">
      <c r="A404" s="13">
        <v>45430.0</v>
      </c>
      <c r="B404" s="14" t="s">
        <v>18</v>
      </c>
      <c r="C404" s="15" t="s">
        <v>202</v>
      </c>
      <c r="D404" s="16" t="s">
        <v>220</v>
      </c>
      <c r="E404" s="17" t="s">
        <v>1356</v>
      </c>
      <c r="F404" s="26" t="s">
        <v>1555</v>
      </c>
      <c r="G404" s="18" t="b">
        <v>0</v>
      </c>
      <c r="H404" s="18" t="b">
        <v>0</v>
      </c>
    </row>
    <row r="405">
      <c r="A405" s="13">
        <v>45430.0</v>
      </c>
      <c r="B405" s="14" t="s">
        <v>18</v>
      </c>
      <c r="C405" s="15" t="s">
        <v>1376</v>
      </c>
      <c r="D405" s="16" t="s">
        <v>1062</v>
      </c>
      <c r="E405" s="17" t="s">
        <v>63</v>
      </c>
      <c r="F405" s="26"/>
      <c r="G405" s="18" t="b">
        <v>0</v>
      </c>
      <c r="H405" s="18" t="b">
        <v>0</v>
      </c>
    </row>
    <row r="406">
      <c r="A406" s="13">
        <v>45432.0</v>
      </c>
      <c r="B406" s="14" t="s">
        <v>18</v>
      </c>
      <c r="C406" s="15" t="s">
        <v>47</v>
      </c>
      <c r="D406" s="16" t="s">
        <v>1776</v>
      </c>
      <c r="E406" s="17" t="s">
        <v>30</v>
      </c>
      <c r="F406" s="26"/>
      <c r="G406" s="18" t="b">
        <v>0</v>
      </c>
      <c r="H406" s="18" t="b">
        <v>0</v>
      </c>
    </row>
    <row r="407">
      <c r="A407" s="13">
        <v>45433.0</v>
      </c>
      <c r="B407" s="14" t="s">
        <v>59</v>
      </c>
      <c r="C407" s="15" t="s">
        <v>14</v>
      </c>
      <c r="D407" s="16" t="s">
        <v>1777</v>
      </c>
      <c r="E407" s="17" t="s">
        <v>47</v>
      </c>
      <c r="F407" s="26" t="s">
        <v>1778</v>
      </c>
      <c r="G407" s="18" t="b">
        <v>0</v>
      </c>
      <c r="H407" s="18" t="b">
        <v>0</v>
      </c>
    </row>
    <row r="408">
      <c r="A408" s="13">
        <v>45433.0</v>
      </c>
      <c r="B408" s="14" t="s">
        <v>59</v>
      </c>
      <c r="C408" s="15" t="s">
        <v>47</v>
      </c>
      <c r="D408" s="16" t="s">
        <v>1779</v>
      </c>
      <c r="E408" s="17"/>
      <c r="F408" s="26" t="s">
        <v>1780</v>
      </c>
      <c r="G408" s="18" t="b">
        <v>0</v>
      </c>
      <c r="H408" s="18" t="b">
        <v>0</v>
      </c>
    </row>
    <row r="409">
      <c r="A409" s="13">
        <v>45433.0</v>
      </c>
      <c r="B409" s="14" t="s">
        <v>1345</v>
      </c>
      <c r="C409" s="15" t="s">
        <v>1411</v>
      </c>
      <c r="D409" s="16" t="s">
        <v>1781</v>
      </c>
      <c r="E409" s="17" t="s">
        <v>16</v>
      </c>
      <c r="F409" s="26"/>
      <c r="G409" s="18" t="b">
        <v>0</v>
      </c>
      <c r="H409" s="18" t="b">
        <v>0</v>
      </c>
    </row>
    <row r="410">
      <c r="A410" s="13">
        <v>45434.0</v>
      </c>
      <c r="B410" s="14" t="s">
        <v>18</v>
      </c>
      <c r="C410" s="15" t="s">
        <v>667</v>
      </c>
      <c r="D410" s="16"/>
      <c r="E410" s="17"/>
      <c r="F410" s="26" t="s">
        <v>1782</v>
      </c>
      <c r="G410" s="18" t="b">
        <v>0</v>
      </c>
      <c r="H410" s="18" t="b">
        <v>0</v>
      </c>
    </row>
    <row r="411">
      <c r="A411" s="13">
        <v>45434.0</v>
      </c>
      <c r="B411" s="14" t="s">
        <v>18</v>
      </c>
      <c r="C411" s="15" t="s">
        <v>350</v>
      </c>
      <c r="D411" s="16"/>
      <c r="E411" s="17"/>
      <c r="F411" s="26" t="s">
        <v>1782</v>
      </c>
      <c r="G411" s="18" t="b">
        <v>0</v>
      </c>
      <c r="H411" s="18" t="b">
        <v>0</v>
      </c>
    </row>
    <row r="412">
      <c r="A412" s="13">
        <v>45435.0</v>
      </c>
      <c r="B412" s="14" t="s">
        <v>18</v>
      </c>
      <c r="C412" s="15" t="s">
        <v>125</v>
      </c>
      <c r="D412" s="16" t="s">
        <v>256</v>
      </c>
      <c r="E412" s="17" t="s">
        <v>16</v>
      </c>
      <c r="F412" s="26" t="s">
        <v>1783</v>
      </c>
      <c r="G412" s="18" t="b">
        <v>0</v>
      </c>
      <c r="H412" s="18" t="b">
        <v>0</v>
      </c>
    </row>
    <row r="413">
      <c r="A413" s="13">
        <v>45435.0</v>
      </c>
      <c r="B413" s="14" t="s">
        <v>59</v>
      </c>
      <c r="C413" s="15" t="s">
        <v>630</v>
      </c>
      <c r="D413" s="16" t="s">
        <v>1784</v>
      </c>
      <c r="E413" s="17"/>
      <c r="F413" s="26" t="s">
        <v>62</v>
      </c>
      <c r="G413" s="18" t="b">
        <v>0</v>
      </c>
      <c r="H413" s="32" t="b">
        <v>0</v>
      </c>
    </row>
    <row r="414">
      <c r="A414" s="13">
        <v>45436.0</v>
      </c>
      <c r="B414" s="14" t="s">
        <v>26</v>
      </c>
      <c r="C414" s="15" t="s">
        <v>30</v>
      </c>
      <c r="D414" s="16" t="s">
        <v>1785</v>
      </c>
      <c r="E414" s="17" t="s">
        <v>1786</v>
      </c>
      <c r="F414" s="26" t="s">
        <v>1787</v>
      </c>
      <c r="G414" s="18" t="b">
        <v>0</v>
      </c>
      <c r="H414" s="18" t="b">
        <v>0</v>
      </c>
    </row>
    <row r="415">
      <c r="A415" s="13">
        <v>45437.0</v>
      </c>
      <c r="B415" s="14" t="s">
        <v>1342</v>
      </c>
      <c r="C415" s="21" t="s">
        <v>202</v>
      </c>
      <c r="D415" s="16" t="s">
        <v>1000</v>
      </c>
      <c r="E415" s="23" t="s">
        <v>16</v>
      </c>
      <c r="F415" s="26" t="s">
        <v>1788</v>
      </c>
      <c r="G415" s="29" t="b">
        <v>0</v>
      </c>
      <c r="H415" s="29" t="b">
        <v>0</v>
      </c>
    </row>
    <row r="416">
      <c r="A416" s="13">
        <v>45439.0</v>
      </c>
      <c r="B416" s="14" t="s">
        <v>18</v>
      </c>
      <c r="C416" s="15" t="s">
        <v>80</v>
      </c>
      <c r="D416" s="16" t="s">
        <v>1789</v>
      </c>
      <c r="E416" s="17" t="s">
        <v>1790</v>
      </c>
      <c r="F416" s="26" t="s">
        <v>901</v>
      </c>
      <c r="G416" s="29" t="b">
        <v>0</v>
      </c>
      <c r="H416" s="29" t="b">
        <v>0</v>
      </c>
    </row>
    <row r="417">
      <c r="A417" s="13">
        <v>45439.0</v>
      </c>
      <c r="B417" s="14" t="s">
        <v>10</v>
      </c>
      <c r="C417" s="15" t="s">
        <v>80</v>
      </c>
      <c r="D417" s="16" t="s">
        <v>1791</v>
      </c>
      <c r="E417" s="17" t="s">
        <v>85</v>
      </c>
      <c r="F417" s="26"/>
      <c r="G417" s="29" t="b">
        <v>0</v>
      </c>
      <c r="H417" s="29" t="b">
        <v>0</v>
      </c>
    </row>
    <row r="418">
      <c r="A418" s="13">
        <v>45440.0</v>
      </c>
      <c r="B418" s="14" t="s">
        <v>59</v>
      </c>
      <c r="C418" s="15" t="s">
        <v>623</v>
      </c>
      <c r="D418" s="16" t="s">
        <v>1023</v>
      </c>
      <c r="E418" s="17" t="s">
        <v>1792</v>
      </c>
      <c r="F418" s="26"/>
      <c r="G418" s="32" t="b">
        <v>0</v>
      </c>
      <c r="H418" s="32" t="b">
        <v>0</v>
      </c>
    </row>
    <row r="419">
      <c r="A419" s="13">
        <v>45440.0</v>
      </c>
      <c r="B419" s="14" t="s">
        <v>1345</v>
      </c>
      <c r="C419" s="15" t="s">
        <v>1411</v>
      </c>
      <c r="D419" s="16" t="s">
        <v>1793</v>
      </c>
      <c r="E419" s="17" t="s">
        <v>16</v>
      </c>
      <c r="F419" s="26"/>
      <c r="G419" s="32" t="b">
        <v>0</v>
      </c>
      <c r="H419" s="32" t="b">
        <v>0</v>
      </c>
    </row>
    <row r="420">
      <c r="A420" s="51">
        <v>45441.0</v>
      </c>
      <c r="B420" s="52" t="s">
        <v>59</v>
      </c>
      <c r="C420" s="53" t="s">
        <v>19</v>
      </c>
      <c r="D420" s="54" t="s">
        <v>1794</v>
      </c>
      <c r="E420" s="96"/>
      <c r="F420" s="93" t="s">
        <v>1795</v>
      </c>
      <c r="G420" s="32" t="b">
        <v>1</v>
      </c>
      <c r="H420" s="32" t="b">
        <v>0</v>
      </c>
    </row>
    <row r="421">
      <c r="A421" s="13">
        <v>45441.0</v>
      </c>
      <c r="B421" s="14" t="s">
        <v>18</v>
      </c>
      <c r="C421" s="15" t="s">
        <v>131</v>
      </c>
      <c r="D421" s="16" t="s">
        <v>1472</v>
      </c>
      <c r="E421" s="17" t="s">
        <v>56</v>
      </c>
      <c r="F421" s="26"/>
      <c r="G421" s="18" t="b">
        <v>0</v>
      </c>
      <c r="H421" s="18" t="b">
        <v>0</v>
      </c>
    </row>
    <row r="422">
      <c r="A422" s="13">
        <v>45441.0</v>
      </c>
      <c r="B422" s="14" t="s">
        <v>18</v>
      </c>
      <c r="C422" s="15" t="s">
        <v>131</v>
      </c>
      <c r="D422" s="16" t="s">
        <v>527</v>
      </c>
      <c r="E422" s="17" t="s">
        <v>345</v>
      </c>
      <c r="F422" s="26"/>
      <c r="G422" s="18" t="b">
        <v>0</v>
      </c>
      <c r="H422" s="18" t="b">
        <v>0</v>
      </c>
    </row>
    <row r="423">
      <c r="A423" s="13">
        <v>45442.0</v>
      </c>
      <c r="B423" s="14" t="s">
        <v>18</v>
      </c>
      <c r="C423" s="15" t="s">
        <v>131</v>
      </c>
      <c r="D423" s="16" t="s">
        <v>1796</v>
      </c>
      <c r="E423" s="17" t="s">
        <v>16</v>
      </c>
      <c r="F423" s="26" t="s">
        <v>1797</v>
      </c>
      <c r="G423" s="18" t="b">
        <v>0</v>
      </c>
      <c r="H423" s="18" t="b">
        <v>0</v>
      </c>
    </row>
    <row r="424">
      <c r="A424" s="13">
        <v>45442.0</v>
      </c>
      <c r="B424" s="14" t="s">
        <v>59</v>
      </c>
      <c r="C424" s="15" t="s">
        <v>623</v>
      </c>
      <c r="D424" s="16" t="s">
        <v>1798</v>
      </c>
      <c r="E424" s="17" t="s">
        <v>1799</v>
      </c>
      <c r="F424" s="26"/>
      <c r="G424" s="29" t="b">
        <v>0</v>
      </c>
      <c r="H424" s="29" t="b">
        <v>0</v>
      </c>
    </row>
    <row r="425">
      <c r="A425" s="13">
        <v>45442.0</v>
      </c>
      <c r="B425" s="14" t="s">
        <v>59</v>
      </c>
      <c r="C425" s="15" t="s">
        <v>80</v>
      </c>
      <c r="D425" s="16" t="s">
        <v>1800</v>
      </c>
      <c r="E425" s="17"/>
      <c r="F425" s="26" t="s">
        <v>1801</v>
      </c>
      <c r="G425" s="29" t="b">
        <v>0</v>
      </c>
      <c r="H425" s="29" t="b">
        <v>0</v>
      </c>
    </row>
    <row r="426">
      <c r="A426" s="13">
        <v>45442.0</v>
      </c>
      <c r="B426" s="14" t="s">
        <v>59</v>
      </c>
      <c r="C426" s="15" t="s">
        <v>630</v>
      </c>
      <c r="D426" s="16" t="s">
        <v>1802</v>
      </c>
      <c r="E426" s="17" t="s">
        <v>1803</v>
      </c>
      <c r="F426" s="26"/>
      <c r="G426" s="29" t="b">
        <v>0</v>
      </c>
      <c r="H426" s="29" t="b">
        <v>0</v>
      </c>
    </row>
    <row r="427">
      <c r="A427" s="13">
        <v>45442.0</v>
      </c>
      <c r="B427" s="14" t="s">
        <v>26</v>
      </c>
      <c r="C427" s="15" t="s">
        <v>47</v>
      </c>
      <c r="D427" s="16" t="s">
        <v>1804</v>
      </c>
      <c r="E427" s="17"/>
      <c r="F427" s="26" t="s">
        <v>1805</v>
      </c>
      <c r="G427" s="29" t="b">
        <v>0</v>
      </c>
      <c r="H427" s="29" t="b">
        <v>0</v>
      </c>
    </row>
    <row r="428">
      <c r="A428" s="13">
        <v>45443.0</v>
      </c>
      <c r="B428" s="14" t="s">
        <v>18</v>
      </c>
      <c r="C428" s="15" t="s">
        <v>11</v>
      </c>
      <c r="D428" s="16" t="s">
        <v>1806</v>
      </c>
      <c r="E428" s="17" t="s">
        <v>1807</v>
      </c>
      <c r="F428" s="26" t="s">
        <v>1808</v>
      </c>
      <c r="G428" s="29" t="b">
        <v>0</v>
      </c>
      <c r="H428" s="29" t="b">
        <v>0</v>
      </c>
    </row>
    <row r="429">
      <c r="A429" s="13">
        <v>45443.0</v>
      </c>
      <c r="B429" s="14" t="s">
        <v>18</v>
      </c>
      <c r="C429" s="15" t="s">
        <v>1773</v>
      </c>
      <c r="D429" s="16" t="s">
        <v>50</v>
      </c>
      <c r="E429" s="17"/>
      <c r="F429" s="26" t="s">
        <v>1809</v>
      </c>
      <c r="G429" s="29" t="b">
        <v>0</v>
      </c>
      <c r="H429" s="29" t="b">
        <v>0</v>
      </c>
    </row>
    <row r="430">
      <c r="A430" s="13">
        <v>45444.0</v>
      </c>
      <c r="B430" s="14" t="s">
        <v>18</v>
      </c>
      <c r="C430" s="15" t="s">
        <v>1773</v>
      </c>
      <c r="D430" s="16" t="s">
        <v>1563</v>
      </c>
      <c r="E430" s="17"/>
      <c r="F430" s="88" t="s">
        <v>1810</v>
      </c>
      <c r="G430" s="29" t="b">
        <v>0</v>
      </c>
      <c r="H430" s="29" t="b">
        <v>0</v>
      </c>
    </row>
    <row r="431">
      <c r="A431" s="13">
        <v>45448.0</v>
      </c>
      <c r="B431" s="14" t="s">
        <v>18</v>
      </c>
      <c r="C431" s="15" t="s">
        <v>1343</v>
      </c>
      <c r="D431" s="16" t="s">
        <v>1768</v>
      </c>
      <c r="E431" s="17" t="s">
        <v>76</v>
      </c>
      <c r="F431" s="88"/>
      <c r="G431" s="29" t="b">
        <v>0</v>
      </c>
      <c r="H431" s="29" t="b">
        <v>0</v>
      </c>
    </row>
    <row r="432">
      <c r="A432" s="13">
        <v>45448.0</v>
      </c>
      <c r="B432" s="14" t="s">
        <v>18</v>
      </c>
      <c r="C432" s="15" t="s">
        <v>352</v>
      </c>
      <c r="D432" s="16" t="s">
        <v>1811</v>
      </c>
      <c r="E432" s="17" t="s">
        <v>16</v>
      </c>
      <c r="F432" s="88" t="s">
        <v>1812</v>
      </c>
      <c r="G432" s="29" t="b">
        <v>0</v>
      </c>
      <c r="H432" s="29" t="b">
        <v>0</v>
      </c>
    </row>
    <row r="433">
      <c r="A433" s="13">
        <v>45449.0</v>
      </c>
      <c r="B433" s="14" t="s">
        <v>18</v>
      </c>
      <c r="C433" s="15" t="s">
        <v>85</v>
      </c>
      <c r="D433" s="16" t="s">
        <v>1813</v>
      </c>
      <c r="E433" s="17" t="s">
        <v>84</v>
      </c>
      <c r="F433" s="88" t="s">
        <v>164</v>
      </c>
      <c r="G433" s="29" t="b">
        <v>0</v>
      </c>
      <c r="H433" s="29" t="b">
        <v>0</v>
      </c>
    </row>
    <row r="434">
      <c r="A434" s="13">
        <v>45451.0</v>
      </c>
      <c r="B434" s="14" t="s">
        <v>18</v>
      </c>
      <c r="C434" s="15" t="s">
        <v>202</v>
      </c>
      <c r="D434" s="16" t="s">
        <v>1814</v>
      </c>
      <c r="E434" s="17" t="s">
        <v>1356</v>
      </c>
      <c r="F434" s="88" t="s">
        <v>1555</v>
      </c>
      <c r="G434" s="29" t="b">
        <v>0</v>
      </c>
      <c r="H434" s="29" t="b">
        <v>0</v>
      </c>
    </row>
    <row r="435">
      <c r="A435" s="13">
        <v>45451.0</v>
      </c>
      <c r="B435" s="14" t="s">
        <v>1342</v>
      </c>
      <c r="C435" s="15" t="s">
        <v>202</v>
      </c>
      <c r="D435" s="16" t="s">
        <v>1815</v>
      </c>
      <c r="E435" s="17"/>
      <c r="F435" s="88" t="s">
        <v>1816</v>
      </c>
      <c r="G435" s="29" t="b">
        <v>0</v>
      </c>
      <c r="H435" s="29" t="b">
        <v>0</v>
      </c>
    </row>
    <row r="436">
      <c r="A436" s="13">
        <v>45451.0</v>
      </c>
      <c r="B436" s="14" t="s">
        <v>1342</v>
      </c>
      <c r="C436" s="15" t="s">
        <v>199</v>
      </c>
      <c r="D436" s="16" t="s">
        <v>1817</v>
      </c>
      <c r="E436" s="17" t="s">
        <v>16</v>
      </c>
      <c r="F436" s="88" t="s">
        <v>1818</v>
      </c>
      <c r="G436" s="29" t="b">
        <v>0</v>
      </c>
      <c r="H436" s="29" t="b">
        <v>0</v>
      </c>
    </row>
    <row r="437">
      <c r="A437" s="13">
        <v>45453.0</v>
      </c>
      <c r="B437" s="14" t="s">
        <v>26</v>
      </c>
      <c r="C437" s="15" t="s">
        <v>47</v>
      </c>
      <c r="D437" s="16" t="s">
        <v>905</v>
      </c>
      <c r="E437" s="17" t="s">
        <v>49</v>
      </c>
      <c r="F437" s="88"/>
      <c r="G437" s="29" t="b">
        <v>0</v>
      </c>
      <c r="H437" s="29" t="b">
        <v>0</v>
      </c>
    </row>
    <row r="438">
      <c r="A438" s="13">
        <v>45454.0</v>
      </c>
      <c r="B438" s="14" t="s">
        <v>18</v>
      </c>
      <c r="C438" s="15" t="s">
        <v>1411</v>
      </c>
      <c r="D438" s="16" t="s">
        <v>96</v>
      </c>
      <c r="E438" s="17" t="s">
        <v>16</v>
      </c>
      <c r="F438" s="88" t="s">
        <v>198</v>
      </c>
      <c r="G438" s="29" t="b">
        <v>0</v>
      </c>
      <c r="H438" s="29" t="b">
        <v>0</v>
      </c>
    </row>
    <row r="439">
      <c r="A439" s="13">
        <v>45455.0</v>
      </c>
      <c r="B439" s="14" t="s">
        <v>18</v>
      </c>
      <c r="C439" s="15" t="s">
        <v>352</v>
      </c>
      <c r="D439" s="16" t="s">
        <v>348</v>
      </c>
      <c r="E439" s="17" t="s">
        <v>16</v>
      </c>
      <c r="F439" s="93" t="s">
        <v>1819</v>
      </c>
      <c r="G439" s="29" t="b">
        <v>1</v>
      </c>
      <c r="H439" s="29" t="b">
        <v>0</v>
      </c>
    </row>
    <row r="440">
      <c r="A440" s="13">
        <v>45455.0</v>
      </c>
      <c r="B440" s="14" t="s">
        <v>18</v>
      </c>
      <c r="C440" s="15" t="s">
        <v>386</v>
      </c>
      <c r="D440" s="16" t="s">
        <v>348</v>
      </c>
      <c r="E440" s="17" t="s">
        <v>16</v>
      </c>
      <c r="F440" s="93" t="s">
        <v>1820</v>
      </c>
      <c r="G440" s="29" t="b">
        <v>1</v>
      </c>
      <c r="H440" s="29" t="b">
        <v>0</v>
      </c>
    </row>
    <row r="441">
      <c r="A441" s="13">
        <v>45455.0</v>
      </c>
      <c r="B441" s="14" t="s">
        <v>18</v>
      </c>
      <c r="C441" s="15" t="s">
        <v>11</v>
      </c>
      <c r="D441" s="16" t="s">
        <v>348</v>
      </c>
      <c r="E441" s="17" t="s">
        <v>623</v>
      </c>
      <c r="F441" s="93" t="s">
        <v>1386</v>
      </c>
      <c r="G441" s="29" t="b">
        <v>0</v>
      </c>
      <c r="H441" s="29" t="b">
        <v>0</v>
      </c>
    </row>
    <row r="442">
      <c r="A442" s="13">
        <v>45455.0</v>
      </c>
      <c r="B442" s="14" t="s">
        <v>18</v>
      </c>
      <c r="C442" s="15" t="s">
        <v>189</v>
      </c>
      <c r="D442" s="16" t="s">
        <v>348</v>
      </c>
      <c r="E442" s="17" t="s">
        <v>936</v>
      </c>
      <c r="F442" s="93" t="s">
        <v>1821</v>
      </c>
      <c r="G442" s="29" t="b">
        <v>0</v>
      </c>
      <c r="H442" s="29" t="b">
        <v>0</v>
      </c>
    </row>
    <row r="443">
      <c r="A443" s="13">
        <v>45455.0</v>
      </c>
      <c r="B443" s="14" t="s">
        <v>18</v>
      </c>
      <c r="C443" s="15" t="s">
        <v>1556</v>
      </c>
      <c r="D443" s="16" t="s">
        <v>348</v>
      </c>
      <c r="E443" s="17" t="s">
        <v>16</v>
      </c>
      <c r="F443" s="93" t="s">
        <v>198</v>
      </c>
      <c r="G443" s="29" t="b">
        <v>0</v>
      </c>
      <c r="H443" s="29" t="b">
        <v>0</v>
      </c>
    </row>
    <row r="444">
      <c r="A444" s="13">
        <v>45456.0</v>
      </c>
      <c r="B444" s="14" t="s">
        <v>18</v>
      </c>
      <c r="C444" s="15" t="s">
        <v>630</v>
      </c>
      <c r="D444" s="16" t="s">
        <v>1822</v>
      </c>
      <c r="E444" s="17" t="s">
        <v>1823</v>
      </c>
      <c r="F444" s="88" t="s">
        <v>634</v>
      </c>
      <c r="G444" s="29" t="b">
        <v>0</v>
      </c>
      <c r="H444" s="29" t="b">
        <v>0</v>
      </c>
    </row>
    <row r="445">
      <c r="A445" s="13">
        <v>45456.0</v>
      </c>
      <c r="B445" s="14" t="s">
        <v>18</v>
      </c>
      <c r="C445" s="15" t="s">
        <v>630</v>
      </c>
      <c r="D445" s="16" t="s">
        <v>1824</v>
      </c>
      <c r="E445" s="17" t="s">
        <v>37</v>
      </c>
      <c r="F445" s="88"/>
      <c r="G445" s="29" t="b">
        <v>0</v>
      </c>
      <c r="H445" s="29" t="b">
        <v>0</v>
      </c>
    </row>
    <row r="446">
      <c r="A446" s="13">
        <v>45456.0</v>
      </c>
      <c r="B446" s="14" t="s">
        <v>18</v>
      </c>
      <c r="C446" s="15" t="s">
        <v>38</v>
      </c>
      <c r="D446" s="16" t="s">
        <v>269</v>
      </c>
      <c r="E446" s="17" t="s">
        <v>151</v>
      </c>
      <c r="F446" s="88"/>
      <c r="G446" s="29" t="b">
        <v>0</v>
      </c>
      <c r="H446" s="29" t="b">
        <v>0</v>
      </c>
    </row>
    <row r="447">
      <c r="A447" s="13">
        <v>45456.0</v>
      </c>
      <c r="B447" s="14" t="s">
        <v>18</v>
      </c>
      <c r="C447" s="15" t="s">
        <v>386</v>
      </c>
      <c r="D447" s="16" t="s">
        <v>305</v>
      </c>
      <c r="E447" s="17" t="s">
        <v>16</v>
      </c>
      <c r="F447" s="88" t="s">
        <v>198</v>
      </c>
      <c r="G447" s="29" t="b">
        <v>0</v>
      </c>
      <c r="H447" s="29" t="b">
        <v>0</v>
      </c>
    </row>
    <row r="448">
      <c r="A448" s="13">
        <v>45456.0</v>
      </c>
      <c r="B448" s="14" t="s">
        <v>18</v>
      </c>
      <c r="C448" s="15" t="s">
        <v>386</v>
      </c>
      <c r="D448" s="16" t="s">
        <v>307</v>
      </c>
      <c r="E448" s="17" t="s">
        <v>16</v>
      </c>
      <c r="F448" s="88" t="s">
        <v>198</v>
      </c>
      <c r="G448" s="29" t="b">
        <v>0</v>
      </c>
      <c r="H448" s="29" t="b">
        <v>0</v>
      </c>
    </row>
    <row r="449">
      <c r="A449" s="13">
        <v>45456.0</v>
      </c>
      <c r="B449" s="14" t="s">
        <v>18</v>
      </c>
      <c r="C449" s="15" t="s">
        <v>85</v>
      </c>
      <c r="D449" s="16" t="s">
        <v>134</v>
      </c>
      <c r="E449" s="17" t="s">
        <v>84</v>
      </c>
      <c r="F449" s="88"/>
      <c r="G449" s="29" t="b">
        <v>0</v>
      </c>
      <c r="H449" s="29" t="b">
        <v>0</v>
      </c>
    </row>
    <row r="450">
      <c r="A450" s="13">
        <v>45457.0</v>
      </c>
      <c r="B450" s="14" t="s">
        <v>18</v>
      </c>
      <c r="C450" s="15" t="s">
        <v>40</v>
      </c>
      <c r="D450" s="16" t="s">
        <v>177</v>
      </c>
      <c r="E450" s="17" t="s">
        <v>66</v>
      </c>
      <c r="F450" s="88"/>
      <c r="G450" s="29" t="b">
        <v>0</v>
      </c>
      <c r="H450" s="29" t="b">
        <v>0</v>
      </c>
    </row>
    <row r="451">
      <c r="A451" s="13">
        <v>45458.0</v>
      </c>
      <c r="B451" s="14"/>
      <c r="C451" s="15"/>
      <c r="D451" s="16"/>
      <c r="E451" s="17"/>
      <c r="F451" s="143" t="s">
        <v>1825</v>
      </c>
      <c r="G451" s="29" t="b">
        <v>0</v>
      </c>
      <c r="H451" s="29" t="b">
        <v>0</v>
      </c>
    </row>
    <row r="452">
      <c r="A452" s="13">
        <v>45458.0</v>
      </c>
      <c r="B452" s="14" t="s">
        <v>18</v>
      </c>
      <c r="C452" s="15" t="s">
        <v>84</v>
      </c>
      <c r="D452" s="16" t="s">
        <v>1826</v>
      </c>
      <c r="E452" s="17" t="s">
        <v>1827</v>
      </c>
      <c r="F452" s="88" t="s">
        <v>1828</v>
      </c>
      <c r="G452" s="29" t="b">
        <v>0</v>
      </c>
      <c r="H452" s="29" t="b">
        <v>0</v>
      </c>
    </row>
    <row r="453">
      <c r="A453" s="13">
        <v>45458.0</v>
      </c>
      <c r="B453" s="14" t="s">
        <v>18</v>
      </c>
      <c r="C453" s="15" t="s">
        <v>84</v>
      </c>
      <c r="D453" s="16" t="s">
        <v>1829</v>
      </c>
      <c r="E453" s="17" t="s">
        <v>1827</v>
      </c>
      <c r="F453" s="88" t="s">
        <v>1828</v>
      </c>
      <c r="G453" s="29" t="b">
        <v>0</v>
      </c>
      <c r="H453" s="29" t="b">
        <v>0</v>
      </c>
    </row>
    <row r="454">
      <c r="A454" s="13">
        <v>45458.0</v>
      </c>
      <c r="B454" s="14" t="s">
        <v>18</v>
      </c>
      <c r="C454" s="15" t="s">
        <v>30</v>
      </c>
      <c r="D454" s="16" t="s">
        <v>1830</v>
      </c>
      <c r="E454" s="140" t="s">
        <v>585</v>
      </c>
      <c r="F454" s="88" t="s">
        <v>367</v>
      </c>
      <c r="G454" s="29" t="b">
        <v>0</v>
      </c>
      <c r="H454" s="29" t="b">
        <v>0</v>
      </c>
    </row>
    <row r="455">
      <c r="A455" s="13">
        <v>45458.0</v>
      </c>
      <c r="B455" s="14" t="s">
        <v>18</v>
      </c>
      <c r="C455" s="15" t="s">
        <v>30</v>
      </c>
      <c r="D455" s="16" t="s">
        <v>1831</v>
      </c>
      <c r="E455" s="140" t="s">
        <v>585</v>
      </c>
      <c r="F455" s="88" t="s">
        <v>37</v>
      </c>
      <c r="G455" s="29" t="b">
        <v>0</v>
      </c>
      <c r="H455" s="29" t="b">
        <v>0</v>
      </c>
    </row>
    <row r="456">
      <c r="A456" s="13">
        <v>45458.0</v>
      </c>
      <c r="B456" s="14" t="s">
        <v>18</v>
      </c>
      <c r="C456" s="15" t="s">
        <v>199</v>
      </c>
      <c r="D456" s="16" t="s">
        <v>1832</v>
      </c>
      <c r="E456" s="20" t="s">
        <v>16</v>
      </c>
      <c r="F456" s="88" t="s">
        <v>1833</v>
      </c>
      <c r="G456" s="29" t="b">
        <v>1</v>
      </c>
      <c r="H456" s="29" t="b">
        <v>0</v>
      </c>
    </row>
    <row r="457">
      <c r="A457" s="13">
        <v>45458.0</v>
      </c>
      <c r="B457" s="14" t="s">
        <v>18</v>
      </c>
      <c r="C457" s="15" t="s">
        <v>275</v>
      </c>
      <c r="D457" s="16" t="s">
        <v>1834</v>
      </c>
      <c r="E457" s="20" t="s">
        <v>16</v>
      </c>
      <c r="F457" s="312" t="s">
        <v>1835</v>
      </c>
      <c r="G457" s="29" t="b">
        <v>1</v>
      </c>
      <c r="H457" s="29" t="b">
        <v>0</v>
      </c>
    </row>
    <row r="458">
      <c r="A458" s="13">
        <v>45458.0</v>
      </c>
      <c r="B458" s="14" t="s">
        <v>1345</v>
      </c>
      <c r="C458" s="15" t="s">
        <v>60</v>
      </c>
      <c r="D458" s="16" t="s">
        <v>160</v>
      </c>
      <c r="E458" s="17" t="s">
        <v>16</v>
      </c>
      <c r="F458" s="312"/>
      <c r="G458" s="29" t="b">
        <v>0</v>
      </c>
      <c r="H458" s="29" t="b">
        <v>0</v>
      </c>
    </row>
    <row r="459" ht="38.25" customHeight="1">
      <c r="A459" s="13">
        <v>45460.0</v>
      </c>
      <c r="B459" s="14" t="s">
        <v>18</v>
      </c>
      <c r="C459" s="15" t="s">
        <v>1398</v>
      </c>
      <c r="D459" s="16" t="s">
        <v>960</v>
      </c>
      <c r="E459" s="17"/>
      <c r="F459" s="313" t="s">
        <v>198</v>
      </c>
      <c r="G459" s="29" t="b">
        <v>0</v>
      </c>
      <c r="H459" s="29" t="b">
        <v>0</v>
      </c>
    </row>
    <row r="460" ht="38.25" customHeight="1">
      <c r="A460" s="13">
        <v>45461.0</v>
      </c>
      <c r="B460" s="14" t="s">
        <v>18</v>
      </c>
      <c r="C460" s="15" t="s">
        <v>79</v>
      </c>
      <c r="D460" s="16" t="s">
        <v>1836</v>
      </c>
      <c r="E460" s="17" t="s">
        <v>259</v>
      </c>
      <c r="F460" s="313"/>
      <c r="G460" s="29" t="b">
        <v>0</v>
      </c>
      <c r="H460" s="29" t="b">
        <v>0</v>
      </c>
    </row>
    <row r="461">
      <c r="A461" s="13">
        <v>45461.0</v>
      </c>
      <c r="B461" s="14" t="s">
        <v>10</v>
      </c>
      <c r="C461" s="15" t="s">
        <v>63</v>
      </c>
      <c r="D461" s="16" t="s">
        <v>1412</v>
      </c>
      <c r="E461" s="17" t="s">
        <v>1837</v>
      </c>
      <c r="F461" s="313" t="s">
        <v>62</v>
      </c>
      <c r="G461" s="29" t="b">
        <v>0</v>
      </c>
      <c r="H461" s="29" t="b">
        <v>0</v>
      </c>
    </row>
    <row r="462">
      <c r="A462" s="13">
        <v>45461.0</v>
      </c>
      <c r="B462" s="14" t="s">
        <v>10</v>
      </c>
      <c r="C462" s="21" t="s">
        <v>1411</v>
      </c>
      <c r="D462" s="22" t="s">
        <v>96</v>
      </c>
      <c r="E462" s="23" t="s">
        <v>16</v>
      </c>
      <c r="F462" s="314" t="s">
        <v>198</v>
      </c>
      <c r="G462" s="29" t="b">
        <v>0</v>
      </c>
      <c r="H462" s="29" t="b">
        <v>0</v>
      </c>
    </row>
    <row r="463">
      <c r="A463" s="13">
        <v>45461.0</v>
      </c>
      <c r="B463" s="14" t="s">
        <v>10</v>
      </c>
      <c r="C463" s="15" t="s">
        <v>394</v>
      </c>
      <c r="D463" s="16" t="s">
        <v>1412</v>
      </c>
      <c r="E463" s="17" t="s">
        <v>1837</v>
      </c>
      <c r="F463" s="93" t="s">
        <v>62</v>
      </c>
      <c r="G463" s="29" t="b">
        <v>0</v>
      </c>
      <c r="H463" s="29" t="b">
        <v>0</v>
      </c>
    </row>
    <row r="464">
      <c r="A464" s="13">
        <v>45462.0</v>
      </c>
      <c r="B464" s="14" t="s">
        <v>18</v>
      </c>
      <c r="C464" s="15" t="s">
        <v>386</v>
      </c>
      <c r="D464" s="16" t="s">
        <v>348</v>
      </c>
      <c r="E464" s="17" t="s">
        <v>16</v>
      </c>
      <c r="F464" s="93" t="s">
        <v>198</v>
      </c>
      <c r="G464" s="29" t="b">
        <v>0</v>
      </c>
      <c r="H464" s="29" t="b">
        <v>0</v>
      </c>
    </row>
    <row r="465">
      <c r="A465" s="13">
        <v>45463.0</v>
      </c>
      <c r="B465" s="14" t="s">
        <v>59</v>
      </c>
      <c r="C465" s="15" t="s">
        <v>85</v>
      </c>
      <c r="D465" s="16" t="s">
        <v>1838</v>
      </c>
      <c r="E465" s="17"/>
      <c r="F465" s="93" t="s">
        <v>1839</v>
      </c>
      <c r="G465" s="29" t="b">
        <v>1</v>
      </c>
      <c r="H465" s="29" t="b">
        <v>0</v>
      </c>
    </row>
    <row r="466">
      <c r="A466" s="13">
        <v>45463.0</v>
      </c>
      <c r="B466" s="14" t="s">
        <v>26</v>
      </c>
      <c r="C466" s="15" t="s">
        <v>131</v>
      </c>
      <c r="D466" s="16" t="s">
        <v>1840</v>
      </c>
      <c r="E466" s="17" t="s">
        <v>16</v>
      </c>
      <c r="F466" s="93" t="s">
        <v>1841</v>
      </c>
      <c r="G466" s="29" t="b">
        <v>0</v>
      </c>
      <c r="H466" s="29" t="b">
        <v>0</v>
      </c>
    </row>
    <row r="467">
      <c r="A467" s="13">
        <v>45463.0</v>
      </c>
      <c r="B467" s="14" t="s">
        <v>10</v>
      </c>
      <c r="C467" s="15" t="s">
        <v>1418</v>
      </c>
      <c r="D467" s="16" t="s">
        <v>140</v>
      </c>
      <c r="E467" s="17" t="s">
        <v>16</v>
      </c>
      <c r="F467" s="93"/>
      <c r="G467" s="29" t="b">
        <v>0</v>
      </c>
      <c r="H467" s="29" t="b">
        <v>0</v>
      </c>
    </row>
    <row r="468">
      <c r="A468" s="13">
        <v>45463.0</v>
      </c>
      <c r="B468" s="14" t="s">
        <v>18</v>
      </c>
      <c r="C468" s="15" t="s">
        <v>630</v>
      </c>
      <c r="D468" s="16" t="s">
        <v>1842</v>
      </c>
      <c r="E468" s="17" t="s">
        <v>1823</v>
      </c>
      <c r="F468" s="88" t="s">
        <v>634</v>
      </c>
      <c r="G468" s="29" t="b">
        <v>0</v>
      </c>
      <c r="H468" s="29" t="b">
        <v>0</v>
      </c>
    </row>
    <row r="469">
      <c r="A469" s="13">
        <v>45463.0</v>
      </c>
      <c r="B469" s="14"/>
      <c r="C469" s="15"/>
      <c r="D469" s="16"/>
      <c r="E469" s="17"/>
      <c r="F469" s="143" t="s">
        <v>1843</v>
      </c>
      <c r="G469" s="29" t="b">
        <v>0</v>
      </c>
      <c r="H469" s="29" t="b">
        <v>0</v>
      </c>
    </row>
    <row r="470">
      <c r="A470" s="13">
        <v>45464.0</v>
      </c>
      <c r="B470" s="14" t="s">
        <v>18</v>
      </c>
      <c r="C470" s="15" t="s">
        <v>60</v>
      </c>
      <c r="D470" s="16" t="s">
        <v>1844</v>
      </c>
      <c r="E470" s="17"/>
      <c r="F470" s="88" t="s">
        <v>1845</v>
      </c>
      <c r="G470" s="29" t="b">
        <v>0</v>
      </c>
      <c r="H470" s="29" t="b">
        <v>0</v>
      </c>
    </row>
    <row r="471">
      <c r="A471" s="13">
        <v>45464.0</v>
      </c>
      <c r="B471" s="14" t="s">
        <v>18</v>
      </c>
      <c r="C471" s="133" t="s">
        <v>60</v>
      </c>
      <c r="D471" s="16" t="s">
        <v>403</v>
      </c>
      <c r="E471" s="17"/>
      <c r="F471" s="88" t="s">
        <v>1647</v>
      </c>
      <c r="G471" s="29" t="b">
        <v>0</v>
      </c>
      <c r="H471" s="29" t="b">
        <v>0</v>
      </c>
    </row>
    <row r="472">
      <c r="A472" s="13">
        <v>45464.0</v>
      </c>
      <c r="B472" s="14" t="s">
        <v>18</v>
      </c>
      <c r="C472" s="133" t="s">
        <v>60</v>
      </c>
      <c r="D472" s="16" t="s">
        <v>1846</v>
      </c>
      <c r="E472" s="315" t="s">
        <v>16</v>
      </c>
      <c r="F472" s="88" t="s">
        <v>1847</v>
      </c>
      <c r="G472" s="29" t="b">
        <v>1</v>
      </c>
      <c r="H472" s="29" t="b">
        <v>0</v>
      </c>
    </row>
    <row r="473">
      <c r="A473" s="13">
        <v>45465.0</v>
      </c>
      <c r="B473" s="14" t="s">
        <v>18</v>
      </c>
      <c r="C473" s="133" t="s">
        <v>411</v>
      </c>
      <c r="D473" s="16" t="s">
        <v>157</v>
      </c>
      <c r="E473" s="315" t="s">
        <v>16</v>
      </c>
      <c r="F473" s="88" t="s">
        <v>1847</v>
      </c>
      <c r="G473" s="29" t="b">
        <v>1</v>
      </c>
      <c r="H473" s="29" t="b">
        <v>0</v>
      </c>
    </row>
    <row r="474">
      <c r="A474" s="13">
        <v>45465.0</v>
      </c>
      <c r="B474" s="14" t="s">
        <v>18</v>
      </c>
      <c r="C474" s="133" t="s">
        <v>60</v>
      </c>
      <c r="D474" s="16" t="s">
        <v>1848</v>
      </c>
      <c r="E474" s="310" t="s">
        <v>16</v>
      </c>
      <c r="F474" s="88" t="s">
        <v>627</v>
      </c>
      <c r="G474" s="29" t="b">
        <v>1</v>
      </c>
      <c r="H474" s="29" t="b">
        <v>0</v>
      </c>
    </row>
    <row r="475">
      <c r="A475" s="13">
        <v>45465.0</v>
      </c>
      <c r="B475" s="14" t="s">
        <v>18</v>
      </c>
      <c r="C475" s="133" t="s">
        <v>60</v>
      </c>
      <c r="D475" s="16" t="s">
        <v>1831</v>
      </c>
      <c r="E475" s="135"/>
      <c r="F475" s="88" t="s">
        <v>1849</v>
      </c>
      <c r="G475" s="29" t="b">
        <v>0</v>
      </c>
      <c r="H475" s="29" t="b">
        <v>0</v>
      </c>
    </row>
    <row r="476">
      <c r="A476" s="13">
        <v>45465.0</v>
      </c>
      <c r="B476" s="14" t="s">
        <v>18</v>
      </c>
      <c r="C476" s="133" t="s">
        <v>60</v>
      </c>
      <c r="D476" s="16" t="s">
        <v>1850</v>
      </c>
      <c r="E476" s="135" t="s">
        <v>394</v>
      </c>
      <c r="F476" s="88"/>
      <c r="G476" s="29" t="b">
        <v>0</v>
      </c>
      <c r="H476" s="29" t="b">
        <v>0</v>
      </c>
    </row>
    <row r="477">
      <c r="A477" s="13">
        <v>45465.0</v>
      </c>
      <c r="B477" s="14" t="s">
        <v>18</v>
      </c>
      <c r="C477" s="133" t="s">
        <v>60</v>
      </c>
      <c r="D477" s="16" t="s">
        <v>1062</v>
      </c>
      <c r="E477" s="316" t="s">
        <v>16</v>
      </c>
      <c r="F477" s="88" t="s">
        <v>89</v>
      </c>
      <c r="G477" s="29" t="b">
        <v>1</v>
      </c>
      <c r="H477" s="29" t="b">
        <v>0</v>
      </c>
    </row>
    <row r="478">
      <c r="A478" s="13">
        <v>45465.0</v>
      </c>
      <c r="B478" s="14" t="s">
        <v>18</v>
      </c>
      <c r="C478" s="133" t="s">
        <v>60</v>
      </c>
      <c r="D478" s="16" t="s">
        <v>1851</v>
      </c>
      <c r="E478" s="315" t="s">
        <v>16</v>
      </c>
      <c r="F478" s="88" t="s">
        <v>1852</v>
      </c>
      <c r="G478" s="29" t="b">
        <v>1</v>
      </c>
      <c r="H478" s="29" t="b">
        <v>0</v>
      </c>
    </row>
    <row r="479">
      <c r="A479" s="13">
        <v>45465.0</v>
      </c>
      <c r="B479" s="14" t="s">
        <v>18</v>
      </c>
      <c r="C479" s="133" t="s">
        <v>202</v>
      </c>
      <c r="D479" s="16"/>
      <c r="E479" s="310"/>
      <c r="F479" s="143" t="s">
        <v>1853</v>
      </c>
      <c r="G479" s="29" t="b">
        <v>0</v>
      </c>
      <c r="H479" s="29" t="b">
        <v>0</v>
      </c>
    </row>
    <row r="480">
      <c r="A480" s="13">
        <v>45467.0</v>
      </c>
      <c r="B480" s="14" t="s">
        <v>18</v>
      </c>
      <c r="C480" s="133" t="s">
        <v>60</v>
      </c>
      <c r="D480" s="16" t="s">
        <v>1854</v>
      </c>
      <c r="E480" s="135" t="s">
        <v>19</v>
      </c>
      <c r="F480" s="88"/>
      <c r="G480" s="29" t="b">
        <v>0</v>
      </c>
      <c r="H480" s="29" t="b">
        <v>0</v>
      </c>
    </row>
    <row r="481">
      <c r="A481" s="13">
        <v>45467.0</v>
      </c>
      <c r="B481" s="14" t="s">
        <v>18</v>
      </c>
      <c r="C481" s="133" t="s">
        <v>47</v>
      </c>
      <c r="D481" s="16" t="s">
        <v>1855</v>
      </c>
      <c r="E481" s="135" t="s">
        <v>30</v>
      </c>
      <c r="F481" s="88"/>
      <c r="G481" s="29" t="b">
        <v>0</v>
      </c>
      <c r="H481" s="29" t="b">
        <v>0</v>
      </c>
    </row>
    <row r="482">
      <c r="A482" s="13">
        <v>45467.0</v>
      </c>
      <c r="B482" s="14" t="s">
        <v>18</v>
      </c>
      <c r="C482" s="133" t="s">
        <v>253</v>
      </c>
      <c r="D482" s="16" t="s">
        <v>115</v>
      </c>
      <c r="E482" s="17" t="s">
        <v>1556</v>
      </c>
      <c r="F482" s="26"/>
      <c r="G482" s="32" t="b">
        <v>0</v>
      </c>
      <c r="H482" s="32" t="b">
        <v>0</v>
      </c>
    </row>
    <row r="483">
      <c r="A483" s="13">
        <v>45467.0</v>
      </c>
      <c r="B483" s="14" t="s">
        <v>10</v>
      </c>
      <c r="C483" s="133" t="s">
        <v>76</v>
      </c>
      <c r="D483" s="16" t="s">
        <v>1165</v>
      </c>
      <c r="E483" s="17"/>
      <c r="F483" s="26" t="s">
        <v>62</v>
      </c>
      <c r="G483" s="32" t="b">
        <v>0</v>
      </c>
      <c r="H483" s="32" t="b">
        <v>0</v>
      </c>
    </row>
    <row r="484">
      <c r="A484" s="13">
        <v>45467.0</v>
      </c>
      <c r="B484" s="14" t="s">
        <v>18</v>
      </c>
      <c r="C484" s="133" t="s">
        <v>846</v>
      </c>
      <c r="D484" s="16" t="s">
        <v>115</v>
      </c>
      <c r="E484" s="17" t="s">
        <v>1556</v>
      </c>
      <c r="F484" s="26"/>
      <c r="G484" s="32" t="b">
        <v>0</v>
      </c>
      <c r="H484" s="32" t="b">
        <v>0</v>
      </c>
    </row>
    <row r="485">
      <c r="A485" s="13">
        <v>45468.0</v>
      </c>
      <c r="B485" s="14" t="s">
        <v>18</v>
      </c>
      <c r="C485" s="133" t="s">
        <v>128</v>
      </c>
      <c r="D485" s="16" t="s">
        <v>72</v>
      </c>
      <c r="E485" s="17" t="s">
        <v>623</v>
      </c>
      <c r="F485" s="26"/>
      <c r="G485" s="32" t="b">
        <v>0</v>
      </c>
      <c r="H485" s="32" t="b">
        <v>0</v>
      </c>
    </row>
    <row r="486">
      <c r="A486" s="13">
        <v>45468.0</v>
      </c>
      <c r="B486" s="14" t="s">
        <v>10</v>
      </c>
      <c r="C486" s="133" t="s">
        <v>80</v>
      </c>
      <c r="D486" s="16" t="s">
        <v>1856</v>
      </c>
      <c r="E486" s="17" t="s">
        <v>85</v>
      </c>
      <c r="F486" s="26"/>
      <c r="G486" s="32" t="b">
        <v>0</v>
      </c>
      <c r="H486" s="32" t="b">
        <v>0</v>
      </c>
    </row>
    <row r="487">
      <c r="A487" s="13">
        <v>45468.0</v>
      </c>
      <c r="B487" s="14" t="s">
        <v>18</v>
      </c>
      <c r="C487" s="133" t="s">
        <v>128</v>
      </c>
      <c r="D487" s="16" t="s">
        <v>254</v>
      </c>
      <c r="E487" s="17" t="s">
        <v>16</v>
      </c>
      <c r="F487" s="26" t="s">
        <v>1857</v>
      </c>
      <c r="G487" s="32" t="b">
        <v>0</v>
      </c>
      <c r="H487" s="32" t="b">
        <v>0</v>
      </c>
    </row>
    <row r="488">
      <c r="A488" s="13">
        <v>45468.0</v>
      </c>
      <c r="B488" s="14" t="s">
        <v>18</v>
      </c>
      <c r="C488" s="133" t="s">
        <v>47</v>
      </c>
      <c r="D488" s="16" t="s">
        <v>1858</v>
      </c>
      <c r="E488" s="17" t="s">
        <v>30</v>
      </c>
      <c r="F488" s="26"/>
      <c r="G488" s="29" t="b">
        <v>0</v>
      </c>
      <c r="H488" s="29" t="b">
        <v>0</v>
      </c>
    </row>
    <row r="489">
      <c r="A489" s="13">
        <v>45469.0</v>
      </c>
      <c r="B489" s="14" t="s">
        <v>18</v>
      </c>
      <c r="C489" s="133" t="s">
        <v>47</v>
      </c>
      <c r="D489" s="16" t="s">
        <v>1859</v>
      </c>
      <c r="E489" s="17" t="s">
        <v>1359</v>
      </c>
      <c r="F489" s="26"/>
      <c r="G489" s="29" t="b">
        <v>0</v>
      </c>
      <c r="H489" s="29" t="b">
        <v>0</v>
      </c>
    </row>
    <row r="490">
      <c r="A490" s="13">
        <v>45470.0</v>
      </c>
      <c r="B490" s="14" t="s">
        <v>18</v>
      </c>
      <c r="C490" s="133" t="s">
        <v>47</v>
      </c>
      <c r="D490" s="16" t="s">
        <v>1860</v>
      </c>
      <c r="E490" s="17" t="s">
        <v>30</v>
      </c>
      <c r="F490" s="26"/>
      <c r="G490" s="29" t="b">
        <v>0</v>
      </c>
      <c r="H490" s="29" t="b">
        <v>0</v>
      </c>
    </row>
    <row r="491">
      <c r="A491" s="13">
        <v>45470.0</v>
      </c>
      <c r="B491" s="14" t="s">
        <v>26</v>
      </c>
      <c r="C491" s="311" t="s">
        <v>131</v>
      </c>
      <c r="D491" s="16" t="s">
        <v>1840</v>
      </c>
      <c r="E491" s="17"/>
      <c r="F491" s="26" t="s">
        <v>1841</v>
      </c>
      <c r="G491" s="29" t="b">
        <v>0</v>
      </c>
      <c r="H491" s="29" t="b">
        <v>0</v>
      </c>
    </row>
    <row r="492">
      <c r="A492" s="13">
        <v>45472.0</v>
      </c>
      <c r="B492" s="14" t="s">
        <v>18</v>
      </c>
      <c r="C492" s="311" t="s">
        <v>110</v>
      </c>
      <c r="D492" s="317" t="s">
        <v>508</v>
      </c>
      <c r="E492" s="17" t="s">
        <v>16</v>
      </c>
      <c r="F492" s="143" t="s">
        <v>1541</v>
      </c>
      <c r="G492" s="29" t="b">
        <v>1</v>
      </c>
      <c r="H492" s="29" t="b">
        <v>0</v>
      </c>
    </row>
    <row r="493">
      <c r="A493" s="13">
        <v>45472.0</v>
      </c>
      <c r="B493" s="14" t="s">
        <v>18</v>
      </c>
      <c r="C493" s="311" t="s">
        <v>84</v>
      </c>
      <c r="D493" s="16" t="s">
        <v>193</v>
      </c>
      <c r="E493" s="315" t="s">
        <v>1861</v>
      </c>
      <c r="F493" s="26" t="s">
        <v>164</v>
      </c>
      <c r="G493" s="29" t="b">
        <v>0</v>
      </c>
      <c r="H493" s="29" t="b">
        <v>0</v>
      </c>
    </row>
    <row r="494">
      <c r="A494" s="13">
        <v>45472.0</v>
      </c>
      <c r="B494" s="14" t="s">
        <v>18</v>
      </c>
      <c r="C494" s="311" t="s">
        <v>60</v>
      </c>
      <c r="D494" s="133" t="s">
        <v>1862</v>
      </c>
      <c r="E494" s="316" t="s">
        <v>16</v>
      </c>
      <c r="F494" s="26" t="s">
        <v>1863</v>
      </c>
      <c r="G494" s="29" t="b">
        <v>1</v>
      </c>
      <c r="H494" s="29" t="b">
        <v>0</v>
      </c>
    </row>
    <row r="495">
      <c r="A495" s="13">
        <v>45472.0</v>
      </c>
      <c r="B495" s="14" t="s">
        <v>18</v>
      </c>
      <c r="C495" s="311" t="s">
        <v>60</v>
      </c>
      <c r="D495" s="16" t="s">
        <v>1851</v>
      </c>
      <c r="E495" s="135" t="s">
        <v>1864</v>
      </c>
      <c r="F495" s="26" t="s">
        <v>1839</v>
      </c>
      <c r="G495" s="29" t="b">
        <v>1</v>
      </c>
      <c r="H495" s="29" t="b">
        <v>0</v>
      </c>
    </row>
    <row r="496">
      <c r="A496" s="13">
        <v>45476.0</v>
      </c>
      <c r="B496" s="14" t="s">
        <v>18</v>
      </c>
      <c r="C496" s="133" t="s">
        <v>60</v>
      </c>
      <c r="D496" s="16" t="s">
        <v>1865</v>
      </c>
      <c r="E496" s="135"/>
      <c r="F496" s="26" t="s">
        <v>1839</v>
      </c>
      <c r="G496" s="29" t="b">
        <v>0</v>
      </c>
      <c r="H496" s="29" t="b">
        <v>0</v>
      </c>
    </row>
    <row r="497">
      <c r="A497" s="13">
        <v>45476.0</v>
      </c>
      <c r="B497" s="14" t="s">
        <v>18</v>
      </c>
      <c r="C497" s="133" t="s">
        <v>189</v>
      </c>
      <c r="D497" s="16" t="s">
        <v>1866</v>
      </c>
      <c r="E497" s="17" t="s">
        <v>936</v>
      </c>
      <c r="F497" s="26" t="s">
        <v>1867</v>
      </c>
      <c r="G497" s="29" t="b">
        <v>0</v>
      </c>
      <c r="H497" s="29" t="b">
        <v>0</v>
      </c>
    </row>
    <row r="498">
      <c r="A498" s="37">
        <v>45476.0</v>
      </c>
      <c r="B498" s="38" t="s">
        <v>18</v>
      </c>
      <c r="C498" s="77" t="s">
        <v>38</v>
      </c>
      <c r="D498" s="40" t="s">
        <v>1868</v>
      </c>
      <c r="E498" s="83" t="s">
        <v>16</v>
      </c>
      <c r="F498" s="88" t="s">
        <v>1869</v>
      </c>
      <c r="G498" s="29" t="b">
        <v>1</v>
      </c>
      <c r="H498" s="29" t="b">
        <v>0</v>
      </c>
    </row>
    <row r="499">
      <c r="A499" s="37">
        <v>45485.0</v>
      </c>
      <c r="B499" s="38" t="s">
        <v>26</v>
      </c>
      <c r="C499" s="77" t="s">
        <v>60</v>
      </c>
      <c r="D499" s="40" t="s">
        <v>1870</v>
      </c>
      <c r="E499" s="83" t="s">
        <v>16</v>
      </c>
      <c r="F499" s="88" t="s">
        <v>862</v>
      </c>
      <c r="G499" s="29" t="b">
        <v>1</v>
      </c>
      <c r="H499" s="29" t="b">
        <v>0</v>
      </c>
    </row>
    <row r="500">
      <c r="A500" s="37">
        <v>45489.0</v>
      </c>
      <c r="B500" s="38" t="s">
        <v>18</v>
      </c>
      <c r="C500" s="77" t="s">
        <v>125</v>
      </c>
      <c r="D500" s="40" t="s">
        <v>680</v>
      </c>
      <c r="E500" s="83" t="s">
        <v>16</v>
      </c>
      <c r="F500" s="88" t="s">
        <v>1783</v>
      </c>
      <c r="G500" s="29" t="b">
        <v>1</v>
      </c>
      <c r="H500" s="29" t="b">
        <v>0</v>
      </c>
    </row>
    <row r="501">
      <c r="A501" s="13">
        <v>45495.0</v>
      </c>
      <c r="B501" s="14" t="s">
        <v>18</v>
      </c>
      <c r="C501" s="133" t="s">
        <v>587</v>
      </c>
      <c r="D501" s="16" t="s">
        <v>1871</v>
      </c>
      <c r="E501" s="17" t="s">
        <v>16</v>
      </c>
      <c r="F501" s="26" t="s">
        <v>97</v>
      </c>
      <c r="G501" s="29" t="b">
        <v>0</v>
      </c>
      <c r="H501" s="29" t="b">
        <v>0</v>
      </c>
    </row>
    <row r="502">
      <c r="A502" s="13">
        <v>45495.0</v>
      </c>
      <c r="B502" s="14" t="s">
        <v>18</v>
      </c>
      <c r="C502" s="133" t="s">
        <v>1550</v>
      </c>
      <c r="D502" s="16" t="s">
        <v>678</v>
      </c>
      <c r="E502" s="17" t="s">
        <v>16</v>
      </c>
      <c r="F502" s="26" t="s">
        <v>1872</v>
      </c>
      <c r="G502" s="29" t="b">
        <v>1</v>
      </c>
      <c r="H502" s="29" t="b">
        <v>0</v>
      </c>
    </row>
    <row r="503">
      <c r="A503" s="13">
        <v>45495.0</v>
      </c>
      <c r="B503" s="14" t="s">
        <v>18</v>
      </c>
      <c r="C503" s="133" t="s">
        <v>1359</v>
      </c>
      <c r="D503" s="16" t="s">
        <v>676</v>
      </c>
      <c r="E503" s="17" t="s">
        <v>144</v>
      </c>
      <c r="F503" s="26" t="s">
        <v>1735</v>
      </c>
      <c r="G503" s="29" t="b">
        <v>0</v>
      </c>
      <c r="H503" s="29" t="b">
        <v>0</v>
      </c>
    </row>
    <row r="504">
      <c r="A504" s="51">
        <v>45497.0</v>
      </c>
      <c r="B504" s="52" t="s">
        <v>26</v>
      </c>
      <c r="C504" s="90" t="s">
        <v>60</v>
      </c>
      <c r="D504" s="54" t="s">
        <v>1873</v>
      </c>
      <c r="E504" s="96" t="s">
        <v>65</v>
      </c>
      <c r="F504" s="93" t="s">
        <v>862</v>
      </c>
      <c r="G504" s="29" t="b">
        <v>0</v>
      </c>
      <c r="H504" s="29" t="b">
        <v>0</v>
      </c>
    </row>
    <row r="505">
      <c r="A505" s="13"/>
      <c r="B505" s="14"/>
      <c r="C505" s="15"/>
      <c r="D505" s="16"/>
      <c r="E505" s="17"/>
      <c r="F505" s="143" t="s">
        <v>1874</v>
      </c>
      <c r="G505" s="29" t="b">
        <v>0</v>
      </c>
      <c r="H505" s="29" t="b">
        <v>0</v>
      </c>
    </row>
    <row r="506">
      <c r="A506" s="13"/>
      <c r="B506" s="14"/>
      <c r="C506" s="15" t="s">
        <v>630</v>
      </c>
      <c r="D506" s="16" t="s">
        <v>669</v>
      </c>
      <c r="E506" s="17" t="s">
        <v>1875</v>
      </c>
      <c r="F506" s="88"/>
      <c r="G506" s="29" t="b">
        <v>0</v>
      </c>
      <c r="H506" s="29" t="b">
        <v>0</v>
      </c>
    </row>
    <row r="507">
      <c r="A507" s="37">
        <v>45569.0</v>
      </c>
      <c r="B507" s="38" t="s">
        <v>18</v>
      </c>
      <c r="C507" s="39" t="s">
        <v>11</v>
      </c>
      <c r="D507" s="40" t="s">
        <v>1876</v>
      </c>
      <c r="E507" s="83"/>
      <c r="F507" s="88"/>
      <c r="G507" s="29" t="b">
        <v>0</v>
      </c>
      <c r="H507" s="29" t="b">
        <v>0</v>
      </c>
    </row>
    <row r="508">
      <c r="A508" s="37"/>
      <c r="B508" s="38"/>
      <c r="C508" s="39"/>
      <c r="D508" s="40"/>
      <c r="E508" s="83"/>
      <c r="F508" s="88"/>
      <c r="G508" s="29" t="b">
        <v>0</v>
      </c>
      <c r="H508" s="29" t="b">
        <v>0</v>
      </c>
    </row>
    <row r="509">
      <c r="A509" s="37"/>
      <c r="B509" s="38"/>
      <c r="C509" s="39"/>
      <c r="D509" s="40"/>
      <c r="E509" s="83"/>
      <c r="F509" s="88"/>
      <c r="G509" s="29" t="b">
        <v>0</v>
      </c>
      <c r="H509" s="29" t="b">
        <v>0</v>
      </c>
    </row>
    <row r="510">
      <c r="A510" s="37"/>
      <c r="B510" s="38"/>
      <c r="C510" s="39"/>
      <c r="D510" s="40"/>
      <c r="E510" s="83"/>
      <c r="F510" s="88"/>
      <c r="G510" s="29" t="b">
        <v>0</v>
      </c>
      <c r="H510" s="29" t="b">
        <v>0</v>
      </c>
    </row>
    <row r="511">
      <c r="A511" s="37"/>
      <c r="B511" s="38"/>
      <c r="C511" s="39"/>
      <c r="D511" s="40"/>
      <c r="E511" s="83"/>
      <c r="F511" s="88"/>
      <c r="G511" s="29" t="b">
        <v>0</v>
      </c>
      <c r="H511" s="29" t="b">
        <v>0</v>
      </c>
    </row>
    <row r="512">
      <c r="A512" s="37"/>
      <c r="B512" s="38"/>
      <c r="C512" s="39"/>
      <c r="D512" s="40"/>
      <c r="E512" s="83"/>
      <c r="F512" s="88"/>
      <c r="G512" s="29" t="b">
        <v>0</v>
      </c>
      <c r="H512" s="29" t="b">
        <v>0</v>
      </c>
    </row>
    <row r="513">
      <c r="A513" s="37"/>
      <c r="B513" s="38"/>
      <c r="C513" s="39"/>
      <c r="D513" s="40"/>
      <c r="E513" s="83"/>
      <c r="F513" s="88"/>
      <c r="G513" s="29" t="b">
        <v>0</v>
      </c>
      <c r="H513" s="29" t="b">
        <v>0</v>
      </c>
    </row>
    <row r="514">
      <c r="A514" s="37"/>
      <c r="B514" s="38"/>
      <c r="C514" s="39"/>
      <c r="D514" s="40"/>
      <c r="E514" s="83"/>
      <c r="F514" s="88"/>
      <c r="G514" s="29" t="b">
        <v>0</v>
      </c>
      <c r="H514" s="29" t="b">
        <v>0</v>
      </c>
    </row>
    <row r="515">
      <c r="A515" s="37"/>
      <c r="B515" s="38"/>
      <c r="C515" s="39"/>
      <c r="D515" s="40"/>
      <c r="E515" s="83"/>
      <c r="F515" s="88"/>
      <c r="G515" s="29" t="b">
        <v>0</v>
      </c>
      <c r="H515" s="29" t="b">
        <v>0</v>
      </c>
    </row>
    <row r="516">
      <c r="A516" s="37"/>
      <c r="B516" s="38"/>
      <c r="C516" s="39"/>
      <c r="D516" s="40"/>
      <c r="E516" s="83"/>
      <c r="F516" s="88"/>
      <c r="G516" s="29" t="b">
        <v>0</v>
      </c>
      <c r="H516" s="29" t="b">
        <v>0</v>
      </c>
    </row>
    <row r="517">
      <c r="A517" s="37"/>
      <c r="B517" s="38"/>
      <c r="C517" s="39"/>
      <c r="D517" s="40"/>
      <c r="E517" s="83"/>
      <c r="F517" s="88"/>
      <c r="G517" s="29" t="b">
        <v>0</v>
      </c>
      <c r="H517" s="29" t="b">
        <v>0</v>
      </c>
    </row>
    <row r="518">
      <c r="A518" s="37"/>
      <c r="B518" s="38"/>
      <c r="C518" s="39"/>
      <c r="D518" s="40"/>
      <c r="E518" s="83"/>
      <c r="F518" s="88"/>
      <c r="G518" s="29" t="b">
        <v>0</v>
      </c>
      <c r="H518" s="29" t="b">
        <v>0</v>
      </c>
    </row>
    <row r="519">
      <c r="A519" s="37"/>
      <c r="B519" s="38"/>
      <c r="C519" s="39"/>
      <c r="D519" s="40"/>
      <c r="E519" s="83"/>
      <c r="F519" s="88"/>
      <c r="G519" s="29" t="b">
        <v>0</v>
      </c>
      <c r="H519" s="29" t="b">
        <v>0</v>
      </c>
    </row>
    <row r="520">
      <c r="A520" s="37"/>
      <c r="B520" s="38"/>
      <c r="C520" s="39"/>
      <c r="D520" s="40"/>
      <c r="E520" s="83"/>
      <c r="F520" s="88"/>
      <c r="G520" s="29" t="b">
        <v>0</v>
      </c>
      <c r="H520" s="29" t="b">
        <v>0</v>
      </c>
    </row>
    <row r="521">
      <c r="A521" s="37"/>
      <c r="B521" s="38"/>
      <c r="C521" s="39"/>
      <c r="D521" s="40"/>
      <c r="E521" s="83"/>
      <c r="F521" s="88"/>
      <c r="G521" s="29" t="b">
        <v>0</v>
      </c>
      <c r="H521" s="29" t="b">
        <v>0</v>
      </c>
    </row>
    <row r="522">
      <c r="A522" s="37"/>
      <c r="B522" s="38"/>
      <c r="C522" s="39"/>
      <c r="D522" s="40"/>
      <c r="E522" s="83"/>
      <c r="F522" s="88"/>
      <c r="G522" s="29" t="b">
        <v>0</v>
      </c>
      <c r="H522" s="29" t="b">
        <v>0</v>
      </c>
    </row>
    <row r="523">
      <c r="A523" s="37"/>
      <c r="B523" s="38"/>
      <c r="C523" s="39"/>
      <c r="D523" s="40"/>
      <c r="E523" s="83"/>
      <c r="F523" s="88"/>
      <c r="G523" s="29" t="b">
        <v>0</v>
      </c>
      <c r="H523" s="29" t="b">
        <v>0</v>
      </c>
    </row>
    <row r="524">
      <c r="A524" s="37"/>
      <c r="B524" s="38"/>
      <c r="C524" s="39"/>
      <c r="D524" s="40"/>
      <c r="E524" s="83"/>
      <c r="F524" s="88"/>
      <c r="G524" s="29" t="b">
        <v>0</v>
      </c>
      <c r="H524" s="29" t="b">
        <v>0</v>
      </c>
    </row>
    <row r="525">
      <c r="A525" s="37"/>
      <c r="B525" s="38"/>
      <c r="C525" s="39"/>
      <c r="D525" s="40"/>
      <c r="E525" s="83"/>
      <c r="F525" s="88"/>
      <c r="G525" s="29" t="b">
        <v>0</v>
      </c>
      <c r="H525" s="29" t="b">
        <v>0</v>
      </c>
    </row>
    <row r="526">
      <c r="A526" s="37"/>
      <c r="B526" s="38"/>
      <c r="C526" s="39"/>
      <c r="D526" s="40"/>
      <c r="E526" s="83"/>
      <c r="F526" s="88"/>
      <c r="G526" s="29" t="b">
        <v>0</v>
      </c>
      <c r="H526" s="29" t="b">
        <v>0</v>
      </c>
    </row>
    <row r="527">
      <c r="A527" s="37"/>
      <c r="B527" s="38"/>
      <c r="C527" s="39"/>
      <c r="D527" s="40"/>
      <c r="E527" s="83"/>
      <c r="F527" s="88"/>
      <c r="G527" s="29" t="b">
        <v>0</v>
      </c>
      <c r="H527" s="29" t="b">
        <v>0</v>
      </c>
    </row>
    <row r="528">
      <c r="A528" s="37"/>
      <c r="B528" s="38"/>
      <c r="C528" s="39"/>
      <c r="D528" s="40"/>
      <c r="E528" s="83"/>
      <c r="F528" s="88"/>
      <c r="G528" s="29" t="b">
        <v>0</v>
      </c>
      <c r="H528" s="29" t="b">
        <v>0</v>
      </c>
    </row>
    <row r="529">
      <c r="A529" s="37"/>
      <c r="B529" s="38"/>
      <c r="C529" s="39"/>
      <c r="D529" s="40"/>
      <c r="E529" s="83"/>
      <c r="F529" s="88"/>
      <c r="G529" s="29" t="b">
        <v>0</v>
      </c>
      <c r="H529" s="29" t="b">
        <v>0</v>
      </c>
    </row>
    <row r="530">
      <c r="A530" s="37"/>
      <c r="B530" s="38"/>
      <c r="C530" s="39"/>
      <c r="D530" s="40"/>
      <c r="E530" s="83"/>
      <c r="F530" s="88"/>
      <c r="G530" s="29" t="b">
        <v>0</v>
      </c>
      <c r="H530" s="29" t="b">
        <v>0</v>
      </c>
    </row>
    <row r="531">
      <c r="A531" s="37"/>
      <c r="B531" s="38"/>
      <c r="C531" s="39"/>
      <c r="D531" s="40"/>
      <c r="E531" s="83"/>
      <c r="F531" s="88"/>
      <c r="G531" s="29" t="b">
        <v>0</v>
      </c>
      <c r="H531" s="29" t="b">
        <v>0</v>
      </c>
    </row>
    <row r="532">
      <c r="A532" s="37"/>
      <c r="B532" s="38"/>
      <c r="C532" s="39"/>
      <c r="D532" s="40"/>
      <c r="E532" s="83"/>
      <c r="F532" s="88"/>
      <c r="G532" s="29" t="b">
        <v>0</v>
      </c>
      <c r="H532" s="29" t="b">
        <v>0</v>
      </c>
    </row>
    <row r="533">
      <c r="A533" s="37"/>
      <c r="B533" s="38"/>
      <c r="C533" s="39"/>
      <c r="D533" s="40"/>
      <c r="E533" s="83"/>
      <c r="F533" s="88"/>
      <c r="G533" s="29" t="b">
        <v>0</v>
      </c>
      <c r="H533" s="29" t="b">
        <v>0</v>
      </c>
    </row>
    <row r="534">
      <c r="A534" s="37"/>
      <c r="B534" s="38"/>
      <c r="C534" s="39"/>
      <c r="D534" s="40"/>
      <c r="E534" s="83"/>
      <c r="F534" s="88"/>
      <c r="G534" s="29" t="b">
        <v>0</v>
      </c>
      <c r="H534" s="29" t="b">
        <v>0</v>
      </c>
    </row>
    <row r="535">
      <c r="A535" s="37"/>
      <c r="B535" s="38"/>
      <c r="C535" s="272"/>
      <c r="D535" s="40"/>
      <c r="E535" s="83"/>
      <c r="F535" s="88"/>
      <c r="G535" s="29" t="b">
        <v>0</v>
      </c>
      <c r="H535" s="29" t="b">
        <v>0</v>
      </c>
    </row>
    <row r="536">
      <c r="A536" s="37"/>
      <c r="B536" s="38"/>
      <c r="C536" s="77"/>
      <c r="D536" s="40"/>
      <c r="E536" s="83"/>
      <c r="F536" s="88"/>
      <c r="G536" s="29" t="b">
        <v>0</v>
      </c>
      <c r="H536" s="29" t="b">
        <v>0</v>
      </c>
    </row>
    <row r="537">
      <c r="A537" s="37"/>
      <c r="B537" s="38"/>
      <c r="C537" s="77"/>
      <c r="D537" s="40"/>
      <c r="E537" s="83"/>
      <c r="F537" s="88"/>
      <c r="G537" s="29" t="b">
        <v>0</v>
      </c>
      <c r="H537" s="29" t="b">
        <v>0</v>
      </c>
    </row>
    <row r="538">
      <c r="A538" s="37"/>
      <c r="B538" s="38"/>
      <c r="C538" s="77"/>
      <c r="D538" s="40"/>
      <c r="E538" s="83"/>
      <c r="F538" s="88"/>
      <c r="G538" s="29" t="b">
        <v>0</v>
      </c>
      <c r="H538" s="29" t="b">
        <v>0</v>
      </c>
    </row>
    <row r="539">
      <c r="A539" s="37"/>
      <c r="B539" s="38"/>
      <c r="C539" s="39"/>
      <c r="D539" s="40"/>
      <c r="E539" s="83"/>
      <c r="F539" s="88"/>
      <c r="G539" s="29" t="b">
        <v>0</v>
      </c>
      <c r="H539" s="29" t="b">
        <v>0</v>
      </c>
    </row>
    <row r="540">
      <c r="A540" s="37"/>
      <c r="B540" s="38"/>
      <c r="C540" s="39"/>
      <c r="D540" s="40"/>
      <c r="E540" s="83"/>
      <c r="F540" s="88"/>
      <c r="G540" s="29" t="b">
        <v>0</v>
      </c>
      <c r="H540" s="29" t="b">
        <v>0</v>
      </c>
    </row>
    <row r="541">
      <c r="A541" s="37"/>
      <c r="B541" s="38"/>
      <c r="C541" s="39"/>
      <c r="D541" s="40"/>
      <c r="E541" s="83"/>
      <c r="F541" s="88"/>
      <c r="G541" s="29" t="b">
        <v>0</v>
      </c>
      <c r="H541" s="29" t="b">
        <v>0</v>
      </c>
    </row>
    <row r="542">
      <c r="A542" s="37"/>
      <c r="B542" s="38"/>
      <c r="C542" s="39"/>
      <c r="D542" s="40"/>
      <c r="E542" s="83"/>
      <c r="F542" s="88"/>
      <c r="G542" s="29" t="b">
        <v>0</v>
      </c>
      <c r="H542" s="29" t="b">
        <v>0</v>
      </c>
    </row>
    <row r="543">
      <c r="A543" s="37"/>
      <c r="B543" s="38"/>
      <c r="C543" s="39"/>
      <c r="D543" s="40"/>
      <c r="E543" s="83"/>
      <c r="F543" s="88"/>
      <c r="G543" s="29" t="b">
        <v>0</v>
      </c>
      <c r="H543" s="29" t="b">
        <v>0</v>
      </c>
    </row>
    <row r="544">
      <c r="A544" s="37"/>
      <c r="B544" s="38"/>
      <c r="C544" s="39"/>
      <c r="D544" s="40"/>
      <c r="E544" s="83"/>
      <c r="F544" s="88"/>
      <c r="G544" s="29" t="b">
        <v>0</v>
      </c>
      <c r="H544" s="29" t="b">
        <v>0</v>
      </c>
    </row>
    <row r="545">
      <c r="A545" s="37"/>
      <c r="B545" s="38"/>
      <c r="C545" s="39"/>
      <c r="D545" s="40"/>
      <c r="E545" s="83"/>
      <c r="F545" s="88"/>
      <c r="G545" s="29" t="b">
        <v>0</v>
      </c>
      <c r="H545" s="29" t="b">
        <v>0</v>
      </c>
    </row>
    <row r="546">
      <c r="A546" s="37"/>
      <c r="B546" s="38"/>
      <c r="C546" s="39"/>
      <c r="D546" s="40"/>
      <c r="E546" s="83"/>
      <c r="F546" s="88"/>
      <c r="G546" s="29" t="b">
        <v>0</v>
      </c>
      <c r="H546" s="29" t="b">
        <v>0</v>
      </c>
    </row>
    <row r="547">
      <c r="A547" s="37"/>
      <c r="B547" s="38"/>
      <c r="C547" s="39"/>
      <c r="D547" s="40"/>
      <c r="E547" s="83"/>
      <c r="F547" s="88"/>
      <c r="G547" s="29" t="b">
        <v>0</v>
      </c>
      <c r="H547" s="29" t="b">
        <v>0</v>
      </c>
    </row>
    <row r="548">
      <c r="A548" s="37"/>
      <c r="B548" s="38"/>
      <c r="C548" s="39"/>
      <c r="D548" s="40"/>
      <c r="E548" s="83"/>
      <c r="F548" s="88"/>
      <c r="G548" s="29" t="b">
        <v>0</v>
      </c>
      <c r="H548" s="29" t="b">
        <v>0</v>
      </c>
    </row>
    <row r="549">
      <c r="A549" s="37"/>
      <c r="B549" s="38"/>
      <c r="C549" s="39"/>
      <c r="D549" s="40"/>
      <c r="E549" s="83"/>
      <c r="F549" s="88"/>
      <c r="G549" s="29" t="b">
        <v>0</v>
      </c>
      <c r="H549" s="29" t="b">
        <v>0</v>
      </c>
    </row>
    <row r="550">
      <c r="A550" s="37"/>
      <c r="B550" s="38"/>
      <c r="C550" s="39"/>
      <c r="D550" s="40"/>
      <c r="E550" s="83"/>
      <c r="F550" s="88"/>
      <c r="G550" s="29" t="b">
        <v>0</v>
      </c>
      <c r="H550" s="29" t="b">
        <v>0</v>
      </c>
    </row>
    <row r="551">
      <c r="A551" s="37"/>
      <c r="B551" s="38"/>
      <c r="C551" s="39"/>
      <c r="D551" s="40"/>
      <c r="E551" s="83"/>
      <c r="F551" s="88"/>
      <c r="G551" s="29" t="b">
        <v>0</v>
      </c>
      <c r="H551" s="29" t="b">
        <v>0</v>
      </c>
    </row>
    <row r="552">
      <c r="A552" s="37"/>
      <c r="B552" s="38"/>
      <c r="C552" s="39"/>
      <c r="D552" s="40"/>
      <c r="E552" s="83"/>
      <c r="F552" s="88"/>
      <c r="G552" s="29" t="b">
        <v>0</v>
      </c>
      <c r="H552" s="29" t="b">
        <v>0</v>
      </c>
    </row>
    <row r="553">
      <c r="A553" s="37"/>
      <c r="B553" s="38"/>
      <c r="C553" s="39"/>
      <c r="D553" s="40"/>
      <c r="E553" s="83"/>
      <c r="F553" s="83"/>
      <c r="G553" s="29" t="b">
        <v>0</v>
      </c>
      <c r="H553" s="29" t="b">
        <v>0</v>
      </c>
    </row>
    <row r="554">
      <c r="A554" s="37"/>
      <c r="B554" s="38"/>
      <c r="C554" s="39"/>
      <c r="D554" s="40"/>
      <c r="E554" s="83"/>
      <c r="F554" s="83"/>
      <c r="G554" s="29" t="b">
        <v>0</v>
      </c>
      <c r="H554" s="29" t="b">
        <v>0</v>
      </c>
    </row>
    <row r="555">
      <c r="A555" s="37"/>
      <c r="B555" s="38"/>
      <c r="C555" s="39"/>
      <c r="D555" s="40"/>
      <c r="E555" s="83"/>
      <c r="F555" s="88"/>
      <c r="G555" s="29" t="b">
        <v>0</v>
      </c>
      <c r="H555" s="29" t="b">
        <v>0</v>
      </c>
    </row>
    <row r="556">
      <c r="A556" s="37"/>
      <c r="B556" s="38"/>
      <c r="C556" s="39"/>
      <c r="D556" s="40"/>
      <c r="E556" s="83"/>
      <c r="F556" s="88"/>
      <c r="G556" s="29" t="b">
        <v>0</v>
      </c>
      <c r="H556" s="29" t="b">
        <v>0</v>
      </c>
    </row>
    <row r="557">
      <c r="A557" s="37"/>
      <c r="B557" s="38"/>
      <c r="C557" s="39"/>
      <c r="D557" s="40"/>
      <c r="E557" s="83"/>
      <c r="F557" s="88"/>
      <c r="G557" s="29" t="b">
        <v>0</v>
      </c>
      <c r="H557" s="29" t="b">
        <v>0</v>
      </c>
    </row>
    <row r="558">
      <c r="A558" s="37"/>
      <c r="B558" s="38"/>
      <c r="C558" s="39"/>
      <c r="D558" s="40"/>
      <c r="E558" s="83"/>
      <c r="F558" s="88"/>
      <c r="G558" s="29" t="b">
        <v>0</v>
      </c>
      <c r="H558" s="29" t="b">
        <v>0</v>
      </c>
    </row>
    <row r="559">
      <c r="A559" s="37"/>
      <c r="B559" s="38"/>
      <c r="C559" s="39"/>
      <c r="D559" s="40"/>
      <c r="E559" s="83"/>
      <c r="F559" s="88"/>
      <c r="G559" s="29" t="b">
        <v>0</v>
      </c>
      <c r="H559" s="29" t="b">
        <v>0</v>
      </c>
    </row>
    <row r="560">
      <c r="A560" s="37"/>
      <c r="B560" s="38"/>
      <c r="C560" s="39"/>
      <c r="D560" s="40"/>
      <c r="E560" s="83"/>
      <c r="F560" s="262"/>
      <c r="G560" s="29" t="b">
        <v>0</v>
      </c>
      <c r="H560" s="29" t="b">
        <v>0</v>
      </c>
    </row>
    <row r="561">
      <c r="A561" s="37"/>
      <c r="B561" s="38"/>
      <c r="C561" s="39"/>
      <c r="D561" s="40"/>
      <c r="E561" s="83"/>
      <c r="F561" s="256"/>
      <c r="G561" s="29" t="b">
        <v>0</v>
      </c>
      <c r="H561" s="29" t="b">
        <v>0</v>
      </c>
    </row>
    <row r="562">
      <c r="A562" s="37"/>
      <c r="B562" s="38"/>
      <c r="C562" s="39"/>
      <c r="D562" s="40"/>
      <c r="E562" s="83"/>
      <c r="F562" s="88"/>
      <c r="G562" s="29" t="b">
        <v>0</v>
      </c>
      <c r="H562" s="29" t="b">
        <v>0</v>
      </c>
    </row>
    <row r="563">
      <c r="A563" s="37"/>
      <c r="B563" s="38"/>
      <c r="C563" s="39"/>
      <c r="D563" s="40"/>
      <c r="E563" s="83"/>
      <c r="F563" s="88"/>
      <c r="G563" s="29" t="b">
        <v>0</v>
      </c>
      <c r="H563" s="29" t="b">
        <v>0</v>
      </c>
    </row>
    <row r="564">
      <c r="A564" s="37"/>
      <c r="B564" s="38"/>
      <c r="C564" s="39"/>
      <c r="D564" s="40"/>
      <c r="E564" s="83"/>
      <c r="F564" s="88"/>
      <c r="G564" s="29" t="b">
        <v>0</v>
      </c>
      <c r="H564" s="29" t="b">
        <v>0</v>
      </c>
    </row>
    <row r="565">
      <c r="A565" s="37"/>
      <c r="B565" s="38"/>
      <c r="C565" s="39"/>
      <c r="D565" s="40"/>
      <c r="E565" s="83"/>
      <c r="F565" s="88"/>
      <c r="G565" s="29" t="b">
        <v>0</v>
      </c>
      <c r="H565" s="29" t="b">
        <v>0</v>
      </c>
    </row>
    <row r="566">
      <c r="A566" s="37"/>
      <c r="B566" s="38"/>
      <c r="C566" s="39"/>
      <c r="D566" s="40"/>
      <c r="E566" s="83"/>
      <c r="F566" s="88"/>
      <c r="G566" s="29" t="b">
        <v>0</v>
      </c>
      <c r="H566" s="29" t="b">
        <v>0</v>
      </c>
    </row>
    <row r="567">
      <c r="A567" s="37"/>
      <c r="B567" s="38"/>
      <c r="C567" s="39"/>
      <c r="D567" s="40"/>
      <c r="E567" s="83"/>
      <c r="F567" s="88"/>
      <c r="G567" s="29" t="b">
        <v>0</v>
      </c>
      <c r="H567" s="29" t="b">
        <v>0</v>
      </c>
    </row>
    <row r="568">
      <c r="A568" s="37"/>
      <c r="B568" s="38"/>
      <c r="C568" s="39"/>
      <c r="D568" s="40"/>
      <c r="E568" s="83"/>
      <c r="F568" s="88"/>
      <c r="G568" s="29" t="b">
        <v>0</v>
      </c>
      <c r="H568" s="29" t="b">
        <v>0</v>
      </c>
    </row>
    <row r="569">
      <c r="A569" s="37"/>
      <c r="B569" s="38"/>
      <c r="C569" s="39"/>
      <c r="D569" s="40"/>
      <c r="E569" s="83"/>
      <c r="F569" s="88"/>
      <c r="G569" s="29" t="b">
        <v>0</v>
      </c>
      <c r="H569" s="29" t="b">
        <v>0</v>
      </c>
    </row>
    <row r="570">
      <c r="A570" s="37"/>
      <c r="B570" s="38"/>
      <c r="C570" s="39"/>
      <c r="D570" s="40"/>
      <c r="E570" s="83"/>
      <c r="F570" s="88"/>
      <c r="G570" s="29" t="b">
        <v>0</v>
      </c>
      <c r="H570" s="29" t="b">
        <v>0</v>
      </c>
    </row>
    <row r="571">
      <c r="A571" s="37"/>
      <c r="B571" s="38"/>
      <c r="C571" s="39"/>
      <c r="D571" s="40"/>
      <c r="E571" s="83"/>
      <c r="F571" s="88"/>
      <c r="G571" s="29" t="b">
        <v>0</v>
      </c>
      <c r="H571" s="29" t="b">
        <v>0</v>
      </c>
    </row>
    <row r="572">
      <c r="A572" s="37"/>
      <c r="B572" s="38"/>
      <c r="C572" s="39"/>
      <c r="D572" s="40"/>
      <c r="E572" s="83"/>
      <c r="F572" s="88"/>
      <c r="G572" s="29" t="b">
        <v>0</v>
      </c>
      <c r="H572" s="29" t="b">
        <v>0</v>
      </c>
    </row>
    <row r="573">
      <c r="A573" s="37"/>
      <c r="B573" s="38"/>
      <c r="C573" s="39"/>
      <c r="D573" s="40"/>
      <c r="E573" s="83"/>
      <c r="F573" s="88"/>
      <c r="G573" s="29" t="b">
        <v>0</v>
      </c>
      <c r="H573" s="29" t="b">
        <v>0</v>
      </c>
    </row>
    <row r="574">
      <c r="A574" s="37"/>
      <c r="B574" s="38"/>
      <c r="C574" s="39"/>
      <c r="D574" s="39"/>
      <c r="E574" s="83"/>
      <c r="F574" s="88"/>
      <c r="G574" s="29" t="b">
        <v>0</v>
      </c>
      <c r="H574" s="29" t="b">
        <v>0</v>
      </c>
    </row>
    <row r="575">
      <c r="A575" s="37"/>
      <c r="B575" s="38"/>
      <c r="C575" s="39"/>
      <c r="D575" s="39"/>
      <c r="E575" s="83"/>
      <c r="F575" s="88"/>
      <c r="G575" s="29" t="b">
        <v>0</v>
      </c>
      <c r="H575" s="29" t="b">
        <v>0</v>
      </c>
    </row>
    <row r="576">
      <c r="A576" s="37"/>
      <c r="B576" s="38"/>
      <c r="C576" s="39"/>
      <c r="D576" s="40"/>
      <c r="E576" s="83"/>
      <c r="F576" s="256"/>
      <c r="G576" s="29" t="b">
        <v>0</v>
      </c>
      <c r="H576" s="29" t="b">
        <v>0</v>
      </c>
    </row>
    <row r="577">
      <c r="A577" s="37"/>
      <c r="B577" s="38"/>
      <c r="C577" s="39"/>
      <c r="D577" s="40"/>
      <c r="E577" s="83"/>
      <c r="F577" s="256"/>
      <c r="G577" s="29" t="b">
        <v>0</v>
      </c>
      <c r="H577" s="29" t="b">
        <v>0</v>
      </c>
    </row>
    <row r="578">
      <c r="A578" s="37"/>
      <c r="B578" s="38"/>
      <c r="C578" s="39"/>
      <c r="D578" s="40"/>
      <c r="E578" s="83"/>
      <c r="F578" s="256"/>
      <c r="G578" s="29" t="b">
        <v>0</v>
      </c>
      <c r="H578" s="29" t="b">
        <v>0</v>
      </c>
    </row>
    <row r="579">
      <c r="A579" s="37"/>
      <c r="B579" s="38"/>
      <c r="C579" s="39"/>
      <c r="D579" s="40"/>
      <c r="E579" s="83"/>
      <c r="F579" s="256"/>
      <c r="G579" s="29" t="b">
        <v>0</v>
      </c>
      <c r="H579" s="29" t="b">
        <v>0</v>
      </c>
    </row>
    <row r="580">
      <c r="A580" s="37"/>
      <c r="B580" s="38"/>
      <c r="C580" s="39"/>
      <c r="D580" s="40"/>
      <c r="E580" s="145"/>
      <c r="F580" s="88"/>
      <c r="G580" s="29" t="b">
        <v>0</v>
      </c>
      <c r="H580" s="29" t="b">
        <v>0</v>
      </c>
    </row>
    <row r="581">
      <c r="A581" s="37"/>
      <c r="B581" s="38"/>
      <c r="C581" s="39"/>
      <c r="D581" s="40"/>
      <c r="E581" s="83"/>
      <c r="F581" s="88"/>
      <c r="G581" s="29" t="b">
        <v>0</v>
      </c>
      <c r="H581" s="29" t="b">
        <v>0</v>
      </c>
    </row>
    <row r="582">
      <c r="A582" s="37"/>
      <c r="B582" s="38"/>
      <c r="C582" s="77"/>
      <c r="D582" s="40"/>
      <c r="E582" s="83"/>
      <c r="F582" s="88"/>
      <c r="G582" s="29" t="b">
        <v>0</v>
      </c>
      <c r="H582" s="29" t="b">
        <v>0</v>
      </c>
    </row>
    <row r="583">
      <c r="A583" s="37"/>
      <c r="B583" s="38"/>
      <c r="C583" s="39"/>
      <c r="D583" s="40"/>
      <c r="E583" s="83"/>
      <c r="F583" s="256"/>
      <c r="G583" s="29" t="b">
        <v>0</v>
      </c>
      <c r="H583" s="29" t="b">
        <v>0</v>
      </c>
    </row>
    <row r="584">
      <c r="A584" s="37"/>
      <c r="B584" s="38"/>
      <c r="C584" s="39"/>
      <c r="D584" s="40"/>
      <c r="E584" s="83"/>
      <c r="F584" s="256"/>
      <c r="G584" s="29" t="b">
        <v>0</v>
      </c>
      <c r="H584" s="29" t="b">
        <v>0</v>
      </c>
    </row>
    <row r="585">
      <c r="A585" s="37"/>
      <c r="B585" s="38"/>
      <c r="C585" s="39"/>
      <c r="D585" s="40"/>
      <c r="E585" s="83"/>
      <c r="F585" s="256"/>
      <c r="G585" s="29" t="b">
        <v>0</v>
      </c>
      <c r="H585" s="29" t="b">
        <v>0</v>
      </c>
    </row>
    <row r="586">
      <c r="A586" s="37"/>
      <c r="B586" s="38"/>
      <c r="C586" s="39"/>
      <c r="D586" s="40"/>
      <c r="E586" s="83"/>
      <c r="F586" s="256"/>
      <c r="G586" s="29" t="b">
        <v>0</v>
      </c>
      <c r="H586" s="29" t="b">
        <v>0</v>
      </c>
    </row>
    <row r="587">
      <c r="A587" s="37"/>
      <c r="B587" s="38"/>
      <c r="C587" s="39"/>
      <c r="D587" s="40"/>
      <c r="E587" s="83"/>
      <c r="F587" s="256"/>
      <c r="G587" s="29" t="b">
        <v>0</v>
      </c>
      <c r="H587" s="29" t="b">
        <v>0</v>
      </c>
    </row>
    <row r="588">
      <c r="A588" s="37"/>
      <c r="B588" s="38"/>
      <c r="C588" s="39"/>
      <c r="D588" s="40"/>
      <c r="E588" s="83"/>
      <c r="F588" s="256"/>
      <c r="G588" s="29" t="b">
        <v>0</v>
      </c>
      <c r="H588" s="29" t="b">
        <v>0</v>
      </c>
    </row>
    <row r="589">
      <c r="A589" s="37"/>
      <c r="B589" s="38"/>
      <c r="C589" s="39"/>
      <c r="D589" s="40"/>
      <c r="E589" s="83"/>
      <c r="F589" s="256"/>
      <c r="G589" s="29" t="b">
        <v>0</v>
      </c>
      <c r="H589" s="29" t="b">
        <v>0</v>
      </c>
    </row>
    <row r="590">
      <c r="A590" s="37"/>
      <c r="B590" s="38"/>
      <c r="C590" s="39"/>
      <c r="D590" s="40"/>
      <c r="E590" s="83"/>
      <c r="F590" s="256"/>
      <c r="G590" s="29" t="b">
        <v>0</v>
      </c>
      <c r="H590" s="29" t="b">
        <v>0</v>
      </c>
    </row>
    <row r="591">
      <c r="A591" s="37"/>
      <c r="B591" s="38"/>
      <c r="C591" s="77"/>
      <c r="D591" s="40"/>
      <c r="E591" s="145"/>
      <c r="F591" s="256"/>
      <c r="G591" s="29" t="b">
        <v>0</v>
      </c>
      <c r="H591" s="29" t="b">
        <v>0</v>
      </c>
    </row>
    <row r="592">
      <c r="A592" s="37"/>
      <c r="B592" s="38"/>
      <c r="C592" s="77"/>
      <c r="D592" s="40"/>
      <c r="E592" s="145"/>
      <c r="F592" s="256"/>
      <c r="G592" s="29" t="b">
        <v>0</v>
      </c>
      <c r="H592" s="29" t="b">
        <v>0</v>
      </c>
    </row>
    <row r="593">
      <c r="A593" s="37"/>
      <c r="B593" s="38"/>
      <c r="C593" s="77"/>
      <c r="D593" s="40"/>
      <c r="E593" s="83"/>
      <c r="F593" s="256"/>
      <c r="G593" s="29" t="b">
        <v>0</v>
      </c>
      <c r="H593" s="29" t="b">
        <v>0</v>
      </c>
    </row>
    <row r="594">
      <c r="A594" s="37"/>
      <c r="B594" s="38"/>
      <c r="C594" s="77"/>
      <c r="D594" s="40"/>
      <c r="E594" s="83"/>
      <c r="F594" s="256"/>
      <c r="G594" s="29" t="b">
        <v>0</v>
      </c>
      <c r="H594" s="29" t="b">
        <v>0</v>
      </c>
    </row>
    <row r="595">
      <c r="A595" s="37"/>
      <c r="B595" s="38"/>
      <c r="C595" s="77"/>
      <c r="D595" s="40"/>
      <c r="E595" s="83"/>
      <c r="F595" s="256"/>
      <c r="G595" s="29" t="b">
        <v>0</v>
      </c>
      <c r="H595" s="29" t="b">
        <v>0</v>
      </c>
    </row>
    <row r="596">
      <c r="A596" s="273"/>
      <c r="B596" s="38"/>
      <c r="C596" s="77"/>
      <c r="D596" s="40"/>
      <c r="E596" s="86"/>
      <c r="F596" s="256"/>
      <c r="G596" s="29" t="b">
        <v>0</v>
      </c>
      <c r="H596" s="29" t="b">
        <v>0</v>
      </c>
    </row>
    <row r="597">
      <c r="A597" s="273"/>
      <c r="B597" s="38"/>
      <c r="C597" s="77"/>
      <c r="D597" s="40"/>
      <c r="E597" s="86"/>
      <c r="F597" s="256"/>
      <c r="G597" s="29" t="b">
        <v>0</v>
      </c>
      <c r="H597" s="29" t="b">
        <v>0</v>
      </c>
    </row>
    <row r="598">
      <c r="A598" s="273"/>
      <c r="B598" s="38"/>
      <c r="C598" s="77"/>
      <c r="D598" s="40"/>
      <c r="E598" s="86"/>
      <c r="F598" s="256"/>
      <c r="G598" s="29" t="b">
        <v>0</v>
      </c>
      <c r="H598" s="29" t="b">
        <v>0</v>
      </c>
    </row>
    <row r="599">
      <c r="A599" s="273"/>
      <c r="B599" s="38"/>
      <c r="C599" s="77"/>
      <c r="D599" s="40"/>
      <c r="E599" s="86"/>
      <c r="F599" s="256"/>
      <c r="G599" s="29" t="b">
        <v>0</v>
      </c>
      <c r="H599" s="29" t="b">
        <v>0</v>
      </c>
    </row>
    <row r="600">
      <c r="A600" s="273"/>
      <c r="B600" s="38"/>
      <c r="C600" s="77"/>
      <c r="D600" s="40"/>
      <c r="E600" s="86"/>
      <c r="F600" s="256"/>
      <c r="G600" s="29" t="b">
        <v>0</v>
      </c>
      <c r="H600" s="29" t="b">
        <v>0</v>
      </c>
    </row>
    <row r="601">
      <c r="A601" s="273"/>
      <c r="B601" s="38"/>
      <c r="C601" s="77"/>
      <c r="D601" s="40"/>
      <c r="E601" s="86"/>
      <c r="F601" s="256"/>
      <c r="G601" s="29" t="b">
        <v>0</v>
      </c>
      <c r="H601" s="29" t="b">
        <v>0</v>
      </c>
    </row>
    <row r="602">
      <c r="A602" s="273"/>
      <c r="B602" s="38"/>
      <c r="C602" s="77"/>
      <c r="D602" s="40"/>
      <c r="E602" s="83"/>
      <c r="F602" s="256"/>
      <c r="G602" s="29" t="b">
        <v>0</v>
      </c>
      <c r="H602" s="29" t="b">
        <v>0</v>
      </c>
    </row>
    <row r="603">
      <c r="A603" s="273"/>
      <c r="B603" s="38"/>
      <c r="C603" s="77"/>
      <c r="D603" s="40"/>
      <c r="E603" s="83"/>
      <c r="F603" s="256"/>
      <c r="G603" s="29" t="b">
        <v>0</v>
      </c>
      <c r="H603" s="29" t="b">
        <v>0</v>
      </c>
    </row>
    <row r="604">
      <c r="A604" s="273"/>
      <c r="B604" s="38"/>
      <c r="C604" s="77"/>
      <c r="D604" s="40"/>
      <c r="E604" s="83"/>
      <c r="F604" s="256"/>
      <c r="G604" s="29" t="b">
        <v>0</v>
      </c>
      <c r="H604" s="29" t="b">
        <v>0</v>
      </c>
    </row>
    <row r="605">
      <c r="A605" s="273"/>
      <c r="B605" s="38"/>
      <c r="C605" s="39"/>
      <c r="D605" s="40"/>
      <c r="E605" s="145"/>
      <c r="F605" s="88"/>
      <c r="G605" s="29" t="b">
        <v>0</v>
      </c>
      <c r="H605" s="29" t="b">
        <v>0</v>
      </c>
    </row>
    <row r="606">
      <c r="A606" s="273"/>
      <c r="B606" s="38"/>
      <c r="C606" s="77"/>
      <c r="D606" s="40"/>
      <c r="E606" s="86"/>
      <c r="F606" s="256"/>
      <c r="G606" s="29" t="b">
        <v>0</v>
      </c>
      <c r="H606" s="29" t="b">
        <v>0</v>
      </c>
    </row>
    <row r="607">
      <c r="A607" s="273"/>
      <c r="B607" s="38"/>
      <c r="C607" s="77"/>
      <c r="D607" s="40"/>
      <c r="E607" s="86"/>
      <c r="F607" s="256"/>
      <c r="G607" s="29" t="b">
        <v>0</v>
      </c>
      <c r="H607" s="29" t="b">
        <v>0</v>
      </c>
    </row>
    <row r="608">
      <c r="A608" s="273"/>
      <c r="B608" s="38"/>
      <c r="C608" s="77"/>
      <c r="D608" s="40"/>
      <c r="E608" s="86"/>
      <c r="F608" s="256"/>
      <c r="G608" s="29" t="b">
        <v>0</v>
      </c>
      <c r="H608" s="29" t="b">
        <v>0</v>
      </c>
    </row>
    <row r="609">
      <c r="A609" s="273"/>
      <c r="B609" s="38"/>
      <c r="C609" s="77"/>
      <c r="D609" s="40"/>
      <c r="E609" s="86"/>
      <c r="F609" s="256"/>
      <c r="G609" s="29" t="b">
        <v>0</v>
      </c>
      <c r="H609" s="29" t="b">
        <v>0</v>
      </c>
    </row>
    <row r="610">
      <c r="A610" s="273"/>
      <c r="B610" s="38"/>
      <c r="C610" s="77"/>
      <c r="D610" s="40"/>
      <c r="E610" s="86"/>
      <c r="F610" s="256"/>
      <c r="G610" s="29" t="b">
        <v>0</v>
      </c>
      <c r="H610" s="29" t="b">
        <v>0</v>
      </c>
    </row>
    <row r="611">
      <c r="A611" s="273"/>
      <c r="B611" s="38"/>
      <c r="C611" s="77"/>
      <c r="D611" s="40"/>
      <c r="E611" s="86"/>
      <c r="F611" s="256"/>
      <c r="G611" s="29" t="b">
        <v>0</v>
      </c>
      <c r="H611" s="29" t="b">
        <v>0</v>
      </c>
    </row>
    <row r="612">
      <c r="A612" s="273"/>
      <c r="B612" s="38"/>
      <c r="C612" s="77"/>
      <c r="D612" s="40"/>
      <c r="E612" s="86"/>
      <c r="F612" s="256"/>
      <c r="G612" s="29" t="b">
        <v>0</v>
      </c>
      <c r="H612" s="29" t="b">
        <v>0</v>
      </c>
    </row>
    <row r="613">
      <c r="A613" s="273"/>
      <c r="B613" s="38"/>
      <c r="C613" s="77"/>
      <c r="D613" s="40"/>
      <c r="E613" s="86"/>
      <c r="F613" s="256"/>
      <c r="G613" s="29" t="b">
        <v>0</v>
      </c>
      <c r="H613" s="29" t="b">
        <v>0</v>
      </c>
    </row>
    <row r="614">
      <c r="A614" s="273"/>
      <c r="B614" s="38"/>
      <c r="C614" s="77"/>
      <c r="D614" s="40"/>
      <c r="E614" s="86"/>
      <c r="F614" s="256"/>
      <c r="G614" s="29" t="b">
        <v>0</v>
      </c>
      <c r="H614" s="29" t="b">
        <v>0</v>
      </c>
    </row>
    <row r="615">
      <c r="A615" s="273"/>
      <c r="B615" s="38"/>
      <c r="C615" s="77"/>
      <c r="D615" s="40"/>
      <c r="E615" s="86"/>
      <c r="F615" s="256"/>
      <c r="G615" s="29" t="b">
        <v>0</v>
      </c>
      <c r="H615" s="29" t="b">
        <v>0</v>
      </c>
    </row>
    <row r="616">
      <c r="A616" s="273"/>
      <c r="B616" s="38"/>
      <c r="C616" s="77"/>
      <c r="D616" s="40"/>
      <c r="E616" s="86"/>
      <c r="F616" s="256"/>
      <c r="G616" s="29" t="b">
        <v>0</v>
      </c>
      <c r="H616" s="29" t="b">
        <v>0</v>
      </c>
    </row>
    <row r="617">
      <c r="A617" s="273"/>
      <c r="B617" s="38"/>
      <c r="C617" s="77"/>
      <c r="D617" s="40"/>
      <c r="E617" s="86"/>
      <c r="F617" s="256"/>
      <c r="G617" s="29" t="b">
        <v>0</v>
      </c>
      <c r="H617" s="29" t="b">
        <v>0</v>
      </c>
    </row>
    <row r="618">
      <c r="A618" s="273"/>
      <c r="B618" s="38"/>
      <c r="C618" s="77"/>
      <c r="D618" s="40"/>
      <c r="E618" s="86"/>
      <c r="F618" s="256"/>
      <c r="G618" s="29" t="b">
        <v>0</v>
      </c>
      <c r="H618" s="29" t="b">
        <v>0</v>
      </c>
    </row>
    <row r="619">
      <c r="A619" s="273"/>
      <c r="B619" s="38"/>
      <c r="C619" s="77"/>
      <c r="D619" s="40"/>
      <c r="E619" s="86"/>
      <c r="F619" s="256"/>
      <c r="G619" s="29" t="b">
        <v>0</v>
      </c>
      <c r="H619" s="29" t="b">
        <v>0</v>
      </c>
    </row>
    <row r="620">
      <c r="A620" s="273"/>
      <c r="B620" s="38"/>
      <c r="C620" s="77"/>
      <c r="D620" s="40"/>
      <c r="E620" s="86"/>
      <c r="F620" s="256"/>
      <c r="G620" s="29" t="b">
        <v>0</v>
      </c>
      <c r="H620" s="29" t="b">
        <v>0</v>
      </c>
    </row>
    <row r="621">
      <c r="A621" s="273"/>
      <c r="B621" s="38"/>
      <c r="C621" s="77"/>
      <c r="D621" s="40"/>
      <c r="E621" s="86"/>
      <c r="F621" s="256"/>
      <c r="G621" s="29" t="b">
        <v>0</v>
      </c>
      <c r="H621" s="29" t="b">
        <v>0</v>
      </c>
    </row>
    <row r="622">
      <c r="A622" s="273"/>
      <c r="B622" s="38"/>
      <c r="C622" s="77"/>
      <c r="D622" s="40"/>
      <c r="E622" s="86"/>
      <c r="F622" s="256"/>
      <c r="G622" s="29" t="b">
        <v>0</v>
      </c>
      <c r="H622" s="29" t="b">
        <v>0</v>
      </c>
    </row>
    <row r="623">
      <c r="A623" s="273"/>
      <c r="B623" s="38"/>
      <c r="C623" s="77"/>
      <c r="D623" s="40"/>
      <c r="E623" s="86"/>
      <c r="F623" s="256"/>
      <c r="G623" s="29" t="b">
        <v>0</v>
      </c>
      <c r="H623" s="29" t="b">
        <v>0</v>
      </c>
    </row>
    <row r="624">
      <c r="A624" s="273"/>
      <c r="B624" s="38"/>
      <c r="C624" s="77"/>
      <c r="D624" s="40"/>
      <c r="E624" s="86"/>
      <c r="F624" s="256"/>
      <c r="G624" s="29" t="b">
        <v>0</v>
      </c>
      <c r="H624" s="29" t="b">
        <v>0</v>
      </c>
    </row>
    <row r="625">
      <c r="A625" s="273"/>
      <c r="B625" s="38"/>
      <c r="C625" s="77"/>
      <c r="D625" s="40"/>
      <c r="E625" s="86"/>
      <c r="F625" s="256"/>
      <c r="G625" s="29" t="b">
        <v>0</v>
      </c>
      <c r="H625" s="29" t="b">
        <v>0</v>
      </c>
    </row>
    <row r="626">
      <c r="A626" s="273"/>
      <c r="B626" s="38"/>
      <c r="C626" s="77"/>
      <c r="D626" s="40"/>
      <c r="E626" s="86"/>
      <c r="F626" s="256"/>
      <c r="G626" s="29" t="b">
        <v>0</v>
      </c>
      <c r="H626" s="29" t="b">
        <v>0</v>
      </c>
    </row>
    <row r="627">
      <c r="A627" s="273"/>
      <c r="B627" s="38"/>
      <c r="C627" s="77"/>
      <c r="D627" s="40"/>
      <c r="E627" s="86"/>
      <c r="F627" s="256"/>
      <c r="G627" s="29" t="b">
        <v>0</v>
      </c>
      <c r="H627" s="29" t="b">
        <v>0</v>
      </c>
    </row>
    <row r="628">
      <c r="A628" s="273"/>
      <c r="B628" s="38"/>
      <c r="C628" s="77"/>
      <c r="D628" s="40"/>
      <c r="E628" s="86"/>
      <c r="F628" s="256"/>
      <c r="G628" s="29" t="b">
        <v>0</v>
      </c>
      <c r="H628" s="29" t="b">
        <v>0</v>
      </c>
    </row>
    <row r="629">
      <c r="A629" s="273"/>
      <c r="B629" s="38"/>
      <c r="C629" s="77"/>
      <c r="D629" s="40"/>
      <c r="E629" s="86"/>
      <c r="F629" s="256"/>
      <c r="G629" s="29" t="b">
        <v>0</v>
      </c>
      <c r="H629" s="29" t="b">
        <v>0</v>
      </c>
    </row>
    <row r="630">
      <c r="A630" s="273"/>
      <c r="B630" s="38"/>
      <c r="C630" s="77"/>
      <c r="D630" s="40"/>
      <c r="E630" s="86"/>
      <c r="F630" s="256"/>
      <c r="G630" s="29" t="b">
        <v>0</v>
      </c>
      <c r="H630" s="29" t="b">
        <v>0</v>
      </c>
    </row>
    <row r="631">
      <c r="A631" s="273"/>
      <c r="B631" s="38"/>
      <c r="C631" s="77"/>
      <c r="D631" s="40"/>
      <c r="E631" s="86"/>
      <c r="F631" s="256"/>
      <c r="G631" s="29" t="b">
        <v>0</v>
      </c>
      <c r="H631" s="29" t="b">
        <v>0</v>
      </c>
    </row>
    <row r="632">
      <c r="A632" s="273"/>
      <c r="B632" s="38"/>
      <c r="C632" s="77"/>
      <c r="D632" s="40"/>
      <c r="E632" s="86"/>
      <c r="F632" s="256"/>
      <c r="G632" s="29" t="b">
        <v>0</v>
      </c>
      <c r="H632" s="29" t="b">
        <v>0</v>
      </c>
    </row>
    <row r="633">
      <c r="A633" s="273"/>
      <c r="B633" s="38"/>
      <c r="C633" s="77"/>
      <c r="D633" s="40"/>
      <c r="E633" s="86"/>
      <c r="F633" s="256"/>
      <c r="G633" s="29" t="b">
        <v>0</v>
      </c>
      <c r="H633" s="29" t="b">
        <v>0</v>
      </c>
    </row>
    <row r="634">
      <c r="A634" s="273"/>
      <c r="B634" s="38"/>
      <c r="C634" s="77"/>
      <c r="D634" s="40"/>
      <c r="E634" s="86"/>
      <c r="F634" s="256"/>
      <c r="G634" s="29" t="b">
        <v>0</v>
      </c>
      <c r="H634" s="29" t="b">
        <v>0</v>
      </c>
    </row>
    <row r="635">
      <c r="A635" s="273"/>
      <c r="B635" s="38"/>
      <c r="C635" s="77"/>
      <c r="D635" s="40"/>
      <c r="E635" s="86"/>
      <c r="F635" s="256"/>
      <c r="G635" s="29" t="b">
        <v>0</v>
      </c>
      <c r="H635" s="29" t="b">
        <v>0</v>
      </c>
    </row>
    <row r="636">
      <c r="A636" s="273"/>
      <c r="B636" s="38"/>
      <c r="C636" s="77"/>
      <c r="D636" s="40"/>
      <c r="E636" s="86"/>
      <c r="F636" s="256"/>
      <c r="G636" s="29" t="b">
        <v>0</v>
      </c>
      <c r="H636" s="29" t="b">
        <v>0</v>
      </c>
    </row>
    <row r="637">
      <c r="A637" s="273"/>
      <c r="B637" s="38"/>
      <c r="C637" s="77"/>
      <c r="D637" s="40"/>
      <c r="E637" s="86"/>
      <c r="F637" s="256"/>
      <c r="G637" s="29" t="b">
        <v>0</v>
      </c>
      <c r="H637" s="29" t="b">
        <v>0</v>
      </c>
    </row>
    <row r="638">
      <c r="A638" s="273"/>
      <c r="B638" s="38"/>
      <c r="C638" s="77"/>
      <c r="D638" s="40"/>
      <c r="E638" s="86"/>
      <c r="F638" s="256"/>
      <c r="G638" s="29" t="b">
        <v>0</v>
      </c>
      <c r="H638" s="29" t="b">
        <v>0</v>
      </c>
    </row>
    <row r="639">
      <c r="A639" s="273"/>
      <c r="B639" s="38"/>
      <c r="C639" s="77"/>
      <c r="D639" s="40"/>
      <c r="E639" s="86"/>
      <c r="F639" s="256"/>
      <c r="G639" s="29" t="b">
        <v>0</v>
      </c>
      <c r="H639" s="29" t="b">
        <v>0</v>
      </c>
    </row>
    <row r="640">
      <c r="A640" s="273"/>
      <c r="B640" s="38"/>
      <c r="C640" s="77"/>
      <c r="D640" s="40"/>
      <c r="E640" s="86"/>
      <c r="F640" s="256"/>
      <c r="G640" s="29" t="b">
        <v>0</v>
      </c>
      <c r="H640" s="29" t="b">
        <v>0</v>
      </c>
    </row>
    <row r="641">
      <c r="A641" s="273"/>
      <c r="B641" s="38"/>
      <c r="C641" s="77"/>
      <c r="D641" s="40"/>
      <c r="E641" s="86"/>
      <c r="F641" s="256"/>
      <c r="G641" s="29" t="b">
        <v>0</v>
      </c>
      <c r="H641" s="29" t="b">
        <v>0</v>
      </c>
    </row>
    <row r="642">
      <c r="A642" s="273"/>
      <c r="B642" s="38"/>
      <c r="C642" s="77"/>
      <c r="D642" s="40"/>
      <c r="E642" s="86"/>
      <c r="F642" s="256"/>
      <c r="G642" s="29" t="b">
        <v>0</v>
      </c>
      <c r="H642" s="29" t="b">
        <v>0</v>
      </c>
    </row>
    <row r="643">
      <c r="A643" s="273"/>
      <c r="B643" s="38"/>
      <c r="C643" s="77"/>
      <c r="D643" s="40"/>
      <c r="E643" s="86"/>
      <c r="F643" s="256"/>
      <c r="G643" s="29" t="b">
        <v>0</v>
      </c>
      <c r="H643" s="29" t="b">
        <v>0</v>
      </c>
    </row>
    <row r="644">
      <c r="A644" s="273"/>
      <c r="B644" s="38"/>
      <c r="C644" s="77"/>
      <c r="D644" s="40"/>
      <c r="E644" s="86"/>
      <c r="F644" s="256"/>
      <c r="G644" s="29" t="b">
        <v>0</v>
      </c>
      <c r="H644" s="29" t="b">
        <v>0</v>
      </c>
    </row>
    <row r="645">
      <c r="A645" s="273"/>
      <c r="B645" s="38"/>
      <c r="C645" s="77"/>
      <c r="D645" s="40"/>
      <c r="E645" s="86"/>
      <c r="F645" s="256"/>
      <c r="G645" s="29" t="b">
        <v>0</v>
      </c>
      <c r="H645" s="29" t="b">
        <v>0</v>
      </c>
    </row>
    <row r="646">
      <c r="A646" s="273"/>
      <c r="B646" s="38"/>
      <c r="C646" s="77"/>
      <c r="D646" s="40"/>
      <c r="E646" s="86"/>
      <c r="F646" s="256"/>
      <c r="G646" s="29" t="b">
        <v>0</v>
      </c>
      <c r="H646" s="29" t="b">
        <v>0</v>
      </c>
    </row>
    <row r="647">
      <c r="A647" s="273"/>
      <c r="B647" s="38"/>
      <c r="C647" s="77"/>
      <c r="D647" s="40"/>
      <c r="E647" s="86"/>
      <c r="F647" s="256"/>
      <c r="G647" s="29" t="b">
        <v>0</v>
      </c>
      <c r="H647" s="29" t="b">
        <v>0</v>
      </c>
    </row>
    <row r="648">
      <c r="A648" s="273"/>
      <c r="B648" s="38"/>
      <c r="C648" s="77"/>
      <c r="D648" s="40"/>
      <c r="E648" s="86"/>
      <c r="F648" s="256"/>
      <c r="G648" s="29" t="b">
        <v>0</v>
      </c>
      <c r="H648" s="29" t="b">
        <v>0</v>
      </c>
    </row>
    <row r="649">
      <c r="A649" s="273"/>
      <c r="B649" s="38"/>
      <c r="C649" s="77"/>
      <c r="D649" s="40"/>
      <c r="E649" s="86"/>
      <c r="F649" s="256"/>
      <c r="G649" s="29" t="b">
        <v>0</v>
      </c>
      <c r="H649" s="29" t="b">
        <v>0</v>
      </c>
    </row>
    <row r="650">
      <c r="A650" s="273"/>
      <c r="B650" s="38"/>
      <c r="C650" s="77"/>
      <c r="D650" s="40"/>
      <c r="E650" s="86"/>
      <c r="F650" s="256"/>
      <c r="G650" s="29" t="b">
        <v>0</v>
      </c>
      <c r="H650" s="29" t="b">
        <v>0</v>
      </c>
    </row>
    <row r="651">
      <c r="A651" s="273"/>
      <c r="B651" s="38"/>
      <c r="C651" s="77"/>
      <c r="D651" s="40"/>
      <c r="E651" s="86"/>
      <c r="F651" s="256"/>
      <c r="G651" s="29" t="b">
        <v>0</v>
      </c>
      <c r="H651" s="29" t="b">
        <v>0</v>
      </c>
    </row>
    <row r="652">
      <c r="A652" s="273"/>
      <c r="B652" s="38"/>
      <c r="C652" s="77"/>
      <c r="D652" s="40"/>
      <c r="E652" s="86"/>
      <c r="F652" s="256"/>
      <c r="G652" s="29" t="b">
        <v>0</v>
      </c>
      <c r="H652" s="29" t="b">
        <v>0</v>
      </c>
    </row>
    <row r="653">
      <c r="A653" s="273"/>
      <c r="B653" s="38"/>
      <c r="C653" s="77"/>
      <c r="D653" s="40"/>
      <c r="E653" s="86"/>
      <c r="F653" s="256"/>
      <c r="G653" s="29" t="b">
        <v>0</v>
      </c>
      <c r="H653" s="29" t="b">
        <v>0</v>
      </c>
    </row>
    <row r="654">
      <c r="A654" s="273"/>
      <c r="B654" s="38"/>
      <c r="C654" s="77"/>
      <c r="D654" s="40"/>
      <c r="E654" s="86"/>
      <c r="F654" s="256"/>
      <c r="G654" s="29" t="b">
        <v>0</v>
      </c>
      <c r="H654" s="29" t="b">
        <v>0</v>
      </c>
    </row>
    <row r="655">
      <c r="A655" s="273"/>
      <c r="B655" s="38"/>
      <c r="C655" s="77"/>
      <c r="D655" s="40"/>
      <c r="E655" s="86"/>
      <c r="F655" s="256"/>
      <c r="G655" s="29" t="b">
        <v>0</v>
      </c>
      <c r="H655" s="29" t="b">
        <v>0</v>
      </c>
    </row>
    <row r="656">
      <c r="A656" s="273"/>
      <c r="B656" s="38"/>
      <c r="C656" s="77"/>
      <c r="D656" s="40"/>
      <c r="E656" s="86"/>
      <c r="F656" s="256"/>
      <c r="G656" s="29" t="b">
        <v>0</v>
      </c>
      <c r="H656" s="29" t="b">
        <v>0</v>
      </c>
    </row>
    <row r="657">
      <c r="A657" s="273"/>
      <c r="B657" s="38"/>
      <c r="C657" s="77"/>
      <c r="D657" s="40"/>
      <c r="E657" s="274"/>
      <c r="F657" s="256"/>
      <c r="G657" s="29" t="b">
        <v>0</v>
      </c>
      <c r="H657" s="29" t="b">
        <v>0</v>
      </c>
    </row>
    <row r="658">
      <c r="A658" s="273"/>
      <c r="B658" s="38"/>
      <c r="C658" s="77"/>
      <c r="D658" s="40"/>
      <c r="E658" s="274"/>
      <c r="F658" s="256"/>
      <c r="G658" s="29" t="b">
        <v>0</v>
      </c>
      <c r="H658" s="29" t="b">
        <v>0</v>
      </c>
    </row>
    <row r="659">
      <c r="A659" s="273"/>
      <c r="B659" s="38"/>
      <c r="C659" s="77"/>
      <c r="D659" s="40"/>
      <c r="E659" s="86"/>
      <c r="F659" s="256"/>
      <c r="G659" s="29" t="b">
        <v>0</v>
      </c>
      <c r="H659" s="29" t="b">
        <v>0</v>
      </c>
    </row>
    <row r="660">
      <c r="A660" s="273"/>
      <c r="B660" s="38"/>
      <c r="C660" s="77"/>
      <c r="D660" s="40"/>
      <c r="E660" s="86"/>
      <c r="F660" s="256"/>
      <c r="G660" s="29" t="b">
        <v>0</v>
      </c>
      <c r="H660" s="29" t="b">
        <v>0</v>
      </c>
    </row>
    <row r="661">
      <c r="A661" s="273"/>
      <c r="B661" s="38"/>
      <c r="C661" s="77"/>
      <c r="D661" s="40"/>
      <c r="E661" s="86"/>
      <c r="F661" s="256"/>
      <c r="G661" s="29" t="b">
        <v>0</v>
      </c>
      <c r="H661" s="29" t="b">
        <v>0</v>
      </c>
    </row>
    <row r="662">
      <c r="A662" s="273"/>
      <c r="B662" s="38"/>
      <c r="C662" s="77"/>
      <c r="D662" s="40"/>
      <c r="E662" s="86"/>
      <c r="F662" s="256"/>
      <c r="G662" s="29" t="b">
        <v>0</v>
      </c>
      <c r="H662" s="29" t="b">
        <v>0</v>
      </c>
    </row>
    <row r="663">
      <c r="A663" s="273"/>
      <c r="B663" s="38"/>
      <c r="C663" s="77"/>
      <c r="D663" s="40"/>
      <c r="E663" s="86"/>
      <c r="F663" s="256"/>
      <c r="G663" s="29" t="b">
        <v>0</v>
      </c>
      <c r="H663" s="29" t="b">
        <v>0</v>
      </c>
    </row>
    <row r="664">
      <c r="A664" s="273"/>
      <c r="B664" s="38"/>
      <c r="C664" s="77"/>
      <c r="D664" s="40"/>
      <c r="E664" s="86"/>
      <c r="F664" s="256"/>
      <c r="G664" s="29" t="b">
        <v>0</v>
      </c>
      <c r="H664" s="29" t="b">
        <v>0</v>
      </c>
    </row>
    <row r="665">
      <c r="A665" s="273"/>
      <c r="B665" s="38"/>
      <c r="C665" s="77"/>
      <c r="D665" s="40"/>
      <c r="E665" s="86"/>
      <c r="F665" s="256"/>
      <c r="G665" s="29" t="b">
        <v>0</v>
      </c>
      <c r="H665" s="29" t="b">
        <v>0</v>
      </c>
    </row>
    <row r="666">
      <c r="A666" s="273"/>
      <c r="B666" s="38"/>
      <c r="C666" s="77"/>
      <c r="D666" s="40"/>
      <c r="E666" s="86"/>
      <c r="F666" s="256"/>
      <c r="G666" s="29" t="b">
        <v>0</v>
      </c>
      <c r="H666" s="29" t="b">
        <v>0</v>
      </c>
    </row>
    <row r="667">
      <c r="A667" s="273"/>
      <c r="B667" s="38"/>
      <c r="C667" s="77"/>
      <c r="D667" s="40"/>
      <c r="E667" s="256"/>
      <c r="F667" s="256"/>
      <c r="G667" s="29" t="b">
        <v>0</v>
      </c>
      <c r="H667" s="29" t="b">
        <v>0</v>
      </c>
    </row>
    <row r="668">
      <c r="A668" s="273"/>
      <c r="B668" s="38"/>
      <c r="C668" s="77"/>
      <c r="D668" s="40"/>
      <c r="E668" s="256"/>
      <c r="F668" s="256"/>
      <c r="G668" s="29" t="b">
        <v>0</v>
      </c>
      <c r="H668" s="29" t="b">
        <v>0</v>
      </c>
    </row>
    <row r="669">
      <c r="A669" s="273"/>
      <c r="B669" s="38"/>
      <c r="C669" s="77"/>
      <c r="D669" s="40"/>
      <c r="E669" s="86"/>
      <c r="F669" s="256"/>
      <c r="G669" s="29" t="b">
        <v>0</v>
      </c>
      <c r="H669" s="29" t="b">
        <v>0</v>
      </c>
    </row>
    <row r="670">
      <c r="A670" s="273"/>
      <c r="B670" s="38"/>
      <c r="C670" s="77"/>
      <c r="D670" s="40"/>
      <c r="E670" s="86"/>
      <c r="F670" s="256"/>
      <c r="G670" s="29" t="b">
        <v>0</v>
      </c>
      <c r="H670" s="29" t="b">
        <v>0</v>
      </c>
    </row>
    <row r="671">
      <c r="A671" s="273"/>
      <c r="B671" s="38"/>
      <c r="C671" s="77"/>
      <c r="D671" s="40"/>
      <c r="E671" s="86"/>
      <c r="F671" s="256"/>
      <c r="G671" s="29" t="b">
        <v>0</v>
      </c>
      <c r="H671" s="29" t="b">
        <v>0</v>
      </c>
    </row>
    <row r="672">
      <c r="A672" s="273"/>
      <c r="B672" s="38"/>
      <c r="C672" s="77"/>
      <c r="D672" s="40"/>
      <c r="E672" s="269"/>
      <c r="F672" s="256"/>
      <c r="G672" s="29" t="b">
        <v>0</v>
      </c>
      <c r="H672" s="29" t="b">
        <v>0</v>
      </c>
    </row>
    <row r="673">
      <c r="A673" s="273"/>
      <c r="B673" s="38"/>
      <c r="C673" s="77"/>
      <c r="D673" s="40"/>
      <c r="E673" s="269"/>
      <c r="F673" s="256"/>
      <c r="G673" s="29" t="b">
        <v>0</v>
      </c>
      <c r="H673" s="29" t="b">
        <v>0</v>
      </c>
    </row>
    <row r="674">
      <c r="A674" s="273"/>
      <c r="B674" s="38"/>
      <c r="C674" s="77"/>
      <c r="D674" s="40"/>
      <c r="E674" s="86"/>
      <c r="F674" s="256"/>
      <c r="G674" s="29" t="b">
        <v>0</v>
      </c>
      <c r="H674" s="29" t="b">
        <v>0</v>
      </c>
    </row>
    <row r="675">
      <c r="A675" s="273"/>
      <c r="B675" s="38"/>
      <c r="C675" s="77"/>
      <c r="D675" s="40"/>
      <c r="E675" s="86"/>
      <c r="F675" s="256"/>
      <c r="G675" s="29" t="b">
        <v>0</v>
      </c>
      <c r="H675" s="29" t="b">
        <v>0</v>
      </c>
    </row>
    <row r="676">
      <c r="A676" s="273"/>
      <c r="B676" s="38"/>
      <c r="C676" s="77"/>
      <c r="D676" s="40"/>
      <c r="E676" s="256"/>
      <c r="F676" s="256"/>
      <c r="G676" s="29" t="b">
        <v>0</v>
      </c>
      <c r="H676" s="29" t="b">
        <v>0</v>
      </c>
    </row>
    <row r="677">
      <c r="A677" s="273"/>
      <c r="B677" s="38"/>
      <c r="C677" s="77"/>
      <c r="D677" s="40"/>
      <c r="E677" s="256"/>
      <c r="F677" s="256"/>
      <c r="G677" s="29" t="b">
        <v>0</v>
      </c>
      <c r="H677" s="29" t="b">
        <v>0</v>
      </c>
    </row>
    <row r="678">
      <c r="A678" s="273"/>
      <c r="B678" s="38"/>
      <c r="C678" s="77"/>
      <c r="D678" s="40"/>
      <c r="E678" s="256"/>
      <c r="F678" s="256"/>
      <c r="G678" s="29" t="b">
        <v>0</v>
      </c>
      <c r="H678" s="29" t="b">
        <v>0</v>
      </c>
    </row>
    <row r="679">
      <c r="A679" s="273"/>
      <c r="B679" s="38"/>
      <c r="C679" s="77"/>
      <c r="D679" s="40"/>
      <c r="E679" s="256"/>
      <c r="F679" s="256"/>
      <c r="G679" s="29" t="b">
        <v>0</v>
      </c>
      <c r="H679" s="29" t="b">
        <v>0</v>
      </c>
    </row>
    <row r="680">
      <c r="A680" s="273"/>
      <c r="B680" s="38"/>
      <c r="C680" s="77"/>
      <c r="D680" s="40"/>
      <c r="E680" s="256"/>
      <c r="F680" s="256"/>
      <c r="G680" s="29" t="b">
        <v>0</v>
      </c>
      <c r="H680" s="29" t="b">
        <v>0</v>
      </c>
    </row>
    <row r="681">
      <c r="A681" s="273"/>
      <c r="B681" s="38"/>
      <c r="C681" s="77"/>
      <c r="D681" s="40"/>
      <c r="E681" s="256"/>
      <c r="F681" s="256"/>
      <c r="G681" s="29" t="b">
        <v>0</v>
      </c>
      <c r="H681" s="29" t="b">
        <v>0</v>
      </c>
    </row>
    <row r="682">
      <c r="A682" s="273"/>
      <c r="B682" s="38"/>
      <c r="C682" s="77"/>
      <c r="D682" s="40"/>
      <c r="E682" s="256"/>
      <c r="F682" s="256"/>
      <c r="G682" s="29" t="b">
        <v>0</v>
      </c>
      <c r="H682" s="29" t="b">
        <v>0</v>
      </c>
    </row>
    <row r="683">
      <c r="A683" s="273"/>
      <c r="B683" s="38"/>
      <c r="C683" s="77"/>
      <c r="D683" s="40"/>
      <c r="E683" s="256"/>
      <c r="F683" s="256"/>
      <c r="G683" s="29" t="b">
        <v>0</v>
      </c>
      <c r="H683" s="29" t="b">
        <v>0</v>
      </c>
    </row>
    <row r="684">
      <c r="A684" s="273"/>
      <c r="B684" s="38"/>
      <c r="C684" s="77"/>
      <c r="D684" s="40"/>
      <c r="E684" s="256"/>
      <c r="F684" s="256"/>
      <c r="G684" s="29" t="b">
        <v>0</v>
      </c>
      <c r="H684" s="29" t="b">
        <v>0</v>
      </c>
    </row>
    <row r="685">
      <c r="A685" s="273"/>
      <c r="B685" s="38"/>
      <c r="C685" s="77"/>
      <c r="D685" s="40"/>
      <c r="E685" s="256"/>
      <c r="F685" s="256"/>
      <c r="G685" s="29" t="b">
        <v>0</v>
      </c>
      <c r="H685" s="29" t="b">
        <v>0</v>
      </c>
    </row>
    <row r="686">
      <c r="A686" s="273"/>
      <c r="B686" s="38"/>
      <c r="C686" s="77"/>
      <c r="D686" s="40"/>
      <c r="E686" s="256"/>
      <c r="F686" s="256"/>
      <c r="G686" s="29" t="b">
        <v>0</v>
      </c>
      <c r="H686" s="29" t="b">
        <v>0</v>
      </c>
    </row>
    <row r="687">
      <c r="A687" s="273"/>
      <c r="B687" s="38"/>
      <c r="C687" s="256"/>
      <c r="D687" s="40"/>
      <c r="E687" s="256"/>
      <c r="F687" s="256"/>
      <c r="G687" s="29" t="b">
        <v>0</v>
      </c>
      <c r="H687" s="29" t="b">
        <v>0</v>
      </c>
    </row>
    <row r="688">
      <c r="A688" s="273"/>
      <c r="B688" s="38"/>
      <c r="C688" s="77"/>
      <c r="D688" s="40"/>
      <c r="E688" s="256"/>
      <c r="F688" s="256"/>
      <c r="G688" s="29" t="b">
        <v>0</v>
      </c>
      <c r="H688" s="29" t="b">
        <v>0</v>
      </c>
    </row>
    <row r="689">
      <c r="A689" s="273"/>
      <c r="B689" s="38"/>
      <c r="C689" s="77"/>
      <c r="D689" s="40"/>
      <c r="E689" s="256"/>
      <c r="F689" s="256"/>
      <c r="G689" s="29" t="b">
        <v>0</v>
      </c>
      <c r="H689" s="29" t="b">
        <v>0</v>
      </c>
    </row>
    <row r="690">
      <c r="A690" s="273"/>
      <c r="B690" s="38"/>
      <c r="C690" s="77"/>
      <c r="D690" s="40"/>
      <c r="E690" s="256"/>
      <c r="F690" s="256"/>
      <c r="G690" s="29" t="b">
        <v>0</v>
      </c>
      <c r="H690" s="29" t="b">
        <v>0</v>
      </c>
    </row>
    <row r="691">
      <c r="A691" s="273"/>
      <c r="B691" s="38"/>
      <c r="C691" s="77"/>
      <c r="D691" s="40"/>
      <c r="E691" s="256"/>
      <c r="F691" s="256"/>
      <c r="G691" s="29" t="b">
        <v>0</v>
      </c>
      <c r="H691" s="29" t="b">
        <v>0</v>
      </c>
    </row>
    <row r="692">
      <c r="A692" s="273"/>
      <c r="B692" s="38"/>
      <c r="C692" s="77"/>
      <c r="D692" s="40"/>
      <c r="E692" s="256"/>
      <c r="F692" s="256"/>
      <c r="G692" s="29" t="b">
        <v>0</v>
      </c>
      <c r="H692" s="29" t="b">
        <v>0</v>
      </c>
    </row>
    <row r="693">
      <c r="A693" s="273"/>
      <c r="B693" s="38"/>
      <c r="C693" s="77"/>
      <c r="D693" s="40"/>
      <c r="E693" s="256"/>
      <c r="F693" s="256"/>
      <c r="G693" s="29" t="b">
        <v>0</v>
      </c>
      <c r="H693" s="29" t="b">
        <v>0</v>
      </c>
    </row>
    <row r="694">
      <c r="A694" s="273"/>
      <c r="B694" s="38"/>
      <c r="C694" s="77"/>
      <c r="D694" s="40"/>
      <c r="E694" s="256"/>
      <c r="F694" s="256"/>
      <c r="G694" s="29" t="b">
        <v>0</v>
      </c>
      <c r="H694" s="29" t="b">
        <v>0</v>
      </c>
    </row>
    <row r="695">
      <c r="A695" s="273"/>
      <c r="B695" s="38"/>
      <c r="C695" s="77"/>
      <c r="D695" s="40"/>
      <c r="E695" s="256"/>
      <c r="F695" s="256"/>
      <c r="G695" s="29" t="b">
        <v>0</v>
      </c>
      <c r="H695" s="29" t="b">
        <v>0</v>
      </c>
    </row>
    <row r="696">
      <c r="A696" s="273"/>
      <c r="B696" s="38"/>
      <c r="C696" s="77"/>
      <c r="D696" s="40"/>
      <c r="E696" s="256"/>
      <c r="F696" s="256"/>
      <c r="G696" s="29" t="b">
        <v>0</v>
      </c>
      <c r="H696" s="29" t="b">
        <v>0</v>
      </c>
    </row>
    <row r="697">
      <c r="A697" s="273"/>
      <c r="B697" s="38"/>
      <c r="C697" s="77"/>
      <c r="D697" s="40"/>
      <c r="E697" s="256"/>
      <c r="F697" s="256"/>
      <c r="G697" s="29" t="b">
        <v>0</v>
      </c>
      <c r="H697" s="29" t="b">
        <v>0</v>
      </c>
    </row>
    <row r="698">
      <c r="A698" s="273"/>
      <c r="B698" s="38"/>
      <c r="C698" s="77"/>
      <c r="D698" s="40"/>
      <c r="E698" s="86"/>
      <c r="F698" s="256"/>
      <c r="G698" s="29" t="b">
        <v>0</v>
      </c>
      <c r="H698" s="29" t="b">
        <v>0</v>
      </c>
    </row>
    <row r="699">
      <c r="A699" s="273"/>
      <c r="B699" s="38"/>
      <c r="C699" s="77"/>
      <c r="D699" s="40"/>
      <c r="E699" s="256"/>
      <c r="F699" s="256"/>
      <c r="G699" s="29" t="b">
        <v>0</v>
      </c>
      <c r="H699" s="29" t="b">
        <v>0</v>
      </c>
    </row>
    <row r="700">
      <c r="A700" s="273"/>
      <c r="B700" s="38"/>
      <c r="C700" s="77"/>
      <c r="D700" s="40"/>
      <c r="E700" s="86"/>
      <c r="F700" s="256"/>
      <c r="G700" s="29" t="b">
        <v>0</v>
      </c>
      <c r="H700" s="29" t="b">
        <v>0</v>
      </c>
    </row>
    <row r="701">
      <c r="A701" s="273"/>
      <c r="B701" s="38"/>
      <c r="C701" s="77"/>
      <c r="D701" s="40"/>
      <c r="E701" s="86"/>
      <c r="F701" s="256"/>
      <c r="G701" s="29" t="b">
        <v>0</v>
      </c>
      <c r="H701" s="29" t="b">
        <v>0</v>
      </c>
    </row>
    <row r="702">
      <c r="A702" s="130"/>
      <c r="B702" s="252"/>
      <c r="C702" s="77"/>
      <c r="D702" s="77"/>
      <c r="E702" s="275"/>
      <c r="F702" s="276"/>
      <c r="G702" s="29" t="b">
        <v>0</v>
      </c>
      <c r="H702" s="29" t="b">
        <v>0</v>
      </c>
    </row>
    <row r="703">
      <c r="A703" s="277"/>
      <c r="B703" s="252"/>
      <c r="C703" s="77"/>
      <c r="D703" s="260"/>
      <c r="E703" s="275"/>
      <c r="F703" s="278"/>
      <c r="G703" s="29" t="b">
        <v>0</v>
      </c>
      <c r="H703" s="29" t="b">
        <v>0</v>
      </c>
    </row>
    <row r="704">
      <c r="A704" s="130"/>
      <c r="B704" s="279"/>
      <c r="C704" s="280"/>
      <c r="D704" s="280"/>
      <c r="E704" s="276"/>
      <c r="F704" s="256"/>
      <c r="G704" s="29" t="b">
        <v>0</v>
      </c>
      <c r="H704" s="29" t="b">
        <v>0</v>
      </c>
    </row>
    <row r="705">
      <c r="A705" s="130"/>
      <c r="B705" s="279"/>
      <c r="C705" s="280"/>
      <c r="D705" s="281"/>
      <c r="E705" s="276"/>
      <c r="F705" s="256"/>
      <c r="G705" s="29" t="b">
        <v>0</v>
      </c>
      <c r="H705" s="29" t="b">
        <v>0</v>
      </c>
    </row>
    <row r="706">
      <c r="A706" s="273"/>
      <c r="B706" s="38"/>
      <c r="C706" s="77"/>
      <c r="D706" s="40"/>
      <c r="E706" s="86"/>
      <c r="F706" s="256"/>
      <c r="G706" s="29" t="b">
        <v>0</v>
      </c>
      <c r="H706" s="29" t="b">
        <v>0</v>
      </c>
    </row>
    <row r="707">
      <c r="A707" s="273"/>
      <c r="B707" s="38"/>
      <c r="C707" s="77"/>
      <c r="D707" s="40"/>
      <c r="E707" s="86"/>
      <c r="F707" s="256"/>
      <c r="G707" s="29" t="b">
        <v>0</v>
      </c>
      <c r="H707" s="29" t="b">
        <v>0</v>
      </c>
    </row>
    <row r="708">
      <c r="A708" s="273"/>
      <c r="B708" s="279"/>
      <c r="C708" s="260"/>
      <c r="D708" s="260"/>
      <c r="E708" s="86"/>
      <c r="F708" s="256"/>
      <c r="G708" s="29" t="b">
        <v>0</v>
      </c>
      <c r="H708" s="29" t="b">
        <v>0</v>
      </c>
    </row>
    <row r="709">
      <c r="A709" s="273"/>
      <c r="B709" s="279"/>
      <c r="C709" s="280"/>
      <c r="D709" s="281"/>
      <c r="E709" s="276"/>
      <c r="F709" s="256"/>
      <c r="G709" s="29" t="b">
        <v>0</v>
      </c>
      <c r="H709" s="29" t="b">
        <v>0</v>
      </c>
    </row>
    <row r="710">
      <c r="A710" s="273"/>
      <c r="B710" s="279"/>
      <c r="C710" s="260"/>
      <c r="D710" s="275"/>
      <c r="E710" s="278"/>
      <c r="F710" s="256"/>
      <c r="G710" s="29" t="b">
        <v>0</v>
      </c>
      <c r="H710" s="29" t="b">
        <v>0</v>
      </c>
    </row>
    <row r="711">
      <c r="A711" s="273"/>
      <c r="B711" s="38"/>
      <c r="C711" s="280"/>
      <c r="D711" s="40"/>
      <c r="E711" s="276"/>
      <c r="F711" s="256"/>
      <c r="G711" s="29" t="b">
        <v>0</v>
      </c>
      <c r="H711" s="29" t="b">
        <v>0</v>
      </c>
    </row>
    <row r="712">
      <c r="A712" s="130"/>
      <c r="B712" s="279"/>
      <c r="C712" s="280"/>
      <c r="D712" s="281"/>
      <c r="E712" s="276"/>
      <c r="F712" s="256"/>
      <c r="G712" s="29" t="b">
        <v>0</v>
      </c>
      <c r="H712" s="29" t="b">
        <v>0</v>
      </c>
    </row>
    <row r="713">
      <c r="A713" s="130"/>
      <c r="B713" s="279"/>
      <c r="C713" s="280"/>
      <c r="D713" s="281"/>
      <c r="E713" s="276"/>
      <c r="F713" s="256"/>
      <c r="G713" s="29" t="b">
        <v>0</v>
      </c>
      <c r="H713" s="29" t="b">
        <v>0</v>
      </c>
    </row>
    <row r="714">
      <c r="A714" s="130"/>
      <c r="B714" s="279"/>
      <c r="C714" s="280"/>
      <c r="D714" s="281"/>
      <c r="E714" s="276"/>
      <c r="F714" s="256"/>
      <c r="G714" s="29" t="b">
        <v>0</v>
      </c>
      <c r="H714" s="29" t="b">
        <v>0</v>
      </c>
    </row>
    <row r="715">
      <c r="A715" s="130"/>
      <c r="B715" s="279"/>
      <c r="C715" s="280"/>
      <c r="D715" s="281"/>
      <c r="E715" s="278"/>
      <c r="F715" s="256"/>
      <c r="G715" s="29" t="b">
        <v>0</v>
      </c>
      <c r="H715" s="29" t="b">
        <v>0</v>
      </c>
    </row>
    <row r="716">
      <c r="A716" s="130"/>
      <c r="B716" s="279"/>
      <c r="C716" s="282"/>
      <c r="D716" s="281"/>
      <c r="E716" s="278"/>
      <c r="F716" s="283"/>
      <c r="G716" s="29" t="b">
        <v>0</v>
      </c>
      <c r="H716" s="29" t="b">
        <v>0</v>
      </c>
    </row>
    <row r="717">
      <c r="A717" s="130"/>
      <c r="B717" s="284"/>
      <c r="C717" s="285"/>
      <c r="D717" s="286"/>
      <c r="E717" s="268"/>
      <c r="F717" s="256"/>
      <c r="G717" s="29" t="b">
        <v>0</v>
      </c>
      <c r="H717" s="29" t="b">
        <v>0</v>
      </c>
    </row>
    <row r="718">
      <c r="A718" s="130"/>
      <c r="B718" s="284"/>
      <c r="C718" s="285"/>
      <c r="D718" s="286"/>
      <c r="E718" s="268"/>
      <c r="F718" s="256"/>
      <c r="G718" s="29" t="b">
        <v>0</v>
      </c>
      <c r="H718" s="29" t="b">
        <v>0</v>
      </c>
    </row>
    <row r="719">
      <c r="A719" s="130"/>
      <c r="B719" s="284"/>
      <c r="C719" s="285"/>
      <c r="D719" s="286"/>
      <c r="E719" s="268"/>
      <c r="F719" s="256"/>
      <c r="G719" s="29" t="b">
        <v>0</v>
      </c>
      <c r="H719" s="29" t="b">
        <v>0</v>
      </c>
    </row>
    <row r="720">
      <c r="A720" s="287"/>
      <c r="B720" s="284"/>
      <c r="C720" s="285"/>
      <c r="D720" s="286"/>
      <c r="E720" s="268"/>
      <c r="F720" s="256"/>
      <c r="G720" s="29" t="b">
        <v>0</v>
      </c>
      <c r="H720" s="29" t="b">
        <v>0</v>
      </c>
    </row>
    <row r="721">
      <c r="A721" s="130"/>
      <c r="B721" s="279"/>
      <c r="C721" s="280"/>
      <c r="D721" s="281"/>
      <c r="E721" s="276"/>
      <c r="F721" s="283"/>
      <c r="G721" s="29" t="b">
        <v>0</v>
      </c>
      <c r="H721" s="29" t="b">
        <v>0</v>
      </c>
    </row>
    <row r="722">
      <c r="A722" s="130"/>
      <c r="B722" s="279"/>
      <c r="C722" s="282"/>
      <c r="D722" s="281"/>
      <c r="E722" s="278"/>
      <c r="F722" s="283"/>
      <c r="G722" s="29" t="b">
        <v>0</v>
      </c>
      <c r="H722" s="29" t="b">
        <v>0</v>
      </c>
    </row>
    <row r="723">
      <c r="A723" s="130"/>
      <c r="B723" s="288"/>
      <c r="C723" s="280"/>
      <c r="D723" s="281"/>
      <c r="E723" s="276"/>
      <c r="F723" s="256"/>
      <c r="G723" s="29" t="b">
        <v>0</v>
      </c>
      <c r="H723" s="29" t="b">
        <v>0</v>
      </c>
    </row>
    <row r="724">
      <c r="A724" s="130"/>
      <c r="B724" s="279"/>
      <c r="C724" s="280"/>
      <c r="D724" s="281"/>
      <c r="E724" s="276"/>
      <c r="F724" s="256"/>
      <c r="G724" s="29" t="b">
        <v>0</v>
      </c>
      <c r="H724" s="29" t="b">
        <v>0</v>
      </c>
    </row>
    <row r="725">
      <c r="A725" s="130"/>
      <c r="B725" s="279"/>
      <c r="C725" s="280"/>
      <c r="D725" s="281"/>
      <c r="E725" s="276"/>
      <c r="F725" s="256"/>
      <c r="G725" s="29" t="b">
        <v>0</v>
      </c>
      <c r="H725" s="29" t="b">
        <v>0</v>
      </c>
    </row>
    <row r="726">
      <c r="A726" s="130"/>
      <c r="B726" s="279"/>
      <c r="C726" s="280"/>
      <c r="D726" s="281"/>
      <c r="E726" s="276"/>
      <c r="F726" s="256"/>
      <c r="G726" s="29" t="b">
        <v>0</v>
      </c>
      <c r="H726" s="29" t="b">
        <v>0</v>
      </c>
    </row>
    <row r="727">
      <c r="A727" s="130"/>
      <c r="B727" s="279"/>
      <c r="C727" s="280"/>
      <c r="D727" s="281"/>
      <c r="E727" s="276"/>
      <c r="F727" s="256"/>
      <c r="G727" s="29" t="b">
        <v>0</v>
      </c>
      <c r="H727" s="29" t="b">
        <v>0</v>
      </c>
    </row>
    <row r="728">
      <c r="A728" s="130"/>
      <c r="B728" s="288"/>
      <c r="C728" s="280"/>
      <c r="D728" s="281"/>
      <c r="E728" s="276"/>
      <c r="F728" s="256"/>
      <c r="G728" s="29" t="b">
        <v>0</v>
      </c>
      <c r="H728" s="29" t="b">
        <v>0</v>
      </c>
    </row>
    <row r="729">
      <c r="A729" s="130"/>
      <c r="B729" s="279"/>
      <c r="C729" s="280"/>
      <c r="D729" s="281"/>
      <c r="E729" s="276"/>
      <c r="F729" s="256"/>
      <c r="G729" s="29" t="b">
        <v>0</v>
      </c>
      <c r="H729" s="29" t="b">
        <v>0</v>
      </c>
    </row>
    <row r="730">
      <c r="A730" s="130"/>
      <c r="B730" s="279"/>
      <c r="C730" s="280"/>
      <c r="D730" s="281"/>
      <c r="E730" s="276"/>
      <c r="F730" s="256"/>
      <c r="G730" s="29" t="b">
        <v>0</v>
      </c>
      <c r="H730" s="29" t="b">
        <v>0</v>
      </c>
    </row>
    <row r="731">
      <c r="A731" s="130"/>
      <c r="B731" s="288"/>
      <c r="C731" s="280"/>
      <c r="D731" s="281"/>
      <c r="E731" s="289"/>
      <c r="F731" s="256"/>
      <c r="G731" s="29" t="b">
        <v>0</v>
      </c>
      <c r="H731" s="29" t="b">
        <v>0</v>
      </c>
    </row>
    <row r="732">
      <c r="A732" s="130"/>
      <c r="B732" s="279"/>
      <c r="C732" s="282"/>
      <c r="D732" s="281"/>
      <c r="E732" s="278"/>
      <c r="F732" s="283"/>
      <c r="G732" s="29" t="b">
        <v>0</v>
      </c>
      <c r="H732" s="29" t="b">
        <v>0</v>
      </c>
    </row>
    <row r="733">
      <c r="A733" s="130"/>
      <c r="B733" s="279"/>
      <c r="C733" s="280"/>
      <c r="D733" s="281"/>
      <c r="E733" s="276"/>
      <c r="F733" s="256"/>
      <c r="G733" s="29" t="b">
        <v>0</v>
      </c>
      <c r="H733" s="29" t="b">
        <v>0</v>
      </c>
    </row>
    <row r="734">
      <c r="A734" s="130"/>
      <c r="B734" s="279"/>
      <c r="C734" s="280"/>
      <c r="D734" s="281"/>
      <c r="E734" s="276"/>
      <c r="F734" s="256"/>
      <c r="G734" s="29" t="b">
        <v>0</v>
      </c>
      <c r="H734" s="29" t="b">
        <v>0</v>
      </c>
    </row>
    <row r="735">
      <c r="A735" s="130"/>
      <c r="B735" s="279"/>
      <c r="C735" s="280"/>
      <c r="D735" s="281"/>
      <c r="E735" s="276"/>
      <c r="F735" s="256"/>
      <c r="G735" s="29" t="b">
        <v>0</v>
      </c>
      <c r="H735" s="29" t="b">
        <v>0</v>
      </c>
    </row>
    <row r="736">
      <c r="A736" s="130"/>
      <c r="B736" s="279"/>
      <c r="C736" s="280"/>
      <c r="D736" s="281"/>
      <c r="E736" s="276"/>
      <c r="F736" s="256"/>
      <c r="G736" s="29" t="b">
        <v>0</v>
      </c>
      <c r="H736" s="29" t="b">
        <v>0</v>
      </c>
    </row>
    <row r="737">
      <c r="A737" s="130"/>
      <c r="B737" s="288"/>
      <c r="C737" s="280"/>
      <c r="D737" s="281"/>
      <c r="E737" s="276"/>
      <c r="F737" s="256"/>
      <c r="G737" s="29" t="b">
        <v>0</v>
      </c>
      <c r="H737" s="29" t="b">
        <v>0</v>
      </c>
    </row>
  </sheetData>
  <mergeCells count="1">
    <mergeCell ref="A1:H1"/>
  </mergeCells>
  <conditionalFormatting sqref="A3:D737 E3:E24 F3:H737 E26:E737">
    <cfRule type="expression" dxfId="0" priority="1">
      <formula>$H3=TRUE</formula>
    </cfRule>
  </conditionalFormatting>
  <conditionalFormatting sqref="A3:D737 E3:E24 F3:G737 E26:E737">
    <cfRule type="expression" dxfId="1" priority="2">
      <formula>$G3=TRUE</formula>
    </cfRule>
  </conditionalFormatting>
  <dataValidations>
    <dataValidation type="list" allowBlank="1" showErrorMessage="1" sqref="C3:C737">
      <formula1>elenchi!$C$2:$C$100</formula1>
    </dataValidation>
    <dataValidation type="custom" allowBlank="1" showDropDown="1" showInputMessage="1" prompt="Immetti una data valida" sqref="A3:A737">
      <formula1>OR(NOT(ISERROR(DATEVALUE(A3))), AND(ISNUMBER(A3), LEFT(CELL("format", A3))="D"))</formula1>
    </dataValidation>
    <dataValidation type="list" allowBlank="1" showErrorMessage="1" sqref="B3:B737">
      <formula1>elenchi!$B$2:$B$10</formula1>
    </dataValidation>
    <dataValidation type="list" allowBlank="1" sqref="E3:E8 E9:F9 E10:E11 E12:F12 E13:E17 E18:F18 E19:E42 E44:E101 E102:F102 E103:E163 E164:F164 E165:E453 E456:E737">
      <formula1>elenchi!$C$2:$C$100</formula1>
    </dataValidation>
  </dataValidation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5.25"/>
    <col customWidth="1" min="2" max="2" width="18.38"/>
    <col customWidth="1" min="3" max="3" width="21.63"/>
    <col customWidth="1" min="4" max="4" width="19.25"/>
    <col customWidth="1" min="5" max="5" width="15.0"/>
    <col customWidth="1" min="6" max="6" width="22.88"/>
    <col customWidth="1" min="7" max="7" width="26.38"/>
    <col customWidth="1" min="8" max="8" width="24.25"/>
    <col customWidth="1" min="9" max="9" width="8.13"/>
  </cols>
  <sheetData>
    <row r="1" ht="27.75" customHeight="1">
      <c r="A1" s="318" t="s">
        <v>1877</v>
      </c>
      <c r="B1" s="100"/>
      <c r="C1" s="100"/>
      <c r="D1" s="100"/>
      <c r="E1" s="100"/>
      <c r="F1" s="100"/>
      <c r="G1" s="100"/>
      <c r="H1" s="100"/>
      <c r="I1" s="101"/>
    </row>
    <row r="2" ht="24.0" customHeight="1">
      <c r="A2" s="102" t="s">
        <v>612</v>
      </c>
      <c r="B2" s="6" t="s">
        <v>3</v>
      </c>
      <c r="C2" s="103" t="s">
        <v>613</v>
      </c>
      <c r="D2" s="103" t="s">
        <v>614</v>
      </c>
      <c r="E2" s="104" t="s">
        <v>615</v>
      </c>
      <c r="F2" s="103" t="s">
        <v>616</v>
      </c>
      <c r="G2" s="103" t="s">
        <v>617</v>
      </c>
      <c r="H2" s="105" t="s">
        <v>618</v>
      </c>
      <c r="I2" s="106" t="s">
        <v>619</v>
      </c>
    </row>
    <row r="3" ht="18.75" customHeight="1">
      <c r="A3" s="107">
        <v>45182.0</v>
      </c>
      <c r="B3" s="108" t="s">
        <v>1345</v>
      </c>
      <c r="C3" s="108" t="s">
        <v>1878</v>
      </c>
      <c r="D3" s="109" t="s">
        <v>1879</v>
      </c>
      <c r="E3" s="109">
        <v>2.32400078E8</v>
      </c>
      <c r="F3" s="110" t="s">
        <v>1880</v>
      </c>
      <c r="G3" s="110" t="s">
        <v>1881</v>
      </c>
      <c r="H3" s="111"/>
      <c r="I3" s="112" t="b">
        <v>0</v>
      </c>
    </row>
    <row r="4" ht="18.75" customHeight="1">
      <c r="A4" s="107">
        <v>45182.0</v>
      </c>
      <c r="B4" s="108" t="s">
        <v>1362</v>
      </c>
      <c r="C4" s="108" t="s">
        <v>1882</v>
      </c>
      <c r="D4" s="109" t="s">
        <v>1883</v>
      </c>
      <c r="E4" s="109">
        <v>2.32400033E8</v>
      </c>
      <c r="F4" s="110" t="s">
        <v>1884</v>
      </c>
      <c r="G4" s="110" t="s">
        <v>1885</v>
      </c>
      <c r="H4" s="111"/>
      <c r="I4" s="112" t="b">
        <v>0</v>
      </c>
    </row>
    <row r="5" ht="18.75" customHeight="1">
      <c r="A5" s="107">
        <v>45187.0</v>
      </c>
      <c r="B5" s="108" t="s">
        <v>1345</v>
      </c>
      <c r="C5" s="108" t="s">
        <v>1886</v>
      </c>
      <c r="D5" s="109" t="s">
        <v>1887</v>
      </c>
      <c r="E5" s="109">
        <v>2.32400088E8</v>
      </c>
      <c r="F5" s="110" t="s">
        <v>1888</v>
      </c>
      <c r="G5" s="110" t="s">
        <v>1889</v>
      </c>
      <c r="H5" s="111" t="s">
        <v>1890</v>
      </c>
      <c r="I5" s="112" t="b">
        <v>0</v>
      </c>
    </row>
    <row r="6" ht="18.75" customHeight="1">
      <c r="A6" s="107">
        <v>45190.0</v>
      </c>
      <c r="B6" s="108" t="s">
        <v>1345</v>
      </c>
      <c r="C6" s="108" t="s">
        <v>1891</v>
      </c>
      <c r="D6" s="109" t="s">
        <v>1272</v>
      </c>
      <c r="E6" s="109">
        <v>2.22302081E8</v>
      </c>
      <c r="F6" s="110" t="s">
        <v>1892</v>
      </c>
      <c r="G6" s="110" t="s">
        <v>1893</v>
      </c>
      <c r="H6" s="111"/>
      <c r="I6" s="112" t="b">
        <v>0</v>
      </c>
    </row>
    <row r="7" ht="18.75" customHeight="1">
      <c r="A7" s="107">
        <v>45190.0</v>
      </c>
      <c r="B7" s="108" t="s">
        <v>1345</v>
      </c>
      <c r="C7" s="108" t="s">
        <v>1894</v>
      </c>
      <c r="D7" s="109" t="s">
        <v>1895</v>
      </c>
      <c r="E7" s="109">
        <v>2.22302082E8</v>
      </c>
      <c r="F7" s="110" t="s">
        <v>1892</v>
      </c>
      <c r="G7" s="110" t="s">
        <v>1893</v>
      </c>
      <c r="H7" s="111"/>
      <c r="I7" s="112" t="b">
        <v>0</v>
      </c>
    </row>
    <row r="8" ht="18.75" customHeight="1">
      <c r="A8" s="107">
        <v>45194.0</v>
      </c>
      <c r="B8" s="108" t="s">
        <v>1345</v>
      </c>
      <c r="C8" s="108" t="s">
        <v>1896</v>
      </c>
      <c r="D8" s="109" t="s">
        <v>1897</v>
      </c>
      <c r="E8" s="109">
        <v>2.3240036E8</v>
      </c>
      <c r="F8" s="110" t="s">
        <v>1898</v>
      </c>
      <c r="G8" s="110" t="s">
        <v>1899</v>
      </c>
      <c r="H8" s="111"/>
      <c r="I8" s="112" t="b">
        <v>0</v>
      </c>
    </row>
    <row r="9" ht="18.75" customHeight="1">
      <c r="A9" s="107">
        <v>45195.0</v>
      </c>
      <c r="B9" s="108" t="s">
        <v>1345</v>
      </c>
      <c r="C9" s="108" t="s">
        <v>1900</v>
      </c>
      <c r="D9" s="109" t="s">
        <v>1901</v>
      </c>
      <c r="E9" s="109">
        <v>2.32400066E8</v>
      </c>
      <c r="F9" s="110" t="s">
        <v>1902</v>
      </c>
      <c r="G9" s="110" t="s">
        <v>1903</v>
      </c>
      <c r="H9" s="111"/>
      <c r="I9" s="112" t="b">
        <v>0</v>
      </c>
    </row>
    <row r="10" ht="18.75" customHeight="1">
      <c r="A10" s="107">
        <v>45196.0</v>
      </c>
      <c r="B10" s="108" t="s">
        <v>1345</v>
      </c>
      <c r="C10" s="108" t="s">
        <v>1904</v>
      </c>
      <c r="D10" s="109" t="s">
        <v>1905</v>
      </c>
      <c r="E10" s="109">
        <v>2.32400391E8</v>
      </c>
      <c r="F10" s="110" t="s">
        <v>1906</v>
      </c>
      <c r="G10" s="110" t="s">
        <v>1907</v>
      </c>
      <c r="H10" s="111"/>
      <c r="I10" s="112" t="b">
        <v>0</v>
      </c>
    </row>
    <row r="11" ht="18.75" customHeight="1">
      <c r="A11" s="107">
        <v>45198.0</v>
      </c>
      <c r="B11" s="108" t="s">
        <v>59</v>
      </c>
      <c r="C11" s="108" t="s">
        <v>1908</v>
      </c>
      <c r="D11" s="109" t="s">
        <v>1909</v>
      </c>
      <c r="E11" s="109">
        <v>2.32400789E8</v>
      </c>
      <c r="F11" s="110" t="s">
        <v>1910</v>
      </c>
      <c r="G11" s="110" t="s">
        <v>1911</v>
      </c>
      <c r="H11" s="111"/>
      <c r="I11" s="112" t="b">
        <v>0</v>
      </c>
    </row>
    <row r="12" ht="18.75" customHeight="1">
      <c r="A12" s="107">
        <v>45203.0</v>
      </c>
      <c r="B12" s="108" t="s">
        <v>1345</v>
      </c>
      <c r="C12" s="108" t="s">
        <v>1912</v>
      </c>
      <c r="D12" s="109" t="s">
        <v>1913</v>
      </c>
      <c r="E12" s="109">
        <v>2.3240088E8</v>
      </c>
      <c r="F12" s="110" t="s">
        <v>1914</v>
      </c>
      <c r="G12" s="110" t="s">
        <v>1915</v>
      </c>
      <c r="H12" s="111"/>
      <c r="I12" s="112" t="b">
        <v>0</v>
      </c>
    </row>
    <row r="13" ht="18.75" customHeight="1">
      <c r="A13" s="107">
        <v>45204.0</v>
      </c>
      <c r="B13" s="108" t="s">
        <v>1345</v>
      </c>
      <c r="C13" s="108" t="s">
        <v>1916</v>
      </c>
      <c r="D13" s="109" t="s">
        <v>1210</v>
      </c>
      <c r="E13" s="109">
        <v>2.32401011E8</v>
      </c>
      <c r="F13" s="110" t="s">
        <v>1917</v>
      </c>
      <c r="G13" s="110" t="s">
        <v>1918</v>
      </c>
      <c r="H13" s="111"/>
      <c r="I13" s="112" t="b">
        <v>0</v>
      </c>
    </row>
    <row r="14" ht="18.75" customHeight="1">
      <c r="A14" s="107">
        <v>45205.0</v>
      </c>
      <c r="B14" s="108" t="s">
        <v>1345</v>
      </c>
      <c r="C14" s="108" t="s">
        <v>1919</v>
      </c>
      <c r="D14" s="109" t="s">
        <v>1920</v>
      </c>
      <c r="E14" s="109">
        <v>2.22301611E8</v>
      </c>
      <c r="F14" s="110" t="s">
        <v>1921</v>
      </c>
      <c r="G14" s="110" t="s">
        <v>1922</v>
      </c>
      <c r="H14" s="111" t="s">
        <v>1923</v>
      </c>
      <c r="I14" s="112" t="b">
        <v>0</v>
      </c>
    </row>
    <row r="15" ht="18.75" customHeight="1">
      <c r="A15" s="107">
        <v>45205.0</v>
      </c>
      <c r="B15" s="108" t="s">
        <v>1345</v>
      </c>
      <c r="C15" s="108" t="s">
        <v>1924</v>
      </c>
      <c r="D15" s="109" t="s">
        <v>1925</v>
      </c>
      <c r="E15" s="109">
        <v>2.32400754E8</v>
      </c>
      <c r="F15" s="110" t="s">
        <v>1926</v>
      </c>
      <c r="G15" s="110" t="s">
        <v>1922</v>
      </c>
      <c r="H15" s="111"/>
      <c r="I15" s="112" t="b">
        <v>0</v>
      </c>
    </row>
    <row r="16" ht="18.75" customHeight="1">
      <c r="A16" s="107">
        <v>45211.0</v>
      </c>
      <c r="B16" s="108" t="s">
        <v>1345</v>
      </c>
      <c r="C16" s="108" t="s">
        <v>1927</v>
      </c>
      <c r="D16" s="109" t="s">
        <v>1264</v>
      </c>
      <c r="E16" s="109">
        <v>2.32400522E8</v>
      </c>
      <c r="F16" s="110" t="s">
        <v>1928</v>
      </c>
      <c r="G16" s="110" t="s">
        <v>1929</v>
      </c>
      <c r="H16" s="111"/>
      <c r="I16" s="112" t="b">
        <v>0</v>
      </c>
    </row>
    <row r="17" ht="18.75" customHeight="1">
      <c r="A17" s="107">
        <v>45211.0</v>
      </c>
      <c r="B17" s="108" t="s">
        <v>1345</v>
      </c>
      <c r="C17" s="108" t="s">
        <v>1927</v>
      </c>
      <c r="D17" s="109" t="s">
        <v>1264</v>
      </c>
      <c r="E17" s="109">
        <v>2.32400522E8</v>
      </c>
      <c r="F17" s="110" t="s">
        <v>1906</v>
      </c>
      <c r="G17" s="110" t="s">
        <v>1930</v>
      </c>
      <c r="H17" s="111"/>
      <c r="I17" s="112" t="b">
        <v>0</v>
      </c>
    </row>
    <row r="18" ht="18.75" customHeight="1">
      <c r="A18" s="107">
        <v>45222.0</v>
      </c>
      <c r="B18" s="108" t="s">
        <v>1345</v>
      </c>
      <c r="C18" s="108" t="s">
        <v>1931</v>
      </c>
      <c r="D18" s="109" t="s">
        <v>1264</v>
      </c>
      <c r="E18" s="109">
        <v>2.32400374E8</v>
      </c>
      <c r="F18" s="110" t="s">
        <v>1880</v>
      </c>
      <c r="G18" s="110" t="s">
        <v>1932</v>
      </c>
      <c r="H18" s="111"/>
      <c r="I18" s="112" t="b">
        <v>0</v>
      </c>
    </row>
    <row r="19" ht="18.75" customHeight="1">
      <c r="A19" s="107">
        <v>45222.0</v>
      </c>
      <c r="B19" s="108" t="s">
        <v>1345</v>
      </c>
      <c r="C19" s="108" t="s">
        <v>1933</v>
      </c>
      <c r="D19" s="109" t="s">
        <v>1934</v>
      </c>
      <c r="E19" s="109">
        <v>2.32400724E8</v>
      </c>
      <c r="F19" s="110" t="s">
        <v>1935</v>
      </c>
      <c r="G19" s="110" t="s">
        <v>1936</v>
      </c>
      <c r="H19" s="111"/>
      <c r="I19" s="112" t="b">
        <v>0</v>
      </c>
    </row>
    <row r="20" ht="18.75" customHeight="1">
      <c r="A20" s="107">
        <v>45230.0</v>
      </c>
      <c r="B20" s="108" t="s">
        <v>1345</v>
      </c>
      <c r="C20" s="108" t="s">
        <v>1937</v>
      </c>
      <c r="D20" s="109" t="s">
        <v>1938</v>
      </c>
      <c r="E20" s="109">
        <v>2.32400564E8</v>
      </c>
      <c r="F20" s="110" t="s">
        <v>1939</v>
      </c>
      <c r="G20" s="110" t="s">
        <v>1940</v>
      </c>
      <c r="H20" s="111"/>
      <c r="I20" s="112" t="b">
        <v>0</v>
      </c>
    </row>
    <row r="21" ht="18.75" customHeight="1">
      <c r="A21" s="107">
        <v>45232.0</v>
      </c>
      <c r="B21" s="108" t="s">
        <v>1345</v>
      </c>
      <c r="C21" s="108" t="s">
        <v>1941</v>
      </c>
      <c r="D21" s="109" t="s">
        <v>1942</v>
      </c>
      <c r="E21" s="109">
        <v>2.32401221E8</v>
      </c>
      <c r="F21" s="110" t="s">
        <v>1943</v>
      </c>
      <c r="G21" s="110" t="s">
        <v>1944</v>
      </c>
      <c r="H21" s="111"/>
      <c r="I21" s="112" t="b">
        <v>0</v>
      </c>
    </row>
    <row r="22" ht="18.75" customHeight="1">
      <c r="A22" s="107">
        <v>45236.0</v>
      </c>
      <c r="B22" s="108" t="s">
        <v>1345</v>
      </c>
      <c r="C22" s="108" t="s">
        <v>1945</v>
      </c>
      <c r="D22" s="109" t="s">
        <v>1247</v>
      </c>
      <c r="E22" s="109">
        <v>2.32400567E8</v>
      </c>
      <c r="F22" s="110" t="s">
        <v>1946</v>
      </c>
      <c r="G22" s="110" t="s">
        <v>1947</v>
      </c>
      <c r="H22" s="111"/>
      <c r="I22" s="112" t="b">
        <v>0</v>
      </c>
    </row>
    <row r="23" ht="18.75" customHeight="1">
      <c r="A23" s="107">
        <v>45245.0</v>
      </c>
      <c r="B23" s="108" t="s">
        <v>59</v>
      </c>
      <c r="C23" s="108" t="s">
        <v>1948</v>
      </c>
      <c r="D23" s="109" t="s">
        <v>1949</v>
      </c>
      <c r="E23" s="109">
        <v>2.22301936E8</v>
      </c>
      <c r="F23" s="110" t="s">
        <v>1914</v>
      </c>
      <c r="G23" s="110" t="s">
        <v>1950</v>
      </c>
      <c r="H23" s="111"/>
      <c r="I23" s="112" t="b">
        <v>0</v>
      </c>
    </row>
    <row r="24" ht="18.75" customHeight="1">
      <c r="A24" s="114">
        <v>45245.0</v>
      </c>
      <c r="B24" s="108" t="s">
        <v>1362</v>
      </c>
      <c r="C24" s="108" t="s">
        <v>1951</v>
      </c>
      <c r="D24" s="109" t="s">
        <v>1952</v>
      </c>
      <c r="E24" s="109">
        <v>2.32401179E8</v>
      </c>
      <c r="F24" s="110" t="s">
        <v>1953</v>
      </c>
      <c r="G24" s="110" t="s">
        <v>1954</v>
      </c>
      <c r="H24" s="111"/>
      <c r="I24" s="112" t="b">
        <v>0</v>
      </c>
    </row>
    <row r="25" ht="18.75" customHeight="1">
      <c r="A25" s="107">
        <v>45245.0</v>
      </c>
      <c r="B25" s="108" t="s">
        <v>1362</v>
      </c>
      <c r="C25" s="108" t="s">
        <v>1955</v>
      </c>
      <c r="D25" s="109" t="s">
        <v>1956</v>
      </c>
      <c r="E25" s="109">
        <v>2.32401178E8</v>
      </c>
      <c r="F25" s="110" t="s">
        <v>1953</v>
      </c>
      <c r="G25" s="110" t="s">
        <v>1954</v>
      </c>
      <c r="H25" s="111"/>
      <c r="I25" s="112" t="b">
        <v>0</v>
      </c>
    </row>
    <row r="26" ht="18.75" customHeight="1">
      <c r="A26" s="107">
        <v>45253.0</v>
      </c>
      <c r="B26" s="108" t="s">
        <v>10</v>
      </c>
      <c r="C26" s="108" t="s">
        <v>1957</v>
      </c>
      <c r="D26" s="109" t="s">
        <v>1958</v>
      </c>
      <c r="E26" s="109"/>
      <c r="F26" s="110" t="s">
        <v>1959</v>
      </c>
      <c r="G26" s="110" t="s">
        <v>1917</v>
      </c>
      <c r="H26" s="111"/>
      <c r="I26" s="112" t="b">
        <v>0</v>
      </c>
    </row>
    <row r="27" ht="18.75" customHeight="1">
      <c r="A27" s="107">
        <v>45253.0</v>
      </c>
      <c r="B27" s="108" t="s">
        <v>1362</v>
      </c>
      <c r="C27" s="108" t="s">
        <v>1960</v>
      </c>
      <c r="D27" s="109" t="s">
        <v>1961</v>
      </c>
      <c r="E27" s="109">
        <v>2.22301985E8</v>
      </c>
      <c r="F27" s="110" t="s">
        <v>1962</v>
      </c>
      <c r="G27" s="110" t="s">
        <v>1963</v>
      </c>
      <c r="H27" s="111"/>
      <c r="I27" s="112" t="b">
        <v>0</v>
      </c>
    </row>
    <row r="28" ht="18.75" customHeight="1">
      <c r="A28" s="107">
        <v>45260.0</v>
      </c>
      <c r="B28" s="108" t="s">
        <v>1345</v>
      </c>
      <c r="C28" s="108" t="s">
        <v>1964</v>
      </c>
      <c r="D28" s="109" t="s">
        <v>1965</v>
      </c>
      <c r="E28" s="109">
        <v>2.32400872E8</v>
      </c>
      <c r="F28" s="115" t="s">
        <v>1966</v>
      </c>
      <c r="G28" s="110" t="s">
        <v>1967</v>
      </c>
      <c r="H28" s="111"/>
      <c r="I28" s="112" t="b">
        <v>0</v>
      </c>
    </row>
    <row r="29" ht="18.75" customHeight="1">
      <c r="A29" s="107">
        <v>45260.0</v>
      </c>
      <c r="B29" s="108" t="s">
        <v>1345</v>
      </c>
      <c r="C29" s="108" t="s">
        <v>1964</v>
      </c>
      <c r="D29" s="109" t="s">
        <v>1965</v>
      </c>
      <c r="E29" s="109">
        <v>2.32400872E8</v>
      </c>
      <c r="F29" s="110" t="s">
        <v>1968</v>
      </c>
      <c r="G29" s="110" t="s">
        <v>1969</v>
      </c>
      <c r="H29" s="111"/>
      <c r="I29" s="112" t="b">
        <v>0</v>
      </c>
    </row>
    <row r="30" ht="18.75" customHeight="1">
      <c r="A30" s="107">
        <v>45266.0</v>
      </c>
      <c r="B30" s="108" t="s">
        <v>1362</v>
      </c>
      <c r="C30" s="108" t="s">
        <v>1970</v>
      </c>
      <c r="D30" s="109" t="s">
        <v>1971</v>
      </c>
      <c r="E30" s="109">
        <v>2.32401447E8</v>
      </c>
      <c r="F30" s="110" t="s">
        <v>1972</v>
      </c>
      <c r="G30" s="110" t="s">
        <v>1973</v>
      </c>
      <c r="H30" s="111"/>
      <c r="I30" s="112" t="b">
        <v>0</v>
      </c>
    </row>
    <row r="31" ht="18.75" customHeight="1">
      <c r="A31" s="107">
        <v>45266.0</v>
      </c>
      <c r="B31" s="108" t="s">
        <v>1345</v>
      </c>
      <c r="C31" s="108" t="s">
        <v>1974</v>
      </c>
      <c r="D31" s="109" t="s">
        <v>1975</v>
      </c>
      <c r="E31" s="109">
        <v>2.32401541E8</v>
      </c>
      <c r="F31" s="110" t="s">
        <v>1976</v>
      </c>
      <c r="G31" s="110" t="s">
        <v>1880</v>
      </c>
      <c r="H31" s="111"/>
      <c r="I31" s="112" t="b">
        <v>0</v>
      </c>
    </row>
    <row r="32" ht="18.75" customHeight="1">
      <c r="A32" s="107">
        <v>45272.0</v>
      </c>
      <c r="B32" s="108" t="s">
        <v>1345</v>
      </c>
      <c r="C32" s="108" t="s">
        <v>1977</v>
      </c>
      <c r="D32" s="109" t="s">
        <v>1978</v>
      </c>
      <c r="E32" s="109">
        <v>2.32401774E8</v>
      </c>
      <c r="F32" s="110" t="s">
        <v>1979</v>
      </c>
      <c r="G32" s="110" t="s">
        <v>1980</v>
      </c>
      <c r="H32" s="111"/>
      <c r="I32" s="112" t="b">
        <v>0</v>
      </c>
    </row>
    <row r="33" ht="18.75" customHeight="1">
      <c r="A33" s="107">
        <v>45273.0</v>
      </c>
      <c r="B33" s="108" t="s">
        <v>1345</v>
      </c>
      <c r="C33" s="108" t="s">
        <v>1981</v>
      </c>
      <c r="D33" s="109" t="s">
        <v>1982</v>
      </c>
      <c r="E33" s="109">
        <v>2.32401719E8</v>
      </c>
      <c r="F33" s="110" t="s">
        <v>1953</v>
      </c>
      <c r="G33" s="110" t="s">
        <v>1983</v>
      </c>
      <c r="H33" s="111"/>
      <c r="I33" s="112" t="b">
        <v>0</v>
      </c>
    </row>
    <row r="34" ht="18.75" customHeight="1">
      <c r="A34" s="107">
        <v>45281.0</v>
      </c>
      <c r="B34" s="108" t="s">
        <v>1345</v>
      </c>
      <c r="C34" s="108" t="s">
        <v>1984</v>
      </c>
      <c r="D34" s="109" t="s">
        <v>1985</v>
      </c>
      <c r="E34" s="109">
        <v>2.32400609E8</v>
      </c>
      <c r="F34" s="110" t="s">
        <v>1986</v>
      </c>
      <c r="G34" s="110" t="s">
        <v>1987</v>
      </c>
      <c r="H34" s="111"/>
      <c r="I34" s="112" t="b">
        <v>0</v>
      </c>
    </row>
    <row r="35" ht="18.75" customHeight="1">
      <c r="A35" s="107">
        <v>45301.0</v>
      </c>
      <c r="B35" s="108" t="s">
        <v>59</v>
      </c>
      <c r="C35" s="108" t="s">
        <v>1988</v>
      </c>
      <c r="D35" s="109" t="s">
        <v>1989</v>
      </c>
      <c r="E35" s="109"/>
      <c r="F35" s="110" t="s">
        <v>1907</v>
      </c>
      <c r="G35" s="110" t="s">
        <v>1881</v>
      </c>
      <c r="H35" s="111"/>
      <c r="I35" s="112" t="b">
        <v>0</v>
      </c>
    </row>
    <row r="36" ht="18.75" customHeight="1">
      <c r="A36" s="107">
        <v>45308.0</v>
      </c>
      <c r="B36" s="108" t="s">
        <v>1345</v>
      </c>
      <c r="C36" s="108" t="s">
        <v>1990</v>
      </c>
      <c r="D36" s="109" t="s">
        <v>1991</v>
      </c>
      <c r="E36" s="109">
        <v>2.32400299E8</v>
      </c>
      <c r="F36" s="110" t="s">
        <v>1953</v>
      </c>
      <c r="G36" s="110" t="s">
        <v>1992</v>
      </c>
      <c r="H36" s="111"/>
      <c r="I36" s="112" t="b">
        <v>0</v>
      </c>
    </row>
    <row r="37" ht="18.75" customHeight="1">
      <c r="A37" s="107">
        <v>45310.0</v>
      </c>
      <c r="B37" s="108" t="s">
        <v>59</v>
      </c>
      <c r="C37" s="108" t="s">
        <v>1993</v>
      </c>
      <c r="D37" s="109" t="s">
        <v>1994</v>
      </c>
      <c r="E37" s="109">
        <v>2.32400581E8</v>
      </c>
      <c r="F37" s="110" t="s">
        <v>1907</v>
      </c>
      <c r="G37" s="110" t="s">
        <v>1995</v>
      </c>
      <c r="H37" s="111"/>
      <c r="I37" s="112" t="b">
        <v>0</v>
      </c>
    </row>
    <row r="38" ht="18.75" customHeight="1">
      <c r="A38" s="107">
        <v>45311.0</v>
      </c>
      <c r="B38" s="108" t="s">
        <v>1345</v>
      </c>
      <c r="C38" s="108" t="s">
        <v>1996</v>
      </c>
      <c r="D38" s="109" t="s">
        <v>1997</v>
      </c>
      <c r="E38" s="109">
        <v>2.22301955E8</v>
      </c>
      <c r="F38" s="110" t="s">
        <v>1998</v>
      </c>
      <c r="G38" s="110" t="s">
        <v>1884</v>
      </c>
      <c r="H38" s="111"/>
      <c r="I38" s="112" t="b">
        <v>0</v>
      </c>
    </row>
    <row r="39" ht="18.75" customHeight="1">
      <c r="A39" s="107">
        <v>45315.0</v>
      </c>
      <c r="B39" s="108" t="s">
        <v>59</v>
      </c>
      <c r="C39" s="108" t="s">
        <v>1999</v>
      </c>
      <c r="D39" s="109" t="s">
        <v>1231</v>
      </c>
      <c r="E39" s="109">
        <v>2.32400558E8</v>
      </c>
      <c r="F39" s="110" t="s">
        <v>2000</v>
      </c>
      <c r="G39" s="110" t="s">
        <v>2001</v>
      </c>
      <c r="H39" s="111"/>
      <c r="I39" s="112" t="b">
        <v>0</v>
      </c>
    </row>
    <row r="40" ht="18.75" customHeight="1">
      <c r="A40" s="107">
        <v>45315.0</v>
      </c>
      <c r="B40" s="108" t="s">
        <v>59</v>
      </c>
      <c r="C40" s="108" t="s">
        <v>2002</v>
      </c>
      <c r="D40" s="109" t="s">
        <v>2003</v>
      </c>
      <c r="E40" s="109"/>
      <c r="F40" s="110" t="s">
        <v>1954</v>
      </c>
      <c r="G40" s="110" t="s">
        <v>2004</v>
      </c>
      <c r="H40" s="111"/>
      <c r="I40" s="112" t="b">
        <v>0</v>
      </c>
    </row>
    <row r="41" ht="18.75" customHeight="1">
      <c r="A41" s="107">
        <v>45316.0</v>
      </c>
      <c r="B41" s="108" t="s">
        <v>1345</v>
      </c>
      <c r="C41" s="108" t="s">
        <v>2005</v>
      </c>
      <c r="D41" s="108" t="s">
        <v>2006</v>
      </c>
      <c r="E41" s="109">
        <v>2.32400246E8</v>
      </c>
      <c r="F41" s="110" t="s">
        <v>2007</v>
      </c>
      <c r="G41" s="110" t="s">
        <v>2008</v>
      </c>
      <c r="H41" s="111"/>
      <c r="I41" s="112" t="b">
        <v>0</v>
      </c>
    </row>
    <row r="42" ht="18.75" customHeight="1">
      <c r="A42" s="107">
        <v>45316.0</v>
      </c>
      <c r="B42" s="108" t="s">
        <v>59</v>
      </c>
      <c r="C42" s="108" t="s">
        <v>2009</v>
      </c>
      <c r="D42" s="108" t="s">
        <v>2010</v>
      </c>
      <c r="E42" s="109">
        <v>2.32400762E8</v>
      </c>
      <c r="F42" s="110" t="s">
        <v>2011</v>
      </c>
      <c r="G42" s="110" t="s">
        <v>2012</v>
      </c>
      <c r="H42" s="111"/>
      <c r="I42" s="112" t="b">
        <v>0</v>
      </c>
    </row>
    <row r="43" ht="18.75" customHeight="1">
      <c r="A43" s="107">
        <v>45317.0</v>
      </c>
      <c r="B43" s="108" t="s">
        <v>1345</v>
      </c>
      <c r="C43" s="108" t="s">
        <v>2013</v>
      </c>
      <c r="D43" s="108" t="s">
        <v>2014</v>
      </c>
      <c r="E43" s="109">
        <v>2.32401767E8</v>
      </c>
      <c r="F43" s="110" t="s">
        <v>2004</v>
      </c>
      <c r="G43" s="110" t="s">
        <v>2015</v>
      </c>
      <c r="H43" s="111"/>
      <c r="I43" s="112" t="b">
        <v>0</v>
      </c>
    </row>
    <row r="44" ht="18.75" customHeight="1">
      <c r="A44" s="107">
        <v>45321.0</v>
      </c>
      <c r="B44" s="108" t="s">
        <v>59</v>
      </c>
      <c r="C44" s="108" t="s">
        <v>2016</v>
      </c>
      <c r="D44" s="108" t="s">
        <v>2017</v>
      </c>
      <c r="E44" s="109"/>
      <c r="F44" s="110" t="s">
        <v>2018</v>
      </c>
      <c r="G44" s="110" t="s">
        <v>2019</v>
      </c>
      <c r="H44" s="111"/>
      <c r="I44" s="112" t="b">
        <v>0</v>
      </c>
    </row>
    <row r="45" ht="18.75" customHeight="1">
      <c r="A45" s="107">
        <v>45323.0</v>
      </c>
      <c r="B45" s="108" t="s">
        <v>59</v>
      </c>
      <c r="C45" s="108" t="s">
        <v>2020</v>
      </c>
      <c r="D45" s="108" t="s">
        <v>2021</v>
      </c>
      <c r="E45" s="109"/>
      <c r="F45" s="110" t="s">
        <v>2022</v>
      </c>
      <c r="G45" s="110" t="s">
        <v>2023</v>
      </c>
      <c r="H45" s="111"/>
      <c r="I45" s="112" t="b">
        <v>0</v>
      </c>
    </row>
    <row r="46" ht="18.75" customHeight="1">
      <c r="A46" s="107">
        <v>45323.0</v>
      </c>
      <c r="B46" s="108" t="s">
        <v>1345</v>
      </c>
      <c r="C46" s="108" t="s">
        <v>2024</v>
      </c>
      <c r="D46" s="108" t="s">
        <v>1278</v>
      </c>
      <c r="E46" s="109">
        <v>2.32400655E8</v>
      </c>
      <c r="F46" s="110" t="s">
        <v>2025</v>
      </c>
      <c r="G46" s="110" t="s">
        <v>2026</v>
      </c>
      <c r="H46" s="111" t="s">
        <v>2027</v>
      </c>
      <c r="I46" s="112" t="b">
        <v>0</v>
      </c>
    </row>
    <row r="47" ht="18.75" customHeight="1">
      <c r="A47" s="107">
        <v>45327.0</v>
      </c>
      <c r="B47" s="108" t="s">
        <v>1345</v>
      </c>
      <c r="C47" s="108" t="s">
        <v>2028</v>
      </c>
      <c r="D47" s="108" t="s">
        <v>1256</v>
      </c>
      <c r="E47" s="119">
        <v>2.32401534E8</v>
      </c>
      <c r="F47" s="110" t="s">
        <v>2029</v>
      </c>
      <c r="G47" s="110" t="s">
        <v>2030</v>
      </c>
      <c r="H47" s="111"/>
      <c r="I47" s="112" t="b">
        <v>0</v>
      </c>
    </row>
    <row r="48" ht="18.75" customHeight="1">
      <c r="A48" s="107">
        <v>45334.0</v>
      </c>
      <c r="B48" s="108" t="s">
        <v>1345</v>
      </c>
      <c r="C48" s="108" t="s">
        <v>2031</v>
      </c>
      <c r="D48" s="108" t="s">
        <v>1994</v>
      </c>
      <c r="E48" s="119">
        <v>2.32400832E8</v>
      </c>
      <c r="F48" s="110" t="s">
        <v>2032</v>
      </c>
      <c r="G48" s="110" t="s">
        <v>2033</v>
      </c>
      <c r="H48" s="111"/>
      <c r="I48" s="112" t="b">
        <v>0</v>
      </c>
    </row>
    <row r="49" ht="18.75" customHeight="1">
      <c r="A49" s="107">
        <v>45337.0</v>
      </c>
      <c r="B49" s="108" t="s">
        <v>1345</v>
      </c>
      <c r="C49" s="108" t="s">
        <v>2034</v>
      </c>
      <c r="D49" s="108" t="s">
        <v>2035</v>
      </c>
      <c r="E49" s="109">
        <v>2.22302121E8</v>
      </c>
      <c r="F49" s="110" t="s">
        <v>2032</v>
      </c>
      <c r="G49" s="110" t="s">
        <v>2033</v>
      </c>
      <c r="H49" s="111"/>
      <c r="I49" s="112" t="b">
        <v>0</v>
      </c>
    </row>
    <row r="50" ht="18.75" customHeight="1">
      <c r="A50" s="107">
        <v>45337.0</v>
      </c>
      <c r="B50" s="108" t="s">
        <v>1345</v>
      </c>
      <c r="C50" s="108" t="s">
        <v>2036</v>
      </c>
      <c r="D50" s="108" t="s">
        <v>2037</v>
      </c>
      <c r="E50" s="109">
        <v>2.32401601E8</v>
      </c>
      <c r="F50" s="110" t="s">
        <v>2038</v>
      </c>
      <c r="G50" s="110" t="s">
        <v>2039</v>
      </c>
      <c r="H50" s="111"/>
      <c r="I50" s="112" t="b">
        <v>0</v>
      </c>
    </row>
    <row r="51" ht="18.75" customHeight="1">
      <c r="A51" s="107">
        <v>45344.0</v>
      </c>
      <c r="B51" s="108" t="s">
        <v>1345</v>
      </c>
      <c r="C51" s="108" t="s">
        <v>2040</v>
      </c>
      <c r="D51" s="108" t="s">
        <v>2041</v>
      </c>
      <c r="E51" s="109">
        <v>2.32401358E8</v>
      </c>
      <c r="F51" s="110" t="s">
        <v>2039</v>
      </c>
      <c r="G51" s="110" t="s">
        <v>1922</v>
      </c>
      <c r="H51" s="111"/>
      <c r="I51" s="112" t="b">
        <v>0</v>
      </c>
    </row>
    <row r="52" ht="18.75" customHeight="1">
      <c r="A52" s="107">
        <v>45345.0</v>
      </c>
      <c r="B52" s="108" t="s">
        <v>59</v>
      </c>
      <c r="C52" s="108" t="s">
        <v>2042</v>
      </c>
      <c r="D52" s="108" t="s">
        <v>2043</v>
      </c>
      <c r="E52" s="109"/>
      <c r="F52" s="110" t="s">
        <v>2044</v>
      </c>
      <c r="G52" s="110" t="s">
        <v>1987</v>
      </c>
      <c r="H52" s="111"/>
      <c r="I52" s="112" t="b">
        <v>0</v>
      </c>
    </row>
    <row r="53" ht="18.75" customHeight="1">
      <c r="A53" s="120">
        <v>45349.0</v>
      </c>
      <c r="B53" s="121" t="s">
        <v>1345</v>
      </c>
      <c r="C53" s="121" t="s">
        <v>2045</v>
      </c>
      <c r="D53" s="121" t="s">
        <v>2046</v>
      </c>
      <c r="E53" s="109">
        <v>2.32402074E8</v>
      </c>
      <c r="F53" s="110" t="s">
        <v>1969</v>
      </c>
      <c r="G53" s="110" t="s">
        <v>1936</v>
      </c>
      <c r="H53" s="111"/>
      <c r="I53" s="112" t="b">
        <v>0</v>
      </c>
    </row>
    <row r="54" ht="18.75" customHeight="1">
      <c r="A54" s="120">
        <v>45350.0</v>
      </c>
      <c r="B54" s="121" t="s">
        <v>1345</v>
      </c>
      <c r="C54" s="121" t="s">
        <v>2047</v>
      </c>
      <c r="D54" s="121" t="s">
        <v>2048</v>
      </c>
      <c r="E54" s="109">
        <v>2.32400505E8</v>
      </c>
      <c r="F54" s="110" t="s">
        <v>2049</v>
      </c>
      <c r="G54" s="110" t="s">
        <v>2050</v>
      </c>
      <c r="H54" s="111"/>
      <c r="I54" s="112" t="b">
        <v>0</v>
      </c>
    </row>
    <row r="55" ht="18.75" customHeight="1">
      <c r="A55" s="120">
        <v>45356.0</v>
      </c>
      <c r="B55" s="121" t="s">
        <v>1345</v>
      </c>
      <c r="C55" s="121" t="s">
        <v>2051</v>
      </c>
      <c r="D55" s="121" t="s">
        <v>1247</v>
      </c>
      <c r="E55" s="109">
        <v>2.32401303E8</v>
      </c>
      <c r="F55" s="110" t="s">
        <v>2052</v>
      </c>
      <c r="G55" s="110" t="s">
        <v>2053</v>
      </c>
      <c r="H55" s="111"/>
      <c r="I55" s="112" t="b">
        <v>0</v>
      </c>
    </row>
    <row r="56" ht="18.75" customHeight="1">
      <c r="A56" s="120">
        <v>45359.0</v>
      </c>
      <c r="B56" s="121" t="s">
        <v>1345</v>
      </c>
      <c r="C56" s="121" t="s">
        <v>1941</v>
      </c>
      <c r="D56" s="121" t="s">
        <v>1942</v>
      </c>
      <c r="E56" s="109">
        <v>2.32401221E8</v>
      </c>
      <c r="F56" s="110" t="s">
        <v>1944</v>
      </c>
      <c r="G56" s="110" t="s">
        <v>1943</v>
      </c>
      <c r="H56" s="111"/>
      <c r="I56" s="112" t="b">
        <v>0</v>
      </c>
    </row>
    <row r="57" ht="18.75" customHeight="1">
      <c r="A57" s="120">
        <v>45371.0</v>
      </c>
      <c r="B57" s="121" t="s">
        <v>1345</v>
      </c>
      <c r="C57" s="121" t="s">
        <v>1919</v>
      </c>
      <c r="D57" s="121" t="s">
        <v>2054</v>
      </c>
      <c r="E57" s="109">
        <v>2.32402315E8</v>
      </c>
      <c r="F57" s="110" t="s">
        <v>2055</v>
      </c>
      <c r="G57" s="110" t="s">
        <v>2056</v>
      </c>
      <c r="H57" s="111"/>
      <c r="I57" s="112" t="b">
        <v>0</v>
      </c>
    </row>
    <row r="58" ht="18.75" customHeight="1">
      <c r="A58" s="120">
        <v>45386.0</v>
      </c>
      <c r="B58" s="121" t="s">
        <v>1345</v>
      </c>
      <c r="C58" s="121" t="s">
        <v>2057</v>
      </c>
      <c r="D58" s="121" t="s">
        <v>2058</v>
      </c>
      <c r="E58" s="122">
        <v>2.3240003E8</v>
      </c>
      <c r="F58" s="110" t="s">
        <v>2059</v>
      </c>
      <c r="G58" s="110" t="s">
        <v>2060</v>
      </c>
      <c r="H58" s="111"/>
      <c r="I58" s="112" t="b">
        <v>0</v>
      </c>
    </row>
    <row r="59" ht="18.75" customHeight="1">
      <c r="A59" s="120">
        <v>45392.0</v>
      </c>
      <c r="B59" s="121" t="s">
        <v>1345</v>
      </c>
      <c r="C59" s="121" t="s">
        <v>2061</v>
      </c>
      <c r="D59" s="121" t="s">
        <v>2062</v>
      </c>
      <c r="E59" s="123">
        <v>2.32401244E8</v>
      </c>
      <c r="F59" s="110" t="s">
        <v>1943</v>
      </c>
      <c r="G59" s="110" t="s">
        <v>2008</v>
      </c>
      <c r="H59" s="111"/>
      <c r="I59" s="112" t="b">
        <v>0</v>
      </c>
    </row>
    <row r="60" ht="18.75" customHeight="1">
      <c r="A60" s="120">
        <v>45416.0</v>
      </c>
      <c r="B60" s="121" t="s">
        <v>1345</v>
      </c>
      <c r="C60" s="121" t="s">
        <v>2063</v>
      </c>
      <c r="D60" s="121" t="s">
        <v>1905</v>
      </c>
      <c r="E60" s="110"/>
      <c r="F60" s="110" t="s">
        <v>2064</v>
      </c>
      <c r="G60" s="110" t="s">
        <v>1987</v>
      </c>
      <c r="H60" s="111"/>
      <c r="I60" s="112" t="b">
        <v>0</v>
      </c>
    </row>
    <row r="61" ht="18.75" customHeight="1">
      <c r="A61" s="120">
        <v>45427.0</v>
      </c>
      <c r="B61" s="121" t="s">
        <v>1345</v>
      </c>
      <c r="C61" s="121" t="s">
        <v>2065</v>
      </c>
      <c r="D61" s="121" t="s">
        <v>2066</v>
      </c>
      <c r="E61" s="122">
        <v>2.32402073E8</v>
      </c>
      <c r="F61" s="110" t="s">
        <v>2008</v>
      </c>
      <c r="G61" s="110" t="s">
        <v>2067</v>
      </c>
      <c r="H61" s="111"/>
      <c r="I61" s="112" t="b">
        <v>0</v>
      </c>
    </row>
    <row r="62" ht="18.75" customHeight="1">
      <c r="A62" s="120">
        <v>45427.0</v>
      </c>
      <c r="B62" s="121" t="s">
        <v>1345</v>
      </c>
      <c r="C62" s="121" t="s">
        <v>2068</v>
      </c>
      <c r="D62" s="121" t="s">
        <v>1239</v>
      </c>
      <c r="E62" s="122">
        <v>2.32401618E8</v>
      </c>
      <c r="F62" s="110" t="s">
        <v>2008</v>
      </c>
      <c r="G62" s="110" t="s">
        <v>2067</v>
      </c>
      <c r="H62" s="111"/>
      <c r="I62" s="112" t="b">
        <v>0</v>
      </c>
    </row>
    <row r="63" ht="18.75" customHeight="1">
      <c r="A63" s="120">
        <v>45429.0</v>
      </c>
      <c r="B63" s="121" t="s">
        <v>59</v>
      </c>
      <c r="C63" s="121" t="s">
        <v>2069</v>
      </c>
      <c r="D63" s="121" t="s">
        <v>2070</v>
      </c>
      <c r="E63" s="110">
        <v>2.32400143E8</v>
      </c>
      <c r="F63" s="110" t="s">
        <v>1992</v>
      </c>
      <c r="G63" s="110" t="s">
        <v>2071</v>
      </c>
      <c r="H63" s="111" t="s">
        <v>2072</v>
      </c>
      <c r="I63" s="112" t="b">
        <v>0</v>
      </c>
    </row>
    <row r="64" ht="18.75" customHeight="1">
      <c r="A64" s="120"/>
      <c r="B64" s="121"/>
      <c r="C64" s="121"/>
      <c r="D64" s="121"/>
      <c r="E64" s="110"/>
      <c r="F64" s="110"/>
      <c r="G64" s="110"/>
      <c r="H64" s="111"/>
      <c r="I64" s="112" t="b">
        <v>0</v>
      </c>
    </row>
    <row r="65" ht="18.75" customHeight="1">
      <c r="A65" s="120"/>
      <c r="B65" s="121"/>
      <c r="C65" s="121"/>
      <c r="D65" s="121"/>
      <c r="E65" s="110"/>
      <c r="F65" s="110"/>
      <c r="G65" s="110"/>
      <c r="H65" s="111"/>
      <c r="I65" s="112" t="b">
        <v>0</v>
      </c>
    </row>
    <row r="66" ht="18.75" customHeight="1">
      <c r="A66" s="120"/>
      <c r="B66" s="121"/>
      <c r="C66" s="121"/>
      <c r="D66" s="121"/>
      <c r="E66" s="110"/>
      <c r="F66" s="110"/>
      <c r="G66" s="110"/>
      <c r="H66" s="111"/>
      <c r="I66" s="112" t="b">
        <v>0</v>
      </c>
    </row>
    <row r="67" ht="18.75" customHeight="1">
      <c r="A67" s="120"/>
      <c r="B67" s="121"/>
      <c r="C67" s="121"/>
      <c r="D67" s="121"/>
      <c r="E67" s="110"/>
      <c r="F67" s="110"/>
      <c r="G67" s="110"/>
      <c r="H67" s="111"/>
      <c r="I67" s="112" t="b">
        <v>0</v>
      </c>
    </row>
    <row r="68" ht="18.75" customHeight="1">
      <c r="A68" s="120"/>
      <c r="B68" s="121"/>
      <c r="C68" s="121"/>
      <c r="D68" s="121"/>
      <c r="E68" s="110"/>
      <c r="F68" s="110"/>
      <c r="G68" s="110"/>
      <c r="H68" s="111"/>
      <c r="I68" s="112" t="b">
        <v>0</v>
      </c>
    </row>
    <row r="69" ht="18.75" customHeight="1">
      <c r="A69" s="120"/>
      <c r="B69" s="121"/>
      <c r="C69" s="121"/>
      <c r="D69" s="121"/>
      <c r="E69" s="110"/>
      <c r="F69" s="110"/>
      <c r="G69" s="110"/>
      <c r="H69" s="111"/>
      <c r="I69" s="112" t="b">
        <v>0</v>
      </c>
    </row>
    <row r="70" ht="18.75" customHeight="1">
      <c r="A70" s="120"/>
      <c r="B70" s="121"/>
      <c r="C70" s="121"/>
      <c r="D70" s="121"/>
      <c r="E70" s="110"/>
      <c r="F70" s="110"/>
      <c r="G70" s="110"/>
      <c r="H70" s="111"/>
      <c r="I70" s="112" t="b">
        <v>0</v>
      </c>
    </row>
    <row r="71" ht="18.75" customHeight="1">
      <c r="A71" s="120"/>
      <c r="B71" s="121"/>
      <c r="C71" s="121"/>
      <c r="D71" s="121"/>
      <c r="E71" s="110"/>
      <c r="F71" s="110"/>
      <c r="G71" s="110"/>
      <c r="H71" s="111"/>
      <c r="I71" s="112" t="b">
        <v>0</v>
      </c>
    </row>
    <row r="72" ht="18.75" customHeight="1">
      <c r="A72" s="120"/>
      <c r="B72" s="121"/>
      <c r="C72" s="121"/>
      <c r="D72" s="121"/>
      <c r="E72" s="110"/>
      <c r="F72" s="110"/>
      <c r="G72" s="110"/>
      <c r="H72" s="111"/>
      <c r="I72" s="112" t="b">
        <v>0</v>
      </c>
    </row>
    <row r="73" ht="18.75" customHeight="1">
      <c r="A73" s="120"/>
      <c r="B73" s="121"/>
      <c r="C73" s="121"/>
      <c r="D73" s="121"/>
      <c r="E73" s="110"/>
      <c r="F73" s="110"/>
      <c r="G73" s="110"/>
      <c r="H73" s="111"/>
      <c r="I73" s="112" t="b">
        <v>0</v>
      </c>
    </row>
    <row r="74" ht="18.75" customHeight="1">
      <c r="A74" s="120"/>
      <c r="B74" s="121"/>
      <c r="C74" s="121"/>
      <c r="D74" s="121"/>
      <c r="E74" s="110"/>
      <c r="F74" s="110"/>
      <c r="G74" s="110"/>
      <c r="H74" s="111"/>
      <c r="I74" s="112" t="b">
        <v>0</v>
      </c>
    </row>
    <row r="75" ht="18.75" customHeight="1">
      <c r="A75" s="120"/>
      <c r="B75" s="121"/>
      <c r="C75" s="121"/>
      <c r="D75" s="121"/>
      <c r="E75" s="110"/>
      <c r="F75" s="110"/>
      <c r="G75" s="110"/>
      <c r="H75" s="111"/>
      <c r="I75" s="112" t="b">
        <v>0</v>
      </c>
    </row>
    <row r="76" ht="18.75" customHeight="1">
      <c r="A76" s="120"/>
      <c r="B76" s="121"/>
      <c r="C76" s="121"/>
      <c r="D76" s="121"/>
      <c r="E76" s="110"/>
      <c r="F76" s="110"/>
      <c r="G76" s="110"/>
      <c r="H76" s="111"/>
      <c r="I76" s="112" t="b">
        <v>0</v>
      </c>
    </row>
    <row r="77" ht="18.75" customHeight="1">
      <c r="A77" s="120"/>
      <c r="B77" s="121"/>
      <c r="C77" s="121"/>
      <c r="D77" s="121"/>
      <c r="E77" s="110"/>
      <c r="F77" s="110"/>
      <c r="G77" s="110"/>
      <c r="H77" s="111"/>
      <c r="I77" s="112" t="b">
        <v>0</v>
      </c>
    </row>
    <row r="78" ht="18.75" customHeight="1">
      <c r="A78" s="120"/>
      <c r="B78" s="121"/>
      <c r="C78" s="121"/>
      <c r="D78" s="121"/>
      <c r="E78" s="110"/>
      <c r="F78" s="110"/>
      <c r="G78" s="110"/>
      <c r="H78" s="111"/>
      <c r="I78" s="112" t="b">
        <v>0</v>
      </c>
    </row>
    <row r="79" ht="18.75" customHeight="1">
      <c r="A79" s="120"/>
      <c r="B79" s="121"/>
      <c r="C79" s="121"/>
      <c r="D79" s="121"/>
      <c r="E79" s="110"/>
      <c r="F79" s="110"/>
      <c r="G79" s="110"/>
      <c r="H79" s="111"/>
      <c r="I79" s="112" t="b">
        <v>0</v>
      </c>
    </row>
    <row r="80" ht="18.75" customHeight="1">
      <c r="A80" s="120"/>
      <c r="B80" s="121"/>
      <c r="C80" s="121"/>
      <c r="D80" s="121"/>
      <c r="E80" s="110"/>
      <c r="F80" s="110"/>
      <c r="G80" s="110"/>
      <c r="H80" s="111"/>
      <c r="I80" s="112" t="b">
        <v>0</v>
      </c>
    </row>
    <row r="81" ht="18.75" customHeight="1">
      <c r="A81" s="120"/>
      <c r="B81" s="121"/>
      <c r="C81" s="121"/>
      <c r="D81" s="121"/>
      <c r="E81" s="110"/>
      <c r="F81" s="110"/>
      <c r="G81" s="110"/>
      <c r="H81" s="111"/>
      <c r="I81" s="112" t="b">
        <v>0</v>
      </c>
    </row>
    <row r="82" ht="18.75" customHeight="1">
      <c r="A82" s="120"/>
      <c r="B82" s="121"/>
      <c r="C82" s="121"/>
      <c r="D82" s="121"/>
      <c r="E82" s="110"/>
      <c r="F82" s="110"/>
      <c r="G82" s="110"/>
      <c r="H82" s="111"/>
      <c r="I82" s="112" t="b">
        <v>0</v>
      </c>
    </row>
    <row r="83" ht="18.75" customHeight="1">
      <c r="A83" s="120"/>
      <c r="B83" s="121"/>
      <c r="C83" s="121"/>
      <c r="D83" s="121"/>
      <c r="E83" s="110"/>
      <c r="F83" s="110"/>
      <c r="G83" s="110"/>
      <c r="H83" s="111"/>
      <c r="I83" s="112" t="b">
        <v>0</v>
      </c>
    </row>
    <row r="84" ht="18.75" customHeight="1">
      <c r="A84" s="120"/>
      <c r="B84" s="121"/>
      <c r="C84" s="121"/>
      <c r="D84" s="121"/>
      <c r="E84" s="110"/>
      <c r="F84" s="110"/>
      <c r="G84" s="110"/>
      <c r="H84" s="111"/>
      <c r="I84" s="112" t="b">
        <v>0</v>
      </c>
    </row>
    <row r="85" ht="18.75" customHeight="1">
      <c r="A85" s="120"/>
      <c r="B85" s="121"/>
      <c r="C85" s="121"/>
      <c r="D85" s="121"/>
      <c r="E85" s="110"/>
      <c r="F85" s="110"/>
      <c r="G85" s="110"/>
      <c r="H85" s="111"/>
      <c r="I85" s="112" t="b">
        <v>0</v>
      </c>
    </row>
    <row r="86" ht="18.75" customHeight="1">
      <c r="A86" s="120"/>
      <c r="B86" s="121"/>
      <c r="C86" s="121"/>
      <c r="D86" s="121"/>
      <c r="E86" s="110"/>
      <c r="F86" s="110"/>
      <c r="G86" s="110"/>
      <c r="H86" s="111"/>
      <c r="I86" s="112" t="b">
        <v>0</v>
      </c>
    </row>
    <row r="87" ht="18.75" customHeight="1">
      <c r="A87" s="120"/>
      <c r="B87" s="121"/>
      <c r="C87" s="121"/>
      <c r="D87" s="121"/>
      <c r="E87" s="110"/>
      <c r="F87" s="110"/>
      <c r="G87" s="110"/>
      <c r="H87" s="111"/>
      <c r="I87" s="112" t="b">
        <v>0</v>
      </c>
    </row>
    <row r="88" ht="18.75" customHeight="1">
      <c r="A88" s="120"/>
      <c r="B88" s="121"/>
      <c r="C88" s="121"/>
      <c r="D88" s="121"/>
      <c r="E88" s="110"/>
      <c r="F88" s="110"/>
      <c r="G88" s="110"/>
      <c r="H88" s="111"/>
      <c r="I88" s="112" t="b">
        <v>0</v>
      </c>
    </row>
    <row r="89" ht="18.75" customHeight="1">
      <c r="A89" s="120"/>
      <c r="B89" s="121"/>
      <c r="C89" s="121"/>
      <c r="D89" s="121"/>
      <c r="E89" s="110"/>
      <c r="F89" s="110"/>
      <c r="G89" s="110"/>
      <c r="H89" s="111"/>
      <c r="I89" s="112" t="b">
        <v>0</v>
      </c>
    </row>
    <row r="90" ht="18.75" customHeight="1">
      <c r="A90" s="120"/>
      <c r="B90" s="121"/>
      <c r="C90" s="121"/>
      <c r="D90" s="121"/>
      <c r="E90" s="110"/>
      <c r="F90" s="110"/>
      <c r="G90" s="110"/>
      <c r="H90" s="111"/>
      <c r="I90" s="112" t="b">
        <v>0</v>
      </c>
    </row>
    <row r="91" ht="18.75" customHeight="1">
      <c r="A91" s="107"/>
      <c r="B91" s="108"/>
      <c r="C91" s="108"/>
      <c r="D91" s="108"/>
      <c r="E91" s="124"/>
      <c r="F91" s="124"/>
      <c r="G91" s="110"/>
      <c r="H91" s="125"/>
      <c r="I91" s="112" t="b">
        <v>0</v>
      </c>
    </row>
    <row r="92" ht="18.75" customHeight="1">
      <c r="A92" s="120"/>
      <c r="B92" s="121"/>
      <c r="C92" s="121"/>
      <c r="D92" s="121"/>
      <c r="E92" s="110"/>
      <c r="F92" s="110"/>
      <c r="G92" s="110"/>
      <c r="H92" s="125"/>
      <c r="I92" s="112" t="b">
        <v>0</v>
      </c>
    </row>
    <row r="93" ht="18.75" customHeight="1">
      <c r="A93" s="120"/>
      <c r="B93" s="121"/>
      <c r="C93" s="121"/>
      <c r="D93" s="121"/>
      <c r="E93" s="110"/>
      <c r="F93" s="110"/>
      <c r="G93" s="110"/>
      <c r="H93" s="125"/>
      <c r="I93" s="112" t="b">
        <v>0</v>
      </c>
    </row>
    <row r="94" ht="18.75" customHeight="1">
      <c r="A94" s="120"/>
      <c r="B94" s="121"/>
      <c r="C94" s="121"/>
      <c r="D94" s="121"/>
      <c r="E94" s="110"/>
      <c r="F94" s="110"/>
      <c r="G94" s="110"/>
      <c r="H94" s="125"/>
      <c r="I94" s="112" t="b">
        <v>0</v>
      </c>
    </row>
    <row r="95" ht="18.75" customHeight="1">
      <c r="A95" s="120"/>
      <c r="B95" s="121"/>
      <c r="C95" s="121"/>
      <c r="D95" s="121"/>
      <c r="E95" s="110"/>
      <c r="F95" s="110"/>
      <c r="G95" s="110"/>
      <c r="H95" s="125"/>
      <c r="I95" s="112" t="b">
        <v>0</v>
      </c>
    </row>
    <row r="96" ht="18.75" customHeight="1">
      <c r="A96" s="120"/>
      <c r="B96" s="121"/>
      <c r="C96" s="121"/>
      <c r="D96" s="121"/>
      <c r="E96" s="110"/>
      <c r="F96" s="110"/>
      <c r="G96" s="110"/>
      <c r="H96" s="125"/>
      <c r="I96" s="112" t="b">
        <v>0</v>
      </c>
    </row>
    <row r="97" ht="18.75" customHeight="1">
      <c r="A97" s="120"/>
      <c r="B97" s="121"/>
      <c r="C97" s="121"/>
      <c r="D97" s="121"/>
      <c r="E97" s="110"/>
      <c r="F97" s="110"/>
      <c r="G97" s="110"/>
      <c r="H97" s="125"/>
      <c r="I97" s="112" t="b">
        <v>0</v>
      </c>
    </row>
    <row r="98" ht="18.75" customHeight="1">
      <c r="A98" s="120"/>
      <c r="B98" s="121"/>
      <c r="C98" s="121"/>
      <c r="D98" s="121"/>
      <c r="E98" s="110"/>
      <c r="F98" s="110"/>
      <c r="G98" s="110"/>
      <c r="H98" s="125"/>
      <c r="I98" s="112" t="b">
        <v>0</v>
      </c>
    </row>
    <row r="99" ht="18.75" customHeight="1">
      <c r="A99" s="120"/>
      <c r="B99" s="121"/>
      <c r="C99" s="121"/>
      <c r="D99" s="121"/>
      <c r="E99" s="110"/>
      <c r="F99" s="110"/>
      <c r="G99" s="110"/>
      <c r="H99" s="125"/>
      <c r="I99" s="112" t="b">
        <v>0</v>
      </c>
    </row>
    <row r="100" ht="18.75" customHeight="1">
      <c r="A100" s="120"/>
      <c r="B100" s="121"/>
      <c r="C100" s="121"/>
      <c r="D100" s="121"/>
      <c r="E100" s="110"/>
      <c r="F100" s="110"/>
      <c r="G100" s="110"/>
      <c r="H100" s="125"/>
      <c r="I100" s="112" t="b">
        <v>0</v>
      </c>
    </row>
    <row r="101" ht="18.75" customHeight="1">
      <c r="A101" s="120"/>
      <c r="B101" s="121"/>
      <c r="C101" s="121"/>
      <c r="D101" s="121"/>
      <c r="E101" s="110"/>
      <c r="F101" s="110"/>
      <c r="G101" s="110"/>
      <c r="H101" s="125"/>
      <c r="I101" s="112" t="b">
        <v>0</v>
      </c>
    </row>
    <row r="102" ht="18.75" customHeight="1">
      <c r="A102" s="120"/>
      <c r="B102" s="121"/>
      <c r="C102" s="121"/>
      <c r="D102" s="121"/>
      <c r="E102" s="110"/>
      <c r="F102" s="110"/>
      <c r="G102" s="110"/>
      <c r="H102" s="125"/>
      <c r="I102" s="112" t="b">
        <v>0</v>
      </c>
    </row>
    <row r="103" ht="18.75" customHeight="1">
      <c r="A103" s="120"/>
      <c r="B103" s="121"/>
      <c r="C103" s="121"/>
      <c r="D103" s="121"/>
      <c r="E103" s="110"/>
      <c r="F103" s="110"/>
      <c r="G103" s="110"/>
      <c r="H103" s="125"/>
      <c r="I103" s="112" t="b">
        <v>0</v>
      </c>
    </row>
    <row r="104" ht="18.75" customHeight="1">
      <c r="A104" s="120"/>
      <c r="B104" s="121"/>
      <c r="C104" s="121"/>
      <c r="D104" s="121"/>
      <c r="E104" s="110"/>
      <c r="F104" s="110"/>
      <c r="G104" s="110"/>
      <c r="H104" s="125"/>
      <c r="I104" s="112" t="b">
        <v>0</v>
      </c>
    </row>
    <row r="105" ht="18.75" customHeight="1">
      <c r="A105" s="120"/>
      <c r="B105" s="121"/>
      <c r="C105" s="121"/>
      <c r="D105" s="121"/>
      <c r="E105" s="110"/>
      <c r="F105" s="110"/>
      <c r="G105" s="110"/>
      <c r="H105" s="125"/>
      <c r="I105" s="112" t="b">
        <v>0</v>
      </c>
    </row>
    <row r="106" ht="18.75" customHeight="1">
      <c r="A106" s="120"/>
      <c r="B106" s="121"/>
      <c r="C106" s="121"/>
      <c r="D106" s="121"/>
      <c r="E106" s="110"/>
      <c r="F106" s="110"/>
      <c r="G106" s="110"/>
      <c r="H106" s="125"/>
      <c r="I106" s="112" t="b">
        <v>0</v>
      </c>
    </row>
    <row r="107" ht="18.75" customHeight="1">
      <c r="A107" s="120"/>
      <c r="B107" s="121"/>
      <c r="C107" s="121"/>
      <c r="D107" s="121"/>
      <c r="E107" s="110"/>
      <c r="F107" s="110"/>
      <c r="G107" s="110"/>
      <c r="H107" s="125"/>
      <c r="I107" s="112" t="b">
        <v>0</v>
      </c>
    </row>
    <row r="108" ht="18.75" customHeight="1">
      <c r="A108" s="120"/>
      <c r="B108" s="121"/>
      <c r="C108" s="121"/>
      <c r="D108" s="121"/>
      <c r="E108" s="110"/>
      <c r="F108" s="110"/>
      <c r="G108" s="110"/>
      <c r="H108" s="125"/>
      <c r="I108" s="112" t="b">
        <v>0</v>
      </c>
    </row>
    <row r="109" ht="18.75" customHeight="1">
      <c r="A109" s="120"/>
      <c r="B109" s="121"/>
      <c r="C109" s="121"/>
      <c r="D109" s="121"/>
      <c r="E109" s="110"/>
      <c r="F109" s="110"/>
      <c r="G109" s="110"/>
      <c r="H109" s="125"/>
      <c r="I109" s="112" t="b">
        <v>0</v>
      </c>
    </row>
    <row r="110" ht="18.75" customHeight="1">
      <c r="A110" s="120"/>
      <c r="B110" s="126"/>
      <c r="C110" s="126"/>
      <c r="D110" s="126"/>
      <c r="E110" s="110"/>
      <c r="F110" s="110"/>
      <c r="G110" s="110"/>
      <c r="H110" s="125"/>
      <c r="I110" s="112" t="b">
        <v>0</v>
      </c>
    </row>
    <row r="111" ht="18.75" customHeight="1">
      <c r="A111" s="120"/>
      <c r="B111" s="126"/>
      <c r="C111" s="126"/>
      <c r="D111" s="126"/>
      <c r="E111" s="110"/>
      <c r="F111" s="110"/>
      <c r="G111" s="110"/>
      <c r="H111" s="125"/>
      <c r="I111" s="112" t="b">
        <v>0</v>
      </c>
    </row>
    <row r="112" ht="18.75" customHeight="1">
      <c r="A112" s="120"/>
      <c r="B112" s="121"/>
      <c r="C112" s="121"/>
      <c r="D112" s="121"/>
      <c r="E112" s="110"/>
      <c r="F112" s="110"/>
      <c r="G112" s="110"/>
      <c r="H112" s="125"/>
      <c r="I112" s="112" t="b">
        <v>0</v>
      </c>
    </row>
    <row r="113" ht="18.75" customHeight="1">
      <c r="A113" s="120"/>
      <c r="B113" s="121"/>
      <c r="C113" s="121"/>
      <c r="D113" s="121"/>
      <c r="E113" s="110"/>
      <c r="F113" s="110"/>
      <c r="G113" s="110"/>
      <c r="H113" s="125"/>
      <c r="I113" s="112" t="b">
        <v>0</v>
      </c>
    </row>
    <row r="114" ht="18.75" customHeight="1">
      <c r="A114" s="120"/>
      <c r="B114" s="121"/>
      <c r="C114" s="121"/>
      <c r="D114" s="121"/>
      <c r="E114" s="110"/>
      <c r="F114" s="110"/>
      <c r="G114" s="110"/>
      <c r="H114" s="125"/>
      <c r="I114" s="112" t="b">
        <v>0</v>
      </c>
    </row>
    <row r="115" ht="18.75" customHeight="1">
      <c r="A115" s="120"/>
      <c r="B115" s="121"/>
      <c r="C115" s="121"/>
      <c r="D115" s="121"/>
      <c r="E115" s="110"/>
      <c r="F115" s="110"/>
      <c r="G115" s="110"/>
      <c r="H115" s="125"/>
      <c r="I115" s="112" t="b">
        <v>0</v>
      </c>
    </row>
    <row r="116" ht="18.75" customHeight="1">
      <c r="A116" s="120"/>
      <c r="B116" s="121"/>
      <c r="C116" s="121"/>
      <c r="D116" s="121"/>
      <c r="E116" s="127"/>
      <c r="F116" s="110"/>
      <c r="G116" s="110"/>
      <c r="H116" s="125"/>
      <c r="I116" s="112" t="b">
        <v>0</v>
      </c>
    </row>
    <row r="117" ht="18.75" customHeight="1">
      <c r="A117" s="120"/>
      <c r="B117" s="121"/>
      <c r="C117" s="121"/>
      <c r="D117" s="121"/>
      <c r="E117" s="110"/>
      <c r="F117" s="110"/>
      <c r="G117" s="110"/>
      <c r="H117" s="125"/>
      <c r="I117" s="112" t="b">
        <v>0</v>
      </c>
    </row>
    <row r="118" ht="18.75" customHeight="1">
      <c r="A118" s="120"/>
      <c r="B118" s="121"/>
      <c r="C118" s="121"/>
      <c r="D118" s="121"/>
      <c r="E118" s="110"/>
      <c r="F118" s="110"/>
      <c r="G118" s="110"/>
      <c r="H118" s="125"/>
      <c r="I118" s="112" t="b">
        <v>0</v>
      </c>
    </row>
    <row r="119" ht="18.75" customHeight="1">
      <c r="A119" s="120"/>
      <c r="B119" s="121"/>
      <c r="C119" s="121"/>
      <c r="D119" s="121"/>
      <c r="E119" s="110"/>
      <c r="F119" s="110"/>
      <c r="G119" s="110"/>
      <c r="H119" s="125"/>
      <c r="I119" s="112" t="b">
        <v>0</v>
      </c>
    </row>
    <row r="120" ht="18.75" customHeight="1">
      <c r="A120" s="120"/>
      <c r="B120" s="109"/>
      <c r="C120" s="109"/>
      <c r="D120" s="121"/>
      <c r="E120" s="110"/>
      <c r="F120" s="110"/>
      <c r="G120" s="110"/>
      <c r="H120" s="125"/>
      <c r="I120" s="112" t="b">
        <v>0</v>
      </c>
    </row>
    <row r="121" ht="18.75" customHeight="1">
      <c r="A121" s="120"/>
      <c r="B121" s="121"/>
      <c r="C121" s="121"/>
      <c r="D121" s="121"/>
      <c r="E121" s="110"/>
      <c r="F121" s="110"/>
      <c r="G121" s="110"/>
      <c r="H121" s="125"/>
      <c r="I121" s="112" t="b">
        <v>0</v>
      </c>
    </row>
    <row r="122" ht="18.75" customHeight="1">
      <c r="A122" s="120"/>
      <c r="B122" s="121"/>
      <c r="C122" s="121"/>
      <c r="D122" s="121"/>
      <c r="E122" s="110"/>
      <c r="F122" s="110"/>
      <c r="G122" s="110"/>
      <c r="H122" s="125"/>
      <c r="I122" s="112" t="b">
        <v>0</v>
      </c>
    </row>
    <row r="123" ht="18.75" customHeight="1">
      <c r="A123" s="120"/>
      <c r="B123" s="121"/>
      <c r="C123" s="121"/>
      <c r="D123" s="121"/>
      <c r="E123" s="110"/>
      <c r="F123" s="110"/>
      <c r="G123" s="110"/>
      <c r="H123" s="125"/>
      <c r="I123" s="112" t="b">
        <v>0</v>
      </c>
    </row>
    <row r="124" ht="18.75" customHeight="1">
      <c r="A124" s="120"/>
      <c r="B124" s="121"/>
      <c r="C124" s="121"/>
      <c r="D124" s="121"/>
      <c r="E124" s="110"/>
      <c r="F124" s="110"/>
      <c r="G124" s="110"/>
      <c r="H124" s="125"/>
      <c r="I124" s="112" t="b">
        <v>0</v>
      </c>
    </row>
    <row r="125" ht="18.75" customHeight="1">
      <c r="A125" s="120"/>
      <c r="B125" s="121"/>
      <c r="C125" s="121"/>
      <c r="D125" s="121"/>
      <c r="E125" s="110"/>
      <c r="F125" s="110"/>
      <c r="G125" s="110"/>
      <c r="H125" s="125"/>
      <c r="I125" s="112" t="b">
        <v>0</v>
      </c>
    </row>
    <row r="126" ht="18.75" customHeight="1">
      <c r="A126" s="120"/>
      <c r="B126" s="121"/>
      <c r="C126" s="121"/>
      <c r="D126" s="121"/>
      <c r="E126" s="110"/>
      <c r="F126" s="110"/>
      <c r="G126" s="110"/>
      <c r="H126" s="125"/>
      <c r="I126" s="112" t="b">
        <v>0</v>
      </c>
    </row>
    <row r="127" ht="18.75" customHeight="1">
      <c r="A127" s="120"/>
      <c r="B127" s="121"/>
      <c r="C127" s="121"/>
      <c r="D127" s="121"/>
      <c r="E127" s="110"/>
      <c r="F127" s="110"/>
      <c r="G127" s="110"/>
      <c r="H127" s="125"/>
      <c r="I127" s="112" t="b">
        <v>0</v>
      </c>
    </row>
    <row r="128" ht="18.75" customHeight="1">
      <c r="A128" s="120"/>
      <c r="B128" s="121"/>
      <c r="C128" s="121"/>
      <c r="D128" s="121"/>
      <c r="E128" s="110"/>
      <c r="F128" s="110"/>
      <c r="G128" s="110"/>
      <c r="H128" s="125"/>
      <c r="I128" s="112" t="b">
        <v>0</v>
      </c>
    </row>
    <row r="129" ht="18.75" customHeight="1">
      <c r="A129" s="120"/>
      <c r="B129" s="121"/>
      <c r="C129" s="121"/>
      <c r="D129" s="121"/>
      <c r="E129" s="110"/>
      <c r="F129" s="110"/>
      <c r="G129" s="110"/>
      <c r="H129" s="125"/>
      <c r="I129" s="112" t="b">
        <v>0</v>
      </c>
    </row>
  </sheetData>
  <mergeCells count="1">
    <mergeCell ref="A1:I1"/>
  </mergeCells>
  <conditionalFormatting sqref="A3:I129">
    <cfRule type="expression" dxfId="0" priority="1">
      <formula>$I3=TRUE</formula>
    </cfRule>
  </conditionalFormatting>
  <dataValidations>
    <dataValidation type="custom" allowBlank="1" showDropDown="1" showInputMessage="1" prompt="Immetti una data valida" sqref="A3:A129">
      <formula1>OR(NOT(ISERROR(DATEVALUE(A3))), AND(ISNUMBER(A3), LEFT(CELL("format", A3))="D"))</formula1>
    </dataValidation>
    <dataValidation type="list" allowBlank="1" showErrorMessage="1" sqref="B3:B129">
      <formula1>elenchi!$B$2:$B$10</formula1>
    </dataValidation>
    <dataValidation type="list" allowBlank="1" showErrorMessage="1" sqref="F3:G129">
      <formula1>elenchi!$A$2:$A$500</formula1>
    </dataValidation>
  </dataValidations>
  <printOptions/>
  <pageMargins bottom="0.25" footer="0.0" header="0.0" left="0.25" right="0.25" top="0.25"/>
  <pageSetup scale="96" orientation="landscape"/>
  <headerFooter>
    <oddFooter>&amp;C000000&amp;P</oddFooter>
  </headerFooter>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48.38"/>
    <col customWidth="1" min="3" max="3" width="26.5"/>
  </cols>
  <sheetData>
    <row r="1" ht="15.75" customHeight="1">
      <c r="A1" s="319" t="s">
        <v>2073</v>
      </c>
      <c r="B1" s="319" t="s">
        <v>3</v>
      </c>
      <c r="C1" s="320" t="s">
        <v>2074</v>
      </c>
    </row>
    <row r="2">
      <c r="A2" s="321" t="str">
        <f>IFERROR(__xludf.DUMMYFUNCTION("IMPORTRANGE(""https://docs.google.com/spreadsheets/d/18iHbFEZ6msv3IU3InH0K5SEgnjM_8H0uHajc7c4fMiQ/edit?gid=1738522582#gid=1738522582"", ""master_elenco_corsi!B2:B1457"")"),"")</f>
        <v/>
      </c>
      <c r="B2" s="322" t="str">
        <f>IFERROR(__xludf.DUMMYFUNCTION("IMPORTRANGE(""https://docs.google.com/spreadsheets/d/18iHbFEZ6msv3IU3InH0K5SEgnjM_8H0uHajc7c4fMiQ/edit?gid=1738522582#gid=1738522582"", ""elenchi!M2:M100"")"),"Alexandra")</f>
        <v>Alexandra</v>
      </c>
      <c r="C2" s="323" t="str">
        <f>IFERROR(__xludf.DUMMYFUNCTION("IMPORTRANGE(""https://docs.google.com/spreadsheets/d/1ZMj9MmlcWolWuTUKuPfdiZYVYSB6I88HxUS1ZjygKo0/edit#gid=930245762"", ""insegnanti!A3:A100"")"),"Aldrin Magarro")</f>
        <v>Aldrin Magarro</v>
      </c>
    </row>
    <row r="3">
      <c r="A3" s="321"/>
      <c r="B3" s="322" t="str">
        <f>IFERROR(__xludf.DUMMYFUNCTION("""COMPUTED_VALUE"""),"Estefany")</f>
        <v>Estefany</v>
      </c>
      <c r="C3" s="323" t="str">
        <f>IFERROR(__xludf.DUMMYFUNCTION("""COMPUTED_VALUE"""),"Alessandra Marino")</f>
        <v>Alessandra Marino</v>
      </c>
    </row>
    <row r="4">
      <c r="A4" s="321"/>
      <c r="B4" s="322" t="str">
        <f>IFERROR(__xludf.DUMMYFUNCTION("""COMPUTED_VALUE"""),"Giuditta")</f>
        <v>Giuditta</v>
      </c>
      <c r="C4" s="323" t="str">
        <f>IFERROR(__xludf.DUMMYFUNCTION("""COMPUTED_VALUE"""),"Alex Bonni")</f>
        <v>Alex Bonni</v>
      </c>
    </row>
    <row r="5">
      <c r="A5" s="321"/>
      <c r="B5" s="322" t="str">
        <f>IFERROR(__xludf.DUMMYFUNCTION("""COMPUTED_VALUE"""),"Jasir")</f>
        <v>Jasir</v>
      </c>
      <c r="C5" s="323" t="str">
        <f>IFERROR(__xludf.DUMMYFUNCTION("""COMPUTED_VALUE"""),"Amber Dutta")</f>
        <v>Amber Dutta</v>
      </c>
    </row>
    <row r="6">
      <c r="A6" s="321"/>
      <c r="B6" s="322" t="str">
        <f>IFERROR(__xludf.DUMMYFUNCTION("""COMPUTED_VALUE"""),"Joel")</f>
        <v>Joel</v>
      </c>
      <c r="C6" s="323" t="str">
        <f>IFERROR(__xludf.DUMMYFUNCTION("""COMPUTED_VALUE"""),"Ambra Galluzzo")</f>
        <v>Ambra Galluzzo</v>
      </c>
    </row>
    <row r="7">
      <c r="A7" s="321"/>
      <c r="B7" s="322" t="str">
        <f>IFERROR(__xludf.DUMMYFUNCTION("""COMPUTED_VALUE"""),"Kevin")</f>
        <v>Kevin</v>
      </c>
      <c r="C7" s="323" t="str">
        <f>IFERROR(__xludf.DUMMYFUNCTION("""COMPUTED_VALUE"""),"Anahita")</f>
        <v>Anahita</v>
      </c>
    </row>
    <row r="8">
      <c r="A8" s="324"/>
      <c r="B8" s="322" t="str">
        <f>IFERROR(__xludf.DUMMYFUNCTION("""COMPUTED_VALUE"""),"Massi")</f>
        <v>Massi</v>
      </c>
      <c r="C8" s="323" t="str">
        <f>IFERROR(__xludf.DUMMYFUNCTION("""COMPUTED_VALUE"""),"Andrea Piccirillo")</f>
        <v>Andrea Piccirillo</v>
      </c>
    </row>
    <row r="9">
      <c r="A9" s="324"/>
      <c r="B9" s="322" t="str">
        <f>IFERROR(__xludf.DUMMYFUNCTION("""COMPUTED_VALUE"""),"Nura")</f>
        <v>Nura</v>
      </c>
      <c r="C9" s="323" t="str">
        <f>IFERROR(__xludf.DUMMYFUNCTION("""COMPUTED_VALUE"""),"Angela Stanisci")</f>
        <v>Angela Stanisci</v>
      </c>
    </row>
    <row r="10">
      <c r="A10" s="324"/>
      <c r="B10" s="322" t="str">
        <f>IFERROR(__xludf.DUMMYFUNCTION("""COMPUTED_VALUE"""),"Sara")</f>
        <v>Sara</v>
      </c>
      <c r="C10" s="325" t="str">
        <f>IFERROR(__xludf.DUMMYFUNCTION("""COMPUTED_VALUE"""),"Anna Franzini")</f>
        <v>Anna Franzini</v>
      </c>
    </row>
    <row r="11">
      <c r="A11" s="324"/>
      <c r="B11" s="322" t="str">
        <f>IFERROR(__xludf.DUMMYFUNCTION("""COMPUTED_VALUE"""),"SITO")</f>
        <v>SITO</v>
      </c>
      <c r="C11" s="323" t="str">
        <f>IFERROR(__xludf.DUMMYFUNCTION("""COMPUTED_VALUE"""),"Annachiara Conti")</f>
        <v>Annachiara Conti</v>
      </c>
    </row>
    <row r="12">
      <c r="A12" s="324"/>
      <c r="B12" s="322" t="str">
        <f>IFERROR(__xludf.DUMMYFUNCTION("""COMPUTED_VALUE"""),"Zoila")</f>
        <v>Zoila</v>
      </c>
      <c r="C12" s="323" t="str">
        <f>IFERROR(__xludf.DUMMYFUNCTION("""COMPUTED_VALUE"""),"Aurelio Niceta")</f>
        <v>Aurelio Niceta</v>
      </c>
    </row>
    <row r="13">
      <c r="A13" s="324"/>
      <c r="B13" s="322"/>
      <c r="C13" s="323" t="str">
        <f>IFERROR(__xludf.DUMMYFUNCTION("""COMPUTED_VALUE"""),"Blue")</f>
        <v>Blue</v>
      </c>
    </row>
    <row r="14">
      <c r="A14" s="324"/>
      <c r="B14" s="322"/>
      <c r="C14" s="325" t="str">
        <f>IFERROR(__xludf.DUMMYFUNCTION("""COMPUTED_VALUE"""),"Carlo  Feller")</f>
        <v>Carlo  Feller</v>
      </c>
    </row>
    <row r="15">
      <c r="A15" s="324"/>
      <c r="B15" s="326"/>
      <c r="C15" s="325" t="str">
        <f>IFERROR(__xludf.DUMMYFUNCTION("""COMPUTED_VALUE"""),"Carlos Cruz")</f>
        <v>Carlos Cruz</v>
      </c>
    </row>
    <row r="16">
      <c r="A16" s="324"/>
      <c r="B16" s="326"/>
      <c r="C16" s="325" t="str">
        <f>IFERROR(__xludf.DUMMYFUNCTION("""COMPUTED_VALUE"""),"Carolina De Pontes")</f>
        <v>Carolina De Pontes</v>
      </c>
    </row>
    <row r="17">
      <c r="A17" s="324"/>
      <c r="B17" s="326"/>
      <c r="C17" s="323" t="str">
        <f>IFERROR(__xludf.DUMMYFUNCTION("""COMPUTED_VALUE"""),"Cecilia Pacillo")</f>
        <v>Cecilia Pacillo</v>
      </c>
    </row>
    <row r="18">
      <c r="A18" s="324"/>
      <c r="B18" s="326"/>
      <c r="C18" s="325" t="str">
        <f>IFERROR(__xludf.DUMMYFUNCTION("""COMPUTED_VALUE"""),"Cinzia Ceglie")</f>
        <v>Cinzia Ceglie</v>
      </c>
    </row>
    <row r="19">
      <c r="A19" s="324"/>
      <c r="B19" s="326"/>
      <c r="C19" s="323" t="str">
        <f>IFERROR(__xludf.DUMMYFUNCTION("""COMPUTED_VALUE"""),"Claudia Borri")</f>
        <v>Claudia Borri</v>
      </c>
    </row>
    <row r="20">
      <c r="A20" s="324"/>
      <c r="B20" s="326"/>
      <c r="C20" s="325" t="str">
        <f>IFERROR(__xludf.DUMMYFUNCTION("""COMPUTED_VALUE"""),"Claudio Rossi")</f>
        <v>Claudio Rossi</v>
      </c>
    </row>
    <row r="21">
      <c r="A21" s="324"/>
      <c r="B21" s="327"/>
      <c r="C21" s="325" t="str">
        <f>IFERROR(__xludf.DUMMYFUNCTION("""COMPUTED_VALUE"""),"Consuelo Dos Santos")</f>
        <v>Consuelo Dos Santos</v>
      </c>
    </row>
    <row r="22">
      <c r="A22" s="324"/>
      <c r="B22" s="326"/>
      <c r="C22" s="325" t="str">
        <f>IFERROR(__xludf.DUMMYFUNCTION("""COMPUTED_VALUE"""),"Daisy Assabi")</f>
        <v>Daisy Assabi</v>
      </c>
    </row>
    <row r="23">
      <c r="A23" s="328"/>
      <c r="B23" s="326"/>
      <c r="C23" s="325" t="str">
        <f>IFERROR(__xludf.DUMMYFUNCTION("""COMPUTED_VALUE"""),"David Bellay")</f>
        <v>David Bellay</v>
      </c>
    </row>
    <row r="24">
      <c r="A24" s="328"/>
      <c r="B24" s="326"/>
      <c r="C24" s="325" t="str">
        <f>IFERROR(__xludf.DUMMYFUNCTION("""COMPUTED_VALUE"""),"Dennis Pozzoli")</f>
        <v>Dennis Pozzoli</v>
      </c>
    </row>
    <row r="25">
      <c r="A25" s="321"/>
      <c r="B25" s="326"/>
      <c r="C25" s="325" t="str">
        <f>IFERROR(__xludf.DUMMYFUNCTION("""COMPUTED_VALUE"""),"Dorian Kuqi")</f>
        <v>Dorian Kuqi</v>
      </c>
    </row>
    <row r="26">
      <c r="A26" s="329"/>
      <c r="B26" s="326"/>
      <c r="C26" s="325" t="str">
        <f>IFERROR(__xludf.DUMMYFUNCTION("""COMPUTED_VALUE"""),"Eleonora Santoro")</f>
        <v>Eleonora Santoro</v>
      </c>
    </row>
    <row r="27">
      <c r="A27" s="324"/>
      <c r="B27" s="326"/>
      <c r="C27" s="323" t="str">
        <f>IFERROR(__xludf.DUMMYFUNCTION("""COMPUTED_VALUE"""),"Elisa Bartolini")</f>
        <v>Elisa Bartolini</v>
      </c>
    </row>
    <row r="28">
      <c r="A28" s="324"/>
      <c r="B28" s="326"/>
      <c r="C28" s="323" t="str">
        <f>IFERROR(__xludf.DUMMYFUNCTION("""COMPUTED_VALUE"""),"Elisa Bisoffi")</f>
        <v>Elisa Bisoffi</v>
      </c>
    </row>
    <row r="29">
      <c r="A29" s="329"/>
      <c r="B29" s="326"/>
      <c r="C29" s="323" t="str">
        <f>IFERROR(__xludf.DUMMYFUNCTION("""COMPUTED_VALUE"""),"Elisa Mazzarolo")</f>
        <v>Elisa Mazzarolo</v>
      </c>
    </row>
    <row r="30">
      <c r="A30" s="324" t="str">
        <f>IFERROR(__xludf.DUMMYFUNCTION("""COMPUTED_VALUE"""),"2526MODULOLUN09.Y")</f>
        <v>2526MODULOLUN09.Y</v>
      </c>
      <c r="B30" s="326"/>
      <c r="C30" s="325" t="str">
        <f>IFERROR(__xludf.DUMMYFUNCTION("""COMPUTED_VALUE"""),"Erica Di Carlo")</f>
        <v>Erica Di Carlo</v>
      </c>
    </row>
    <row r="31">
      <c r="A31" s="329"/>
      <c r="B31" s="326"/>
      <c r="C31" s="323" t="str">
        <f>IFERROR(__xludf.DUMMYFUNCTION("""COMPUTED_VALUE"""),"Erika Geddo")</f>
        <v>Erika Geddo</v>
      </c>
    </row>
    <row r="32">
      <c r="A32" s="324" t="str">
        <f>IFERROR(__xludf.DUMMYFUNCTION("""COMPUTED_VALUE"""),"2526MODULOLUN09.Y")</f>
        <v>2526MODULOLUN09.Y</v>
      </c>
      <c r="B32" s="326"/>
      <c r="C32" s="325" t="str">
        <f>IFERROR(__xludf.DUMMYFUNCTION("""COMPUTED_VALUE"""),"Fabio Luisetto")</f>
        <v>Fabio Luisetto</v>
      </c>
    </row>
    <row r="33">
      <c r="A33" s="324" t="str">
        <f>IFERROR(__xludf.DUMMYFUNCTION("""COMPUTED_VALUE"""),"2526MODULOLUN09.Y")</f>
        <v>2526MODULOLUN09.Y</v>
      </c>
      <c r="B33" s="326"/>
      <c r="C33" s="323" t="str">
        <f>IFERROR(__xludf.DUMMYFUNCTION("""COMPUTED_VALUE"""),"Federica Furia")</f>
        <v>Federica Furia</v>
      </c>
    </row>
    <row r="34">
      <c r="A34" s="329"/>
      <c r="B34" s="326"/>
      <c r="C34" s="323" t="str">
        <f>IFERROR(__xludf.DUMMYFUNCTION("""COMPUTED_VALUE"""),"Fergie")</f>
        <v>Fergie</v>
      </c>
    </row>
    <row r="35">
      <c r="A35" s="329"/>
      <c r="B35" s="326"/>
      <c r="C35" s="323" t="str">
        <f>IFERROR(__xludf.DUMMYFUNCTION("""COMPUTED_VALUE"""),"Filomena Pellegrino")</f>
        <v>Filomena Pellegrino</v>
      </c>
    </row>
    <row r="36">
      <c r="A36" s="324" t="str">
        <f>IFERROR(__xludf.DUMMYFUNCTION("""COMPUTED_VALUE"""),"2526MODULOLUN09.Y")</f>
        <v>2526MODULOLUN09.Y</v>
      </c>
      <c r="B36" s="326"/>
      <c r="C36" s="325" t="str">
        <f>IFERROR(__xludf.DUMMYFUNCTION("""COMPUTED_VALUE"""),"Flavio Lombardi")</f>
        <v>Flavio Lombardi</v>
      </c>
    </row>
    <row r="37">
      <c r="A37" s="324" t="str">
        <f>IFERROR(__xludf.DUMMYFUNCTION("""COMPUTED_VALUE"""),"2526SEABRALUN09.Y")</f>
        <v>2526SEABRALUN09.Y</v>
      </c>
      <c r="B37" s="326"/>
      <c r="C37" s="325" t="str">
        <f>IFERROR(__xludf.DUMMYFUNCTION("""COMPUTED_VALUE"""),"Francesco Aruta")</f>
        <v>Francesco Aruta</v>
      </c>
    </row>
    <row r="38">
      <c r="A38" s="329"/>
      <c r="B38" s="326"/>
      <c r="C38" s="323" t="str">
        <f>IFERROR(__xludf.DUMMYFUNCTION("""COMPUTED_VALUE"""),"Gaya Ciani")</f>
        <v>Gaya Ciani</v>
      </c>
    </row>
    <row r="39">
      <c r="A39" s="329"/>
      <c r="B39" s="326"/>
      <c r="C39" s="323" t="str">
        <f>IFERROR(__xludf.DUMMYFUNCTION("""COMPUTED_VALUE"""),"Giada Todisco")</f>
        <v>Giada Todisco</v>
      </c>
    </row>
    <row r="40">
      <c r="A40" s="330"/>
      <c r="B40" s="326"/>
      <c r="C40" s="323" t="str">
        <f>IFERROR(__xludf.DUMMYFUNCTION("""COMPUTED_VALUE"""),"Giulia D'Arienzo")</f>
        <v>Giulia D'Arienzo</v>
      </c>
    </row>
    <row r="41">
      <c r="A41" s="329"/>
      <c r="B41" s="326"/>
      <c r="C41" s="325" t="str">
        <f>IFERROR(__xludf.DUMMYFUNCTION("""COMPUTED_VALUE"""),"Giulia Setti")</f>
        <v>Giulia Setti</v>
      </c>
    </row>
    <row r="42">
      <c r="A42" s="324" t="str">
        <f>IFERROR(__xludf.DUMMYFUNCTION("""COMPUTED_VALUE"""),"2526MODULOLUN10.Y")</f>
        <v>2526MODULOLUN10.Y</v>
      </c>
      <c r="B42" s="326"/>
      <c r="C42" s="325" t="str">
        <f>IFERROR(__xludf.DUMMYFUNCTION("""COMPUTED_VALUE"""),"Giulio Gariano")</f>
        <v>Giulio Gariano</v>
      </c>
    </row>
    <row r="43">
      <c r="A43" s="329"/>
      <c r="B43" s="326"/>
      <c r="C43" s="323" t="str">
        <f>IFERROR(__xludf.DUMMYFUNCTION("""COMPUTED_VALUE"""),"Giusy Palazzotto")</f>
        <v>Giusy Palazzotto</v>
      </c>
    </row>
    <row r="44">
      <c r="A44" s="324" t="str">
        <f>IFERROR(__xludf.DUMMYFUNCTION("""COMPUTED_VALUE"""),"2526MODULOLUN10.Y")</f>
        <v>2526MODULOLUN10.Y</v>
      </c>
      <c r="B44" s="326"/>
      <c r="C44" s="325" t="str">
        <f>IFERROR(__xludf.DUMMYFUNCTION("""COMPUTED_VALUE"""),"Giusy Randazzo")</f>
        <v>Giusy Randazzo</v>
      </c>
    </row>
    <row r="45">
      <c r="A45" s="324" t="str">
        <f>IFERROR(__xludf.DUMMYFUNCTION("""COMPUTED_VALUE"""),"2526MODULOLUN10.Y")</f>
        <v>2526MODULOLUN10.Y</v>
      </c>
      <c r="B45" s="326"/>
      <c r="C45" s="325" t="str">
        <f>IFERROR(__xludf.DUMMYFUNCTION("""COMPUTED_VALUE"""),"Greta Bonacina")</f>
        <v>Greta Bonacina</v>
      </c>
    </row>
    <row r="46">
      <c r="A46" s="329"/>
      <c r="B46" s="326"/>
      <c r="C46" s="323" t="str">
        <f>IFERROR(__xludf.DUMMYFUNCTION("""COMPUTED_VALUE"""),"Ilaria Malin")</f>
        <v>Ilaria Malin</v>
      </c>
    </row>
    <row r="47">
      <c r="A47" s="330"/>
      <c r="B47" s="326"/>
      <c r="C47" s="323" t="str">
        <f>IFERROR(__xludf.DUMMYFUNCTION("""COMPUTED_VALUE"""),"Irene Roberti")</f>
        <v>Irene Roberti</v>
      </c>
    </row>
    <row r="48">
      <c r="A48" s="321" t="str">
        <f>IFERROR(__xludf.DUMMYFUNCTION("""COMPUTED_VALUE"""),"2526MODULOLUN10.Y")</f>
        <v>2526MODULOLUN10.Y</v>
      </c>
      <c r="B48" s="326"/>
      <c r="C48" s="323" t="str">
        <f>IFERROR(__xludf.DUMMYFUNCTION("""COMPUTED_VALUE"""),"Jorge Avila")</f>
        <v>Jorge Avila</v>
      </c>
    </row>
    <row r="49">
      <c r="A49" s="324" t="str">
        <f>IFERROR(__xludf.DUMMYFUNCTION("""COMPUTED_VALUE"""),"2526SEABRALUN10.Y")</f>
        <v>2526SEABRALUN10.Y</v>
      </c>
      <c r="B49" s="326"/>
      <c r="C49" s="325" t="str">
        <f>IFERROR(__xludf.DUMMYFUNCTION("""COMPUTED_VALUE"""),"Katia Antonucci")</f>
        <v>Katia Antonucci</v>
      </c>
    </row>
    <row r="50">
      <c r="A50" s="329"/>
      <c r="B50" s="326"/>
      <c r="C50" s="323" t="str">
        <f>IFERROR(__xludf.DUMMYFUNCTION("""COMPUTED_VALUE"""),"Leonardo Tazzi")</f>
        <v>Leonardo Tazzi</v>
      </c>
    </row>
    <row r="51">
      <c r="A51" s="329"/>
      <c r="B51" s="326" t="str">
        <f>IFERROR(__xludf.DUMMYFUNCTION("""COMPUTED_VALUE"""),"CHI SCRIVE SU ATHENA")</f>
        <v>CHI SCRIVE SU ATHENA</v>
      </c>
      <c r="C51" s="325" t="str">
        <f>IFERROR(__xludf.DUMMYFUNCTION("""COMPUTED_VALUE"""),"Luciana Muzio")</f>
        <v>Luciana Muzio</v>
      </c>
    </row>
    <row r="52">
      <c r="A52" s="329"/>
      <c r="B52" s="326" t="str">
        <f>IFERROR(__xludf.DUMMYFUNCTION("""COMPUTED_VALUE"""),"Alexandra CERTIFICATO")</f>
        <v>Alexandra CERTIFICATO</v>
      </c>
      <c r="C52" s="323" t="str">
        <f>IFERROR(__xludf.DUMMYFUNCTION("""COMPUTED_VALUE"""),"Marcello Merighi")</f>
        <v>Marcello Merighi</v>
      </c>
    </row>
    <row r="53">
      <c r="A53" s="324" t="str">
        <f>IFERROR(__xludf.DUMMYFUNCTION("""COMPUTED_VALUE"""),"2526STANISCILUN11.F")</f>
        <v>2526STANISCILUN11.F</v>
      </c>
      <c r="B53" s="326" t="str">
        <f>IFERROR(__xludf.DUMMYFUNCTION("""COMPUTED_VALUE"""),"Alexandra DATI")</f>
        <v>Alexandra DATI</v>
      </c>
      <c r="C53" s="325" t="str">
        <f>IFERROR(__xludf.DUMMYFUNCTION("""COMPUTED_VALUE"""),"Margherita Bordoni")</f>
        <v>Margherita Bordoni</v>
      </c>
    </row>
    <row r="54">
      <c r="A54" s="324" t="str">
        <f>IFERROR(__xludf.DUMMYFUNCTION("""COMPUTED_VALUE"""),"2526MODULOLUN11.Y")</f>
        <v>2526MODULOLUN11.Y</v>
      </c>
      <c r="B54" s="326" t="str">
        <f>IFERROR(__xludf.DUMMYFUNCTION("""COMPUTED_VALUE"""),"Alexandra PARTECIPAZ.")</f>
        <v>Alexandra PARTECIPAZ.</v>
      </c>
      <c r="C54" s="325" t="str">
        <f>IFERROR(__xludf.DUMMYFUNCTION("""COMPUTED_VALUE"""),"Margherita Vassallo")</f>
        <v>Margherita Vassallo</v>
      </c>
    </row>
    <row r="55">
      <c r="A55" s="329"/>
      <c r="B55" s="326" t="str">
        <f>IFERROR(__xludf.DUMMYFUNCTION("""COMPUTED_VALUE"""),"Alexandra TESSERA")</f>
        <v>Alexandra TESSERA</v>
      </c>
      <c r="C55" s="325" t="str">
        <f>IFERROR(__xludf.DUMMYFUNCTION("""COMPUTED_VALUE"""),"Martina Campobello")</f>
        <v>Martina Campobello</v>
      </c>
    </row>
    <row r="56">
      <c r="A56" s="324" t="str">
        <f>IFERROR(__xludf.DUMMYFUNCTION("""COMPUTED_VALUE"""),"2526MODULOLUN11.Y")</f>
        <v>2526MODULOLUN11.Y</v>
      </c>
      <c r="B56" s="326" t="str">
        <f>IFERROR(__xludf.DUMMYFUNCTION("""COMPUTED_VALUE"""),"Estefany CERTIFICATO")</f>
        <v>Estefany CERTIFICATO</v>
      </c>
      <c r="C56" s="323" t="str">
        <f>IFERROR(__xludf.DUMMYFUNCTION("""COMPUTED_VALUE"""),"Massimiliano Nembri")</f>
        <v>Massimiliano Nembri</v>
      </c>
    </row>
    <row r="57">
      <c r="A57" s="324" t="str">
        <f>IFERROR(__xludf.DUMMYFUNCTION("""COMPUTED_VALUE"""),"2526MODULOLUN11.Y")</f>
        <v>2526MODULOLUN11.Y</v>
      </c>
      <c r="B57" s="326" t="str">
        <f>IFERROR(__xludf.DUMMYFUNCTION("""COMPUTED_VALUE"""),"Estefany DATI")</f>
        <v>Estefany DATI</v>
      </c>
      <c r="C57" s="323" t="str">
        <f>IFERROR(__xludf.DUMMYFUNCTION("""COMPUTED_VALUE"""),"Nicholas Cugge")</f>
        <v>Nicholas Cugge</v>
      </c>
    </row>
    <row r="58">
      <c r="A58" s="329"/>
      <c r="B58" s="326" t="str">
        <f>IFERROR(__xludf.DUMMYFUNCTION("""COMPUTED_VALUE"""),"Estefany PARTECIPAZ.")</f>
        <v>Estefany PARTECIPAZ.</v>
      </c>
      <c r="C58" s="323" t="str">
        <f>IFERROR(__xludf.DUMMYFUNCTION("""COMPUTED_VALUE"""),"Perla Davide")</f>
        <v>Perla Davide</v>
      </c>
    </row>
    <row r="59">
      <c r="A59" s="329"/>
      <c r="B59" s="326" t="str">
        <f>IFERROR(__xludf.DUMMYFUNCTION("""COMPUTED_VALUE"""),"Estefany TESSERA")</f>
        <v>Estefany TESSERA</v>
      </c>
      <c r="C59" s="323" t="str">
        <f>IFERROR(__xludf.DUMMYFUNCTION("""COMPUTED_VALUE"""),"Pietro Bonu")</f>
        <v>Pietro Bonu</v>
      </c>
    </row>
    <row r="60">
      <c r="A60" s="324" t="str">
        <f>IFERROR(__xludf.DUMMYFUNCTION("""COMPUTED_VALUE"""),"2526MODULOLUN11.Y")</f>
        <v>2526MODULOLUN11.Y</v>
      </c>
      <c r="B60" s="326" t="str">
        <f>IFERROR(__xludf.DUMMYFUNCTION("""COMPUTED_VALUE"""),"Giuditta CERTIFICATO")</f>
        <v>Giuditta CERTIFICATO</v>
      </c>
      <c r="C60" s="325" t="str">
        <f>IFERROR(__xludf.DUMMYFUNCTION("""COMPUTED_VALUE"""),"Raffaella Russo")</f>
        <v>Raffaella Russo</v>
      </c>
    </row>
    <row r="61">
      <c r="A61" s="324" t="str">
        <f>IFERROR(__xludf.DUMMYFUNCTION("""COMPUTED_VALUE"""),"2526SEABRALUN11.Y")</f>
        <v>2526SEABRALUN11.Y</v>
      </c>
      <c r="B61" s="326" t="str">
        <f>IFERROR(__xludf.DUMMYFUNCTION("""COMPUTED_VALUE"""),"Giuditta DATI")</f>
        <v>Giuditta DATI</v>
      </c>
      <c r="C61" s="325" t="str">
        <f>IFERROR(__xludf.DUMMYFUNCTION("""COMPUTED_VALUE"""),"Roberto Mele")</f>
        <v>Roberto Mele</v>
      </c>
    </row>
    <row r="62">
      <c r="A62" s="329"/>
      <c r="B62" s="326" t="str">
        <f>IFERROR(__xludf.DUMMYFUNCTION("""COMPUTED_VALUE"""),"Giuditta PARTECIPAZ.")</f>
        <v>Giuditta PARTECIPAZ.</v>
      </c>
      <c r="C62" s="325" t="str">
        <f>IFERROR(__xludf.DUMMYFUNCTION("""COMPUTED_VALUE"""),"Ronald Almeida")</f>
        <v>Ronald Almeida</v>
      </c>
    </row>
    <row r="63">
      <c r="A63" s="329"/>
      <c r="B63" s="326" t="str">
        <f>IFERROR(__xludf.DUMMYFUNCTION("""COMPUTED_VALUE"""),"Giuditta TESSERA")</f>
        <v>Giuditta TESSERA</v>
      </c>
      <c r="C63" s="323" t="str">
        <f>IFERROR(__xludf.DUMMYFUNCTION("""COMPUTED_VALUE"""),"Roy Ilagou")</f>
        <v>Roy Ilagou</v>
      </c>
    </row>
    <row r="64">
      <c r="A64" s="329"/>
      <c r="B64" s="326" t="str">
        <f>IFERROR(__xludf.DUMMYFUNCTION("""COMPUTED_VALUE"""),"Joel CERTIFICATO")</f>
        <v>Joel CERTIFICATO</v>
      </c>
      <c r="C64" s="323" t="str">
        <f>IFERROR(__xludf.DUMMYFUNCTION("""COMPUTED_VALUE"""),"Samuel Puggioni")</f>
        <v>Samuel Puggioni</v>
      </c>
    </row>
    <row r="65">
      <c r="A65" s="324" t="str">
        <f>IFERROR(__xludf.DUMMYFUNCTION("""COMPUTED_VALUE"""),"2526STANISCILUN12.F")</f>
        <v>2526STANISCILUN12.F</v>
      </c>
      <c r="B65" s="326" t="str">
        <f>IFERROR(__xludf.DUMMYFUNCTION("""COMPUTED_VALUE"""),"Joel DATI")</f>
        <v>Joel DATI</v>
      </c>
      <c r="C65" s="323" t="str">
        <f>IFERROR(__xludf.DUMMYFUNCTION("""COMPUTED_VALUE"""),"Silvia Grande")</f>
        <v>Silvia Grande</v>
      </c>
    </row>
    <row r="66">
      <c r="A66" s="324" t="str">
        <f>IFERROR(__xludf.DUMMYFUNCTION("""COMPUTED_VALUE"""),"2526MODULOLUN12.Y")</f>
        <v>2526MODULOLUN12.Y</v>
      </c>
      <c r="B66" s="326" t="str">
        <f>IFERROR(__xludf.DUMMYFUNCTION("""COMPUTED_VALUE"""),"Joel PARTECIPAZ.")</f>
        <v>Joel PARTECIPAZ.</v>
      </c>
      <c r="C66" s="323" t="str">
        <f>IFERROR(__xludf.DUMMYFUNCTION("""COMPUTED_VALUE"""),"Silvia Silvestri")</f>
        <v>Silvia Silvestri</v>
      </c>
    </row>
    <row r="67">
      <c r="A67" s="329"/>
      <c r="B67" s="326" t="str">
        <f>IFERROR(__xludf.DUMMYFUNCTION("""COMPUTED_VALUE"""),"Joel TESSERA")</f>
        <v>Joel TESSERA</v>
      </c>
      <c r="C67" s="323" t="str">
        <f>IFERROR(__xludf.DUMMYFUNCTION("""COMPUTED_VALUE"""),"Simone Carizzoni")</f>
        <v>Simone Carizzoni</v>
      </c>
    </row>
    <row r="68">
      <c r="A68" s="324" t="str">
        <f>IFERROR(__xludf.DUMMYFUNCTION("""COMPUTED_VALUE"""),"2526MODULOLUN12.Y")</f>
        <v>2526MODULOLUN12.Y</v>
      </c>
      <c r="B68" s="326" t="str">
        <f>IFERROR(__xludf.DUMMYFUNCTION("""COMPUTED_VALUE"""),"Nura CERTIFICATO")</f>
        <v>Nura CERTIFICATO</v>
      </c>
      <c r="C68" s="323" t="str">
        <f>IFERROR(__xludf.DUMMYFUNCTION("""COMPUTED_VALUE"""),"Sissi Miram")</f>
        <v>Sissi Miram</v>
      </c>
    </row>
    <row r="69">
      <c r="A69" s="329"/>
      <c r="B69" s="326" t="str">
        <f>IFERROR(__xludf.DUMMYFUNCTION("""COMPUTED_VALUE"""),"Nura DATI")</f>
        <v>Nura DATI</v>
      </c>
      <c r="C69" s="323" t="str">
        <f>IFERROR(__xludf.DUMMYFUNCTION("""COMPUTED_VALUE"""),"Stefano Battistella")</f>
        <v>Stefano Battistella</v>
      </c>
    </row>
    <row r="70">
      <c r="A70" s="329"/>
      <c r="B70" s="326" t="str">
        <f>IFERROR(__xludf.DUMMYFUNCTION("""COMPUTED_VALUE"""),"Nura PARTECIPAZ.")</f>
        <v>Nura PARTECIPAZ.</v>
      </c>
      <c r="C70" s="323" t="str">
        <f>IFERROR(__xludf.DUMMYFUNCTION("""COMPUTED_VALUE"""),"Stefano Saracchi")</f>
        <v>Stefano Saracchi</v>
      </c>
    </row>
    <row r="71">
      <c r="A71" s="324" t="str">
        <f>IFERROR(__xludf.DUMMYFUNCTION("""COMPUTED_VALUE"""),"2526KUQILUN12.F")</f>
        <v>2526KUQILUN12.F</v>
      </c>
      <c r="B71" s="326" t="str">
        <f>IFERROR(__xludf.DUMMYFUNCTION("""COMPUTED_VALUE"""),"Nura TESSERA")</f>
        <v>Nura TESSERA</v>
      </c>
      <c r="C71" s="323" t="str">
        <f>IFERROR(__xludf.DUMMYFUNCTION("""COMPUTED_VALUE"""),"Viktoriia Tiutina")</f>
        <v>Viktoriia Tiutina</v>
      </c>
    </row>
    <row r="72">
      <c r="A72" s="324" t="str">
        <f>IFERROR(__xludf.DUMMYFUNCTION("""COMPUTED_VALUE"""),"2526MODULOLUN12.Y")</f>
        <v>2526MODULOLUN12.Y</v>
      </c>
      <c r="B72" s="326"/>
      <c r="C72" s="323" t="str">
        <f>IFERROR(__xludf.DUMMYFUNCTION("""COMPUTED_VALUE"""),"Crissa")</f>
        <v>Crissa</v>
      </c>
    </row>
    <row r="73">
      <c r="A73" s="324" t="str">
        <f>IFERROR(__xludf.DUMMYFUNCTION("""COMPUTED_VALUE"""),"2526SEABRALUN12.Y")</f>
        <v>2526SEABRALUN12.Y</v>
      </c>
      <c r="B73" s="326"/>
      <c r="C73" s="323" t="str">
        <f>IFERROR(__xludf.DUMMYFUNCTION("""COMPUTED_VALUE"""),"Asia Berny")</f>
        <v>Asia Berny</v>
      </c>
    </row>
    <row r="74">
      <c r="A74" s="324" t="str">
        <f>IFERROR(__xludf.DUMMYFUNCTION("""COMPUTED_VALUE"""),"2526CRUZLUN13.F")</f>
        <v>2526CRUZLUN13.F</v>
      </c>
      <c r="B74" s="326"/>
      <c r="C74" s="323" t="str">
        <f>IFERROR(__xludf.DUMMYFUNCTION("""COMPUTED_VALUE"""),"Antonella Di Gennaro")</f>
        <v>Antonella Di Gennaro</v>
      </c>
    </row>
    <row r="75">
      <c r="A75" s="329"/>
      <c r="B75" s="326"/>
      <c r="C75" s="331" t="str">
        <f>IFERROR(__xludf.DUMMYFUNCTION("""COMPUTED_VALUE"""),"Alice Cenzon")</f>
        <v>Alice Cenzon</v>
      </c>
    </row>
    <row r="76">
      <c r="A76" s="329"/>
      <c r="B76" s="326"/>
      <c r="C76" s="331" t="str">
        <f>IFERROR(__xludf.DUMMYFUNCTION("""COMPUTED_VALUE"""),"Ilaria Vallesi")</f>
        <v>Ilaria Vallesi</v>
      </c>
    </row>
    <row r="77">
      <c r="A77" s="329"/>
      <c r="B77" s="326"/>
      <c r="C77" s="331" t="str">
        <f>IFERROR(__xludf.DUMMYFUNCTION("""COMPUTED_VALUE"""),"Michele Grande")</f>
        <v>Michele Grande</v>
      </c>
    </row>
    <row r="78">
      <c r="A78" s="324" t="str">
        <f>IFERROR(__xludf.DUMMYFUNCTION("""COMPUTED_VALUE"""),"2526MODULOLUN13.Y")</f>
        <v>2526MODULOLUN13.Y</v>
      </c>
      <c r="B78" s="326"/>
      <c r="C78" s="331" t="str">
        <f>IFERROR(__xludf.DUMMYFUNCTION("""COMPUTED_VALUE"""),"Marija Emilova")</f>
        <v>Marija Emilova</v>
      </c>
    </row>
    <row r="79">
      <c r="A79" s="324" t="str">
        <f>IFERROR(__xludf.DUMMYFUNCTION("""COMPUTED_VALUE"""),"2526STANISCILUN13.F")</f>
        <v>2526STANISCILUN13.F</v>
      </c>
      <c r="B79" s="326"/>
      <c r="C79" s="331"/>
    </row>
    <row r="80">
      <c r="A80" s="324" t="str">
        <f>IFERROR(__xludf.DUMMYFUNCTION("""COMPUTED_VALUE"""),"2526MODULOLUN13.Y")</f>
        <v>2526MODULOLUN13.Y</v>
      </c>
      <c r="B80" s="326"/>
      <c r="C80" s="331"/>
    </row>
    <row r="81">
      <c r="A81" s="324" t="str">
        <f>IFERROR(__xludf.DUMMYFUNCTION("""COMPUTED_VALUE"""),"2526KUQILUN13.F")</f>
        <v>2526KUQILUN13.F</v>
      </c>
      <c r="B81" s="326"/>
      <c r="C81" s="331"/>
    </row>
    <row r="82">
      <c r="A82" s="329"/>
      <c r="B82" s="326"/>
      <c r="C82" s="331"/>
    </row>
    <row r="83">
      <c r="A83" s="329"/>
      <c r="B83" s="326"/>
      <c r="C83" s="331"/>
    </row>
    <row r="84">
      <c r="A84" s="324" t="str">
        <f>IFERROR(__xludf.DUMMYFUNCTION("""COMPUTED_VALUE"""),"2526MODULOLUN13.Y")</f>
        <v>2526MODULOLUN13.Y</v>
      </c>
      <c r="B84" s="326"/>
      <c r="C84" s="331"/>
    </row>
    <row r="85">
      <c r="A85" s="324" t="str">
        <f>IFERROR(__xludf.DUMMYFUNCTION("""COMPUTED_VALUE"""),"2526SEABRALUN13.Y")</f>
        <v>2526SEABRALUN13.Y</v>
      </c>
      <c r="B85" s="326"/>
      <c r="C85" s="331"/>
    </row>
    <row r="86">
      <c r="A86" s="329"/>
      <c r="B86" s="326"/>
      <c r="C86" s="331"/>
    </row>
    <row r="87">
      <c r="A87" s="329"/>
      <c r="B87" s="326"/>
      <c r="C87" s="331"/>
    </row>
    <row r="88">
      <c r="A88" s="329"/>
      <c r="B88" s="326"/>
      <c r="C88" s="331"/>
    </row>
    <row r="89">
      <c r="A89" s="329"/>
      <c r="B89" s="326"/>
      <c r="C89" s="331"/>
    </row>
    <row r="90">
      <c r="A90" s="324" t="str">
        <f>IFERROR(__xludf.DUMMYFUNCTION("""COMPUTED_VALUE"""),"2526MODULOLUN14.Y")</f>
        <v>2526MODULOLUN14.Y</v>
      </c>
      <c r="B90" s="326"/>
      <c r="C90" s="331"/>
    </row>
    <row r="91">
      <c r="A91" s="329"/>
      <c r="B91" s="326"/>
      <c r="C91" s="331"/>
    </row>
    <row r="92">
      <c r="A92" s="324" t="str">
        <f>IFERROR(__xludf.DUMMYFUNCTION("""COMPUTED_VALUE"""),"2526MODULOLUN14.Y")</f>
        <v>2526MODULOLUN14.Y</v>
      </c>
      <c r="B92" s="326"/>
      <c r="C92" s="331"/>
    </row>
    <row r="93">
      <c r="A93" s="324" t="str">
        <f>IFERROR(__xludf.DUMMYFUNCTION("""COMPUTED_VALUE"""),"2526MODULOLUN14.Y")</f>
        <v>2526MODULOLUN14.Y</v>
      </c>
      <c r="B93" s="326"/>
      <c r="C93" s="331"/>
    </row>
    <row r="94">
      <c r="A94" s="329"/>
      <c r="B94" s="326"/>
      <c r="C94" s="331"/>
    </row>
    <row r="95">
      <c r="A95" s="329"/>
      <c r="B95" s="326"/>
      <c r="C95" s="331"/>
    </row>
    <row r="96">
      <c r="A96" s="324" t="str">
        <f>IFERROR(__xludf.DUMMYFUNCTION("""COMPUTED_VALUE"""),"2526MODULOLUN14.Y")</f>
        <v>2526MODULOLUN14.Y</v>
      </c>
      <c r="B96" s="326"/>
      <c r="C96" s="331"/>
    </row>
    <row r="97">
      <c r="A97" s="324" t="str">
        <f>IFERROR(__xludf.DUMMYFUNCTION("""COMPUTED_VALUE"""),"2526SEABRALUN14.Y")</f>
        <v>2526SEABRALUN14.Y</v>
      </c>
      <c r="B97" s="326"/>
      <c r="C97" s="331"/>
    </row>
    <row r="98">
      <c r="A98" s="329"/>
      <c r="B98" s="326"/>
      <c r="C98" s="331"/>
    </row>
    <row r="99">
      <c r="A99" s="329"/>
      <c r="B99" s="326"/>
      <c r="C99" s="331"/>
    </row>
    <row r="100">
      <c r="A100" s="332"/>
      <c r="B100" s="333"/>
      <c r="C100" s="334"/>
    </row>
    <row r="101">
      <c r="A101" s="335"/>
      <c r="B101" s="336"/>
      <c r="C101" s="337"/>
    </row>
    <row r="102">
      <c r="A102" s="324" t="str">
        <f>IFERROR(__xludf.DUMMYFUNCTION("""COMPUTED_VALUE"""),"2526MODULOLUN15.Y")</f>
        <v>2526MODULOLUN15.Y</v>
      </c>
      <c r="B102" s="326"/>
      <c r="C102" s="329"/>
    </row>
    <row r="103">
      <c r="A103" s="324"/>
      <c r="B103" s="326"/>
      <c r="C103" s="329"/>
    </row>
    <row r="104">
      <c r="A104" s="324" t="str">
        <f>IFERROR(__xludf.DUMMYFUNCTION("""COMPUTED_VALUE"""),"2526MODULOLUN15.Y")</f>
        <v>2526MODULOLUN15.Y</v>
      </c>
      <c r="B104" s="326"/>
      <c r="C104" s="329"/>
    </row>
    <row r="105">
      <c r="A105" s="324" t="str">
        <f>IFERROR(__xludf.DUMMYFUNCTION("""COMPUTED_VALUE"""),"2526MODULOLUN15.Y")</f>
        <v>2526MODULOLUN15.Y</v>
      </c>
      <c r="B105" s="326"/>
      <c r="C105" s="329"/>
    </row>
    <row r="106">
      <c r="A106" s="324"/>
      <c r="B106" s="326"/>
      <c r="C106" s="329"/>
    </row>
    <row r="107">
      <c r="A107" s="324" t="str">
        <f>IFERROR(__xludf.DUMMYFUNCTION("""COMPUTED_VALUE"""),"2526MARINOLUN15.B")</f>
        <v>2526MARINOLUN15.B</v>
      </c>
      <c r="B107" s="326"/>
      <c r="C107" s="329"/>
    </row>
    <row r="108">
      <c r="A108" s="324" t="str">
        <f>IFERROR(__xludf.DUMMYFUNCTION("""COMPUTED_VALUE"""),"2526MODULOLUN15.Y")</f>
        <v>2526MODULOLUN15.Y</v>
      </c>
      <c r="B108" s="326"/>
      <c r="C108" s="329"/>
    </row>
    <row r="109">
      <c r="A109" s="324" t="str">
        <f>IFERROR(__xludf.DUMMYFUNCTION("""COMPUTED_VALUE"""),"2526SEABRALUN15.Y")</f>
        <v>2526SEABRALUN15.Y</v>
      </c>
      <c r="B109" s="326"/>
      <c r="C109" s="329"/>
    </row>
    <row r="110">
      <c r="A110" s="324"/>
      <c r="B110" s="326"/>
      <c r="C110" s="338"/>
    </row>
    <row r="111">
      <c r="A111" s="324"/>
      <c r="B111" s="326"/>
      <c r="C111" s="338"/>
    </row>
    <row r="112">
      <c r="A112" s="339"/>
      <c r="B112" s="326"/>
      <c r="C112" s="338"/>
    </row>
    <row r="113">
      <c r="A113" s="324"/>
      <c r="B113" s="326"/>
      <c r="C113" s="329"/>
    </row>
    <row r="114">
      <c r="A114" s="324"/>
      <c r="B114" s="326"/>
      <c r="C114" s="329"/>
    </row>
    <row r="115">
      <c r="A115" s="324" t="str">
        <f>IFERROR(__xludf.DUMMYFUNCTION("""COMPUTED_VALUE"""),"2526STANISCILUN16.B")</f>
        <v>2526STANISCILUN16.B</v>
      </c>
      <c r="B115" s="326"/>
      <c r="C115" s="329"/>
    </row>
    <row r="116">
      <c r="A116" s="324" t="str">
        <f>IFERROR(__xludf.DUMMYFUNCTION("""COMPUTED_VALUE"""),"2526PALAZZOTTOLUN16.B")</f>
        <v>2526PALAZZOTTOLUN16.B</v>
      </c>
      <c r="B116" s="326"/>
      <c r="C116" s="329"/>
    </row>
    <row r="117">
      <c r="A117" s="324" t="str">
        <f>IFERROR(__xludf.DUMMYFUNCTION("""COMPUTED_VALUE"""),"2526MODULOLUN16.Y")</f>
        <v>2526MODULOLUN16.Y</v>
      </c>
      <c r="B117" s="326"/>
      <c r="C117" s="329"/>
    </row>
    <row r="118">
      <c r="A118" s="324"/>
      <c r="B118" s="326"/>
      <c r="C118" s="329"/>
    </row>
    <row r="119">
      <c r="A119" s="324"/>
      <c r="B119" s="326"/>
      <c r="C119" s="329"/>
    </row>
    <row r="120">
      <c r="A120" s="324"/>
      <c r="B120" s="326"/>
      <c r="C120" s="329"/>
    </row>
    <row r="121">
      <c r="A121" s="324" t="str">
        <f>IFERROR(__xludf.DUMMYFUNCTION("""COMPUTED_VALUE"""),"2526GRANDELUN16.B")</f>
        <v>2526GRANDELUN16.B</v>
      </c>
      <c r="B121" s="326"/>
      <c r="C121" s="329"/>
    </row>
    <row r="122">
      <c r="A122" s="324"/>
      <c r="B122" s="326"/>
      <c r="C122" s="329"/>
    </row>
    <row r="123">
      <c r="A123" s="324"/>
      <c r="B123" s="326"/>
      <c r="C123" s="329"/>
    </row>
    <row r="124">
      <c r="A124" s="324"/>
      <c r="B124" s="326"/>
      <c r="C124" s="329"/>
    </row>
    <row r="125">
      <c r="A125" s="324" t="str">
        <f>IFERROR(__xludf.DUMMYFUNCTION("""COMPUTED_VALUE"""),"2526TODISCOLUN17.B")</f>
        <v>2526TODISCOLUN17.B</v>
      </c>
      <c r="B125" s="326"/>
      <c r="C125" s="329"/>
    </row>
    <row r="126">
      <c r="A126" s="324" t="str">
        <f>IFERROR(__xludf.DUMMYFUNCTION("""COMPUTED_VALUE"""),"2526MARINOLUN17.B")</f>
        <v>2526MARINOLUN17.B</v>
      </c>
      <c r="B126" s="326"/>
      <c r="C126" s="329"/>
    </row>
    <row r="127">
      <c r="A127" s="324" t="str">
        <f>IFERROR(__xludf.DUMMYFUNCTION("""COMPUTED_VALUE"""),"2526ALMEIDALUN17.B")</f>
        <v>2526ALMEIDALUN17.B</v>
      </c>
      <c r="B127" s="326"/>
      <c r="C127" s="329"/>
    </row>
    <row r="128">
      <c r="A128" s="324" t="str">
        <f>IFERROR(__xludf.DUMMYFUNCTION("""COMPUTED_VALUE"""),"2526PALAZZOTTOLUN17.B")</f>
        <v>2526PALAZZOTTOLUN17.B</v>
      </c>
      <c r="B128" s="326"/>
      <c r="C128" s="329"/>
    </row>
    <row r="129">
      <c r="A129" s="324" t="str">
        <f>IFERROR(__xludf.DUMMYFUNCTION("""COMPUTED_VALUE"""),"2526CENZONLUN17.F")</f>
        <v>2526CENZONLUN17.F</v>
      </c>
      <c r="B129" s="326"/>
      <c r="C129" s="329"/>
    </row>
    <row r="130">
      <c r="A130" s="324"/>
      <c r="B130" s="326"/>
      <c r="C130" s="329"/>
    </row>
    <row r="131">
      <c r="A131" s="324" t="str">
        <f>IFERROR(__xludf.DUMMYFUNCTION("""COMPUTED_VALUE"""),"2526PUGGIONILUN17.B")</f>
        <v>2526PUGGIONILUN17.B</v>
      </c>
      <c r="B131" s="326"/>
      <c r="C131" s="329"/>
    </row>
    <row r="132">
      <c r="A132" s="324" t="str">
        <f>IFERROR(__xludf.DUMMYFUNCTION("""COMPUTED_VALUE"""),"2526MIRAMLUN17.B")</f>
        <v>2526MIRAMLUN17.B</v>
      </c>
      <c r="B132" s="326"/>
      <c r="C132" s="329"/>
    </row>
    <row r="133">
      <c r="A133" s="324" t="str">
        <f>IFERROR(__xludf.DUMMYFUNCTION("""COMPUTED_VALUE"""),"2526DICARLOLUN17.B")</f>
        <v>2526DICARLOLUN17.B</v>
      </c>
      <c r="B133" s="326"/>
      <c r="C133" s="329"/>
    </row>
    <row r="134">
      <c r="A134" s="324" t="str">
        <f>IFERROR(__xludf.DUMMYFUNCTION("""COMPUTED_VALUE"""),"2526BELLAYLUN18.F")</f>
        <v>2526BELLAYLUN18.F</v>
      </c>
      <c r="B134" s="326"/>
      <c r="C134" s="329"/>
    </row>
    <row r="135">
      <c r="A135" s="324"/>
      <c r="B135" s="326"/>
      <c r="C135" s="329"/>
    </row>
    <row r="136">
      <c r="A136" s="324"/>
      <c r="B136" s="326"/>
      <c r="C136" s="329"/>
    </row>
    <row r="137">
      <c r="A137" s="324" t="str">
        <f>IFERROR(__xludf.DUMMYFUNCTION("""COMPUTED_VALUE"""),"2526SETTILUN18.F")</f>
        <v>2526SETTILUN18.F</v>
      </c>
      <c r="B137" s="326"/>
      <c r="C137" s="329"/>
    </row>
    <row r="138">
      <c r="A138" s="324" t="str">
        <f>IFERROR(__xludf.DUMMYFUNCTION("""COMPUTED_VALUE"""),"2526PUGGIONILUN18.B")</f>
        <v>2526PUGGIONILUN18.B</v>
      </c>
      <c r="B138" s="326"/>
      <c r="C138" s="329"/>
    </row>
    <row r="139">
      <c r="A139" s="324" t="str">
        <f>IFERROR(__xludf.DUMMYFUNCTION("""COMPUTED_VALUE"""),"2526DEPONTESLUN18.D")</f>
        <v>2526DEPONTESLUN18.D</v>
      </c>
      <c r="B139" s="326"/>
      <c r="C139" s="329"/>
    </row>
    <row r="140">
      <c r="A140" s="324" t="str">
        <f>IFERROR(__xludf.DUMMYFUNCTION("""COMPUTED_VALUE"""),"2526PALAZZOTTOLUN18.B")</f>
        <v>2526PALAZZOTTOLUN18.B</v>
      </c>
      <c r="B140" s="326"/>
      <c r="C140" s="329"/>
    </row>
    <row r="141">
      <c r="A141" s="324" t="str">
        <f>IFERROR(__xludf.DUMMYFUNCTION("""COMPUTED_VALUE"""),"2526MARINOLUN18.F")</f>
        <v>2526MARINOLUN18.F</v>
      </c>
      <c r="B141" s="326"/>
      <c r="C141" s="329"/>
    </row>
    <row r="142">
      <c r="A142" s="324" t="str">
        <f>IFERROR(__xludf.DUMMYFUNCTION("""COMPUTED_VALUE"""),"2526SILVESTRILUN18.A")</f>
        <v>2526SILVESTRILUN18.A</v>
      </c>
      <c r="B142" s="326"/>
      <c r="C142" s="329"/>
    </row>
    <row r="143">
      <c r="A143" s="324" t="str">
        <f>IFERROR(__xludf.DUMMYFUNCTION("""COMPUTED_VALUE"""),"2526DICARLOLUN18.B")</f>
        <v>2526DICARLOLUN18.B</v>
      </c>
      <c r="B143" s="326"/>
      <c r="C143" s="329"/>
    </row>
    <row r="144">
      <c r="A144" s="324" t="str">
        <f>IFERROR(__xludf.DUMMYFUNCTION("""COMPUTED_VALUE"""),"2526FERGIELUN18.D")</f>
        <v>2526FERGIELUN18.D</v>
      </c>
      <c r="B144" s="326"/>
      <c r="C144" s="329"/>
    </row>
    <row r="145">
      <c r="A145" s="324" t="str">
        <f>IFERROR(__xludf.DUMMYFUNCTION("""COMPUTED_VALUE"""),"2526MIRAMLUN18.B")</f>
        <v>2526MIRAMLUN18.B</v>
      </c>
      <c r="B145" s="326"/>
      <c r="C145" s="329"/>
    </row>
    <row r="146">
      <c r="A146" s="324" t="str">
        <f>IFERROR(__xludf.DUMMYFUNCTION("""COMPUTED_VALUE"""),"2526SETTILUN19.F")</f>
        <v>2526SETTILUN19.F</v>
      </c>
      <c r="B146" s="326"/>
      <c r="C146" s="329"/>
    </row>
    <row r="147">
      <c r="A147" s="324" t="str">
        <f>IFERROR(__xludf.DUMMYFUNCTION("""COMPUTED_VALUE"""),"2526ALMEIDALUN19.F")</f>
        <v>2526ALMEIDALUN19.F</v>
      </c>
      <c r="B147" s="326"/>
      <c r="C147" s="329"/>
    </row>
    <row r="148">
      <c r="A148" s="324"/>
      <c r="B148" s="326"/>
      <c r="C148" s="329"/>
    </row>
    <row r="149">
      <c r="A149" s="324" t="str">
        <f>IFERROR(__xludf.DUMMYFUNCTION("""COMPUTED_VALUE"""),"2526NEMBRILUN19.C")</f>
        <v>2526NEMBRILUN19.C</v>
      </c>
      <c r="B149" s="326"/>
      <c r="C149" s="329"/>
    </row>
    <row r="150">
      <c r="A150" s="324" t="str">
        <f>IFERROR(__xludf.DUMMYFUNCTION("""COMPUTED_VALUE"""),"2526PUGGIONILUN19.B")</f>
        <v>2526PUGGIONILUN19.B</v>
      </c>
      <c r="B150" s="326"/>
      <c r="C150" s="329"/>
    </row>
    <row r="151">
      <c r="A151" s="324" t="str">
        <f>IFERROR(__xludf.DUMMYFUNCTION("""COMPUTED_VALUE"""),"2526ILAGOULUN19.D")</f>
        <v>2526ILAGOULUN19.D</v>
      </c>
      <c r="B151" s="326"/>
      <c r="C151" s="329"/>
    </row>
    <row r="152">
      <c r="A152" s="324" t="str">
        <f>IFERROR(__xludf.DUMMYFUNCTION("""COMPUTED_VALUE"""),"2526DEPONTESLUN19.D")</f>
        <v>2526DEPONTESLUN19.D</v>
      </c>
      <c r="B152" s="326"/>
      <c r="C152" s="329"/>
    </row>
    <row r="153">
      <c r="A153" s="324" t="str">
        <f>IFERROR(__xludf.DUMMYFUNCTION("""COMPUTED_VALUE"""),"2526BELLAYLUN19.D")</f>
        <v>2526BELLAYLUN19.D</v>
      </c>
      <c r="B153" s="326"/>
      <c r="C153" s="329"/>
    </row>
    <row r="154">
      <c r="A154" s="324" t="str">
        <f>IFERROR(__xludf.DUMMYFUNCTION("""COMPUTED_VALUE"""),"2526SILVESTRILUN19.A")</f>
        <v>2526SILVESTRILUN19.A</v>
      </c>
      <c r="B154" s="326"/>
      <c r="C154" s="329"/>
    </row>
    <row r="155">
      <c r="A155" s="324" t="str">
        <f>IFERROR(__xludf.DUMMYFUNCTION("""COMPUTED_VALUE"""),"2526MALINLUN19.F")</f>
        <v>2526MALINLUN19.F</v>
      </c>
      <c r="B155" s="326"/>
      <c r="C155" s="329"/>
    </row>
    <row r="156">
      <c r="A156" s="324" t="str">
        <f>IFERROR(__xludf.DUMMYFUNCTION("""COMPUTED_VALUE"""),"2526FERGIELUN19.D")</f>
        <v>2526FERGIELUN19.D</v>
      </c>
      <c r="B156" s="326"/>
      <c r="C156" s="329"/>
    </row>
    <row r="157">
      <c r="A157" s="324" t="str">
        <f>IFERROR(__xludf.DUMMYFUNCTION("""COMPUTED_VALUE"""),"2526DICARLOLUN19.D")</f>
        <v>2526DICARLOLUN19.D</v>
      </c>
      <c r="B157" s="326"/>
      <c r="C157" s="329"/>
    </row>
    <row r="158">
      <c r="A158" s="324"/>
      <c r="B158" s="326"/>
      <c r="C158" s="329"/>
    </row>
    <row r="159">
      <c r="A159" s="324"/>
      <c r="B159" s="326"/>
      <c r="C159" s="329"/>
    </row>
    <row r="160">
      <c r="A160" s="324"/>
      <c r="B160" s="326"/>
      <c r="C160" s="329"/>
    </row>
    <row r="161">
      <c r="A161" s="324" t="str">
        <f>IFERROR(__xludf.DUMMYFUNCTION("""COMPUTED_VALUE"""),"2526BONULUN20.C")</f>
        <v>2526BONULUN20.C</v>
      </c>
      <c r="B161" s="326"/>
      <c r="C161" s="329"/>
    </row>
    <row r="162">
      <c r="A162" s="324" t="str">
        <f>IFERROR(__xludf.DUMMYFUNCTION("""COMPUTED_VALUE"""),"2526PUGGIONILUN20.A")</f>
        <v>2526PUGGIONILUN20.A</v>
      </c>
      <c r="B162" s="326"/>
      <c r="C162" s="329"/>
    </row>
    <row r="163">
      <c r="A163" s="324" t="str">
        <f>IFERROR(__xludf.DUMMYFUNCTION("""COMPUTED_VALUE"""),"2526AVILALUN20.C")</f>
        <v>2526AVILALUN20.C</v>
      </c>
      <c r="B163" s="326"/>
      <c r="C163" s="329"/>
    </row>
    <row r="164">
      <c r="A164" s="324" t="str">
        <f>IFERROR(__xludf.DUMMYFUNCTION("""COMPUTED_VALUE"""),"2526DUTTALUN20.D")</f>
        <v>2526DUTTALUN20.D</v>
      </c>
      <c r="B164" s="326"/>
      <c r="C164" s="329"/>
    </row>
    <row r="165">
      <c r="A165" s="324" t="str">
        <f>IFERROR(__xludf.DUMMYFUNCTION("""COMPUTED_VALUE"""),"2526NEMBRILUN20.C")</f>
        <v>2526NEMBRILUN20.C</v>
      </c>
      <c r="B165" s="326"/>
      <c r="C165" s="329"/>
    </row>
    <row r="166">
      <c r="A166" s="324" t="str">
        <f>IFERROR(__xludf.DUMMYFUNCTION("""COMPUTED_VALUE"""),"2526SILVESTRILUN20.A")</f>
        <v>2526SILVESTRILUN20.A</v>
      </c>
      <c r="B166" s="326"/>
      <c r="C166" s="329"/>
    </row>
    <row r="167">
      <c r="A167" s="324" t="str">
        <f>IFERROR(__xludf.DUMMYFUNCTION("""COMPUTED_VALUE"""),"2526FERGIELUN20.D")</f>
        <v>2526FERGIELUN20.D</v>
      </c>
      <c r="B167" s="326"/>
      <c r="C167" s="329"/>
    </row>
    <row r="168">
      <c r="A168" s="324" t="str">
        <f>IFERROR(__xludf.DUMMYFUNCTION("""COMPUTED_VALUE"""),"2526BELLAYLUN20.D")</f>
        <v>2526BELLAYLUN20.D</v>
      </c>
      <c r="B168" s="326"/>
      <c r="C168" s="329"/>
    </row>
    <row r="169">
      <c r="A169" s="324" t="str">
        <f>IFERROR(__xludf.DUMMYFUNCTION("""COMPUTED_VALUE"""),"2526MALINLUN20.D")</f>
        <v>2526MALINLUN20.D</v>
      </c>
      <c r="B169" s="326"/>
      <c r="C169" s="329"/>
    </row>
    <row r="170">
      <c r="A170" s="324"/>
      <c r="B170" s="326"/>
      <c r="C170" s="329"/>
    </row>
    <row r="171">
      <c r="A171" s="324"/>
      <c r="B171" s="326"/>
      <c r="C171" s="329"/>
    </row>
    <row r="172">
      <c r="A172" s="324"/>
      <c r="B172" s="326"/>
      <c r="C172" s="329"/>
    </row>
    <row r="173">
      <c r="A173" s="324" t="str">
        <f>IFERROR(__xludf.DUMMYFUNCTION("""COMPUTED_VALUE"""),"2526ILAGOULUN21.C")</f>
        <v>2526ILAGOULUN21.C</v>
      </c>
      <c r="B173" s="326"/>
      <c r="C173" s="329"/>
    </row>
    <row r="174">
      <c r="A174" s="324" t="str">
        <f>IFERROR(__xludf.DUMMYFUNCTION("""COMPUTED_VALUE"""),"2526PUGGIONILUN21.A")</f>
        <v>2526PUGGIONILUN21.A</v>
      </c>
      <c r="B174" s="326"/>
      <c r="C174" s="329"/>
    </row>
    <row r="175">
      <c r="A175" s="324" t="str">
        <f>IFERROR(__xludf.DUMMYFUNCTION("""COMPUTED_VALUE"""),"2526NEMBRILUN21.C")</f>
        <v>2526NEMBRILUN21.C</v>
      </c>
      <c r="B175" s="326"/>
      <c r="C175" s="329"/>
    </row>
    <row r="176">
      <c r="A176" s="324" t="str">
        <f>IFERROR(__xludf.DUMMYFUNCTION("""COMPUTED_VALUE"""),"2526AVILALUN21.C")</f>
        <v>2526AVILALUN21.C</v>
      </c>
      <c r="B176" s="326"/>
      <c r="C176" s="329"/>
    </row>
    <row r="177">
      <c r="A177" s="324" t="str">
        <f>IFERROR(__xludf.DUMMYFUNCTION("""COMPUTED_VALUE"""),"2526BONULUN21.C")</f>
        <v>2526BONULUN21.C</v>
      </c>
      <c r="B177" s="326"/>
      <c r="C177" s="329"/>
    </row>
    <row r="178">
      <c r="A178" s="324" t="str">
        <f>IFERROR(__xludf.DUMMYFUNCTION("""COMPUTED_VALUE"""),"2526SILVESTRILUN21.A")</f>
        <v>2526SILVESTRILUN21.A</v>
      </c>
      <c r="B178" s="326"/>
      <c r="C178" s="329"/>
    </row>
    <row r="179">
      <c r="A179" s="324" t="str">
        <f>IFERROR(__xludf.DUMMYFUNCTION("""COMPUTED_VALUE"""),"2526MELELUN21.C")</f>
        <v>2526MELELUN21.C</v>
      </c>
      <c r="B179" s="326"/>
      <c r="C179" s="329"/>
    </row>
    <row r="180">
      <c r="A180" s="324" t="str">
        <f>IFERROR(__xludf.DUMMYFUNCTION("""COMPUTED_VALUE"""),"2526DUTTALUN21.D")</f>
        <v>2526DUTTALUN21.D</v>
      </c>
      <c r="B180" s="326"/>
      <c r="C180" s="329"/>
    </row>
    <row r="181">
      <c r="A181" s="324" t="str">
        <f>IFERROR(__xludf.DUMMYFUNCTION("""COMPUTED_VALUE"""),"2526SARACCHILUN21.C")</f>
        <v>2526SARACCHILUN21.C</v>
      </c>
      <c r="B181" s="326"/>
      <c r="C181" s="329"/>
    </row>
    <row r="182">
      <c r="A182" s="329"/>
      <c r="B182" s="326"/>
      <c r="C182" s="329"/>
    </row>
    <row r="183">
      <c r="A183" s="329"/>
      <c r="B183" s="326"/>
      <c r="C183" s="329"/>
    </row>
    <row r="184">
      <c r="A184" s="329"/>
      <c r="B184" s="326"/>
      <c r="C184" s="329"/>
    </row>
    <row r="185">
      <c r="A185" s="329"/>
      <c r="B185" s="326"/>
      <c r="C185" s="329"/>
    </row>
    <row r="186">
      <c r="A186" s="329"/>
      <c r="B186" s="326"/>
      <c r="C186" s="329"/>
    </row>
    <row r="187">
      <c r="A187" s="329"/>
      <c r="B187" s="326"/>
      <c r="C187" s="329"/>
    </row>
    <row r="188">
      <c r="A188" s="329"/>
      <c r="B188" s="326"/>
      <c r="C188" s="329"/>
    </row>
    <row r="189">
      <c r="A189" s="329"/>
      <c r="B189" s="326"/>
      <c r="C189" s="329"/>
    </row>
    <row r="190">
      <c r="A190" s="329"/>
      <c r="B190" s="326"/>
      <c r="C190" s="329"/>
    </row>
    <row r="191">
      <c r="A191" s="329"/>
      <c r="B191" s="326"/>
      <c r="C191" s="340"/>
    </row>
    <row r="192">
      <c r="A192" s="329"/>
      <c r="B192" s="326"/>
      <c r="C192" s="329"/>
    </row>
    <row r="193">
      <c r="A193" s="329"/>
      <c r="B193" s="326"/>
      <c r="C193" s="329"/>
    </row>
    <row r="194">
      <c r="A194" s="329"/>
      <c r="B194" s="326"/>
      <c r="C194" s="329"/>
    </row>
    <row r="195">
      <c r="A195" s="329"/>
      <c r="B195" s="326"/>
      <c r="C195" s="329"/>
    </row>
    <row r="196">
      <c r="A196" s="329"/>
      <c r="B196" s="326"/>
      <c r="C196" s="329"/>
    </row>
    <row r="197">
      <c r="A197" s="329"/>
      <c r="B197" s="326"/>
      <c r="C197" s="329"/>
    </row>
    <row r="198">
      <c r="A198" s="329"/>
      <c r="B198" s="326"/>
      <c r="C198" s="329"/>
    </row>
    <row r="199">
      <c r="A199" s="329"/>
      <c r="B199" s="326"/>
      <c r="C199" s="329"/>
    </row>
    <row r="200">
      <c r="A200" s="324"/>
      <c r="B200" s="326"/>
      <c r="C200" s="329"/>
    </row>
    <row r="201">
      <c r="A201" s="324"/>
      <c r="B201" s="326"/>
      <c r="C201" s="329"/>
    </row>
    <row r="202">
      <c r="A202" s="324"/>
      <c r="B202" s="326"/>
      <c r="C202" s="329"/>
    </row>
    <row r="203">
      <c r="A203" s="324"/>
      <c r="B203" s="326"/>
      <c r="C203" s="329"/>
    </row>
    <row r="204">
      <c r="A204" s="324"/>
      <c r="B204" s="326"/>
      <c r="C204" s="329"/>
    </row>
    <row r="205">
      <c r="A205" s="324"/>
      <c r="B205" s="326"/>
      <c r="C205" s="329"/>
    </row>
    <row r="206">
      <c r="A206" s="324"/>
      <c r="B206" s="326"/>
      <c r="C206" s="329"/>
    </row>
    <row r="207">
      <c r="A207" s="324"/>
      <c r="B207" s="326"/>
      <c r="C207" s="329"/>
    </row>
    <row r="208">
      <c r="A208" s="324"/>
      <c r="B208" s="326"/>
      <c r="C208" s="329"/>
    </row>
    <row r="209">
      <c r="A209" s="324"/>
      <c r="B209" s="326"/>
      <c r="C209" s="329"/>
    </row>
    <row r="210">
      <c r="A210" s="324"/>
      <c r="B210" s="326"/>
      <c r="C210" s="329"/>
    </row>
    <row r="211">
      <c r="A211" s="324"/>
      <c r="B211" s="326"/>
      <c r="C211" s="329"/>
    </row>
    <row r="212">
      <c r="A212" s="324"/>
      <c r="B212" s="326"/>
      <c r="C212" s="329"/>
    </row>
    <row r="213">
      <c r="A213" s="324"/>
      <c r="B213" s="326"/>
      <c r="C213" s="329"/>
    </row>
    <row r="214">
      <c r="A214" s="324"/>
      <c r="B214" s="326"/>
      <c r="C214" s="329"/>
    </row>
    <row r="215">
      <c r="A215" s="324"/>
      <c r="B215" s="326"/>
      <c r="C215" s="329"/>
    </row>
    <row r="216">
      <c r="A216" s="324"/>
      <c r="B216" s="326"/>
      <c r="C216" s="329"/>
    </row>
    <row r="217">
      <c r="A217" s="324"/>
      <c r="B217" s="326"/>
      <c r="C217" s="329"/>
    </row>
    <row r="218">
      <c r="A218" s="324"/>
      <c r="B218" s="326"/>
      <c r="C218" s="329"/>
    </row>
    <row r="219">
      <c r="A219" s="324"/>
      <c r="B219" s="326"/>
      <c r="C219" s="329"/>
    </row>
    <row r="220">
      <c r="A220" s="324"/>
      <c r="B220" s="326"/>
      <c r="C220" s="329"/>
    </row>
    <row r="221">
      <c r="A221" s="324" t="str">
        <f>IFERROR(__xludf.DUMMYFUNCTION("""COMPUTED_VALUE"""),"2526STANISCIMAR09.F")</f>
        <v>2526STANISCIMAR09.F</v>
      </c>
      <c r="B221" s="326"/>
      <c r="C221" s="329"/>
    </row>
    <row r="222">
      <c r="A222" s="324" t="str">
        <f>IFERROR(__xludf.DUMMYFUNCTION("""COMPUTED_VALUE"""),"2526MODULOMAR09.Y")</f>
        <v>2526MODULOMAR09.Y</v>
      </c>
      <c r="B222" s="326"/>
      <c r="C222" s="329"/>
    </row>
    <row r="223">
      <c r="A223" s="324"/>
      <c r="B223" s="326"/>
      <c r="C223" s="329"/>
    </row>
    <row r="224">
      <c r="A224" s="324" t="str">
        <f>IFERROR(__xludf.DUMMYFUNCTION("""COMPUTED_VALUE"""),"2526MODULOMAR09.Y")</f>
        <v>2526MODULOMAR09.Y</v>
      </c>
      <c r="B224" s="326"/>
      <c r="C224" s="329"/>
    </row>
    <row r="225">
      <c r="A225" s="324" t="str">
        <f>IFERROR(__xludf.DUMMYFUNCTION("""COMPUTED_VALUE"""),"2526MODULOMAR09.Y")</f>
        <v>2526MODULOMAR09.Y</v>
      </c>
      <c r="B225" s="326"/>
      <c r="C225" s="329"/>
    </row>
    <row r="226">
      <c r="A226" s="324"/>
      <c r="B226" s="326"/>
      <c r="C226" s="329"/>
    </row>
    <row r="227">
      <c r="A227" s="324"/>
      <c r="B227" s="326"/>
      <c r="C227" s="329"/>
    </row>
    <row r="228">
      <c r="A228" s="324" t="str">
        <f>IFERROR(__xludf.DUMMYFUNCTION("""COMPUTED_VALUE"""),"2526MODULOMAR09.Y")</f>
        <v>2526MODULOMAR09.Y</v>
      </c>
      <c r="B228" s="326"/>
      <c r="C228" s="329"/>
    </row>
    <row r="229">
      <c r="A229" s="324" t="str">
        <f>IFERROR(__xludf.DUMMYFUNCTION("""COMPUTED_VALUE"""),"2526SEABRAMAR09.Y")</f>
        <v>2526SEABRAMAR09.Y</v>
      </c>
      <c r="B229" s="326"/>
      <c r="C229" s="338"/>
    </row>
    <row r="230">
      <c r="A230" s="324"/>
      <c r="B230" s="326"/>
      <c r="C230" s="338"/>
    </row>
    <row r="231">
      <c r="A231" s="324"/>
      <c r="B231" s="326"/>
      <c r="C231" s="329"/>
    </row>
    <row r="232">
      <c r="A232" s="324"/>
      <c r="B232" s="326"/>
      <c r="C232" s="329"/>
    </row>
    <row r="233">
      <c r="A233" s="324"/>
      <c r="B233" s="326"/>
      <c r="C233" s="329"/>
    </row>
    <row r="234">
      <c r="A234" s="324" t="str">
        <f>IFERROR(__xludf.DUMMYFUNCTION("""COMPUTED_VALUE"""),"2526MODULOMAR10.Y")</f>
        <v>2526MODULOMAR10.Y</v>
      </c>
      <c r="B234" s="326"/>
      <c r="C234" s="329"/>
    </row>
    <row r="235">
      <c r="A235" s="324"/>
      <c r="B235" s="326"/>
      <c r="C235" s="329"/>
    </row>
    <row r="236">
      <c r="A236" s="324" t="str">
        <f>IFERROR(__xludf.DUMMYFUNCTION("""COMPUTED_VALUE"""),"2526MODULOMAR10.Y")</f>
        <v>2526MODULOMAR10.Y</v>
      </c>
      <c r="B236" s="326"/>
      <c r="C236" s="329"/>
    </row>
    <row r="237">
      <c r="A237" s="324" t="str">
        <f>IFERROR(__xludf.DUMMYFUNCTION("""COMPUTED_VALUE"""),"2526MODULOMAR10.Y")</f>
        <v>2526MODULOMAR10.Y</v>
      </c>
      <c r="B237" s="326"/>
      <c r="C237" s="329"/>
    </row>
    <row r="238">
      <c r="A238" s="324"/>
      <c r="B238" s="326"/>
      <c r="C238" s="329"/>
    </row>
    <row r="239">
      <c r="A239" s="324"/>
      <c r="B239" s="326"/>
      <c r="C239" s="329"/>
    </row>
    <row r="240">
      <c r="A240" s="324" t="str">
        <f>IFERROR(__xludf.DUMMYFUNCTION("""COMPUTED_VALUE"""),"2526MODULOMAR10.Y")</f>
        <v>2526MODULOMAR10.Y</v>
      </c>
      <c r="B240" s="326"/>
      <c r="C240" s="329"/>
    </row>
    <row r="241">
      <c r="A241" s="324" t="str">
        <f>IFERROR(__xludf.DUMMYFUNCTION("""COMPUTED_VALUE"""),"2526SEABRAMAR10.Y")</f>
        <v>2526SEABRAMAR10.Y</v>
      </c>
      <c r="B241" s="326"/>
      <c r="C241" s="329"/>
    </row>
    <row r="242">
      <c r="A242" s="324"/>
      <c r="B242" s="326"/>
      <c r="C242" s="329"/>
    </row>
    <row r="243">
      <c r="A243" s="324"/>
      <c r="B243" s="326"/>
      <c r="C243" s="329"/>
    </row>
    <row r="244">
      <c r="A244" s="324"/>
      <c r="B244" s="326"/>
      <c r="C244" s="329"/>
    </row>
    <row r="245">
      <c r="A245" s="324" t="str">
        <f>IFERROR(__xludf.DUMMYFUNCTION("""COMPUTED_VALUE"""),"2526CRUZMAR11.F")</f>
        <v>2526CRUZMAR11.F</v>
      </c>
      <c r="B245" s="326"/>
      <c r="C245" s="329"/>
    </row>
    <row r="246">
      <c r="A246" s="324" t="str">
        <f>IFERROR(__xludf.DUMMYFUNCTION("""COMPUTED_VALUE"""),"2526MODULOMAR11.Y")</f>
        <v>2526MODULOMAR11.Y</v>
      </c>
      <c r="B246" s="326"/>
      <c r="C246" s="329"/>
    </row>
    <row r="247">
      <c r="A247" s="324"/>
      <c r="B247" s="326"/>
      <c r="C247" s="329"/>
    </row>
    <row r="248">
      <c r="A248" s="324" t="str">
        <f>IFERROR(__xludf.DUMMYFUNCTION("""COMPUTED_VALUE"""),"2526MODULOMAR11.Y")</f>
        <v>2526MODULOMAR11.Y</v>
      </c>
      <c r="B248" s="326"/>
      <c r="C248" s="329"/>
    </row>
    <row r="249">
      <c r="A249" s="324" t="str">
        <f>IFERROR(__xludf.DUMMYFUNCTION("""COMPUTED_VALUE"""),"2526MODULOMAR11.Y")</f>
        <v>2526MODULOMAR11.Y</v>
      </c>
      <c r="B249" s="326"/>
      <c r="C249" s="329"/>
    </row>
    <row r="250">
      <c r="A250" s="324"/>
      <c r="B250" s="326"/>
      <c r="C250" s="329"/>
    </row>
    <row r="251">
      <c r="A251" s="324"/>
      <c r="B251" s="326"/>
      <c r="C251" s="329"/>
    </row>
    <row r="252">
      <c r="A252" s="324" t="str">
        <f>IFERROR(__xludf.DUMMYFUNCTION("""COMPUTED_VALUE"""),"2526MODULOMAR11.Y")</f>
        <v>2526MODULOMAR11.Y</v>
      </c>
      <c r="B252" s="326"/>
      <c r="C252" s="329"/>
    </row>
    <row r="253">
      <c r="A253" s="324" t="str">
        <f>IFERROR(__xludf.DUMMYFUNCTION("""COMPUTED_VALUE"""),"2526SEABRAMAR11.Y")</f>
        <v>2526SEABRAMAR11.Y</v>
      </c>
      <c r="B253" s="326"/>
      <c r="C253" s="329"/>
    </row>
    <row r="254">
      <c r="A254" s="324"/>
      <c r="B254" s="326"/>
      <c r="C254" s="329"/>
    </row>
    <row r="255">
      <c r="A255" s="324"/>
      <c r="B255" s="326"/>
      <c r="C255" s="329"/>
    </row>
    <row r="256">
      <c r="A256" s="324"/>
      <c r="B256" s="326"/>
      <c r="C256" s="329"/>
    </row>
    <row r="257">
      <c r="A257" s="324" t="str">
        <f>IFERROR(__xludf.DUMMYFUNCTION("""COMPUTED_VALUE"""),"2526CRUZMAR12.F")</f>
        <v>2526CRUZMAR12.F</v>
      </c>
      <c r="B257" s="326"/>
      <c r="C257" s="329"/>
    </row>
    <row r="258">
      <c r="A258" s="324" t="str">
        <f>IFERROR(__xludf.DUMMYFUNCTION("""COMPUTED_VALUE"""),"2526MODULOMAR12.Y")</f>
        <v>2526MODULOMAR12.Y</v>
      </c>
      <c r="B258" s="326"/>
      <c r="C258" s="329"/>
    </row>
    <row r="259">
      <c r="A259" s="324"/>
      <c r="B259" s="326"/>
      <c r="C259" s="329"/>
    </row>
    <row r="260">
      <c r="A260" s="324" t="str">
        <f>IFERROR(__xludf.DUMMYFUNCTION("""COMPUTED_VALUE"""),"2526MODULOMAR12.Y")</f>
        <v>2526MODULOMAR12.Y</v>
      </c>
      <c r="B260" s="326"/>
      <c r="C260" s="329"/>
    </row>
    <row r="261">
      <c r="A261" s="324"/>
      <c r="B261" s="326"/>
      <c r="C261" s="329"/>
    </row>
    <row r="262">
      <c r="A262" s="324" t="str">
        <f>IFERROR(__xludf.DUMMYFUNCTION("""COMPUTED_VALUE"""),"2526FILLYMAR12.Y")</f>
        <v>2526FILLYMAR12.Y</v>
      </c>
      <c r="B262" s="326"/>
      <c r="C262" s="329"/>
    </row>
    <row r="263">
      <c r="A263" s="324"/>
      <c r="B263" s="326"/>
      <c r="C263" s="329"/>
    </row>
    <row r="264">
      <c r="A264" s="324" t="str">
        <f>IFERROR(__xludf.DUMMYFUNCTION("""COMPUTED_VALUE"""),"2526MODULOMAR12.Y")</f>
        <v>2526MODULOMAR12.Y</v>
      </c>
      <c r="B264" s="326"/>
      <c r="C264" s="329"/>
    </row>
    <row r="265">
      <c r="A265" s="324" t="str">
        <f>IFERROR(__xludf.DUMMYFUNCTION("""COMPUTED_VALUE"""),"2526SEABRAMAR12.Y")</f>
        <v>2526SEABRAMAR12.Y</v>
      </c>
      <c r="B265" s="326"/>
      <c r="C265" s="329"/>
    </row>
    <row r="266">
      <c r="A266" s="324"/>
      <c r="B266" s="326"/>
      <c r="C266" s="329"/>
    </row>
    <row r="267">
      <c r="A267" s="324"/>
      <c r="B267" s="326"/>
      <c r="C267" s="329"/>
    </row>
    <row r="268">
      <c r="A268" s="324"/>
      <c r="B268" s="326"/>
      <c r="C268" s="329"/>
    </row>
    <row r="269">
      <c r="A269" s="324" t="str">
        <f>IFERROR(__xludf.DUMMYFUNCTION("""COMPUTED_VALUE"""),"2526CRUZMAR13.F")</f>
        <v>2526CRUZMAR13.F</v>
      </c>
      <c r="B269" s="326"/>
      <c r="C269" s="329"/>
    </row>
    <row r="270">
      <c r="A270" s="324" t="str">
        <f>IFERROR(__xludf.DUMMYFUNCTION("""COMPUTED_VALUE"""),"2526MODULOMAR13.Y")</f>
        <v>2526MODULOMAR13.Y</v>
      </c>
      <c r="B270" s="326"/>
      <c r="C270" s="329"/>
    </row>
    <row r="271">
      <c r="A271" s="329"/>
      <c r="B271" s="326"/>
      <c r="C271" s="329"/>
    </row>
    <row r="272">
      <c r="A272" s="324" t="str">
        <f>IFERROR(__xludf.DUMMYFUNCTION("""COMPUTED_VALUE"""),"2526MODULOMAR13.Y")</f>
        <v>2526MODULOMAR13.Y</v>
      </c>
      <c r="B272" s="326"/>
      <c r="C272" s="329"/>
    </row>
    <row r="273">
      <c r="A273" s="324" t="str">
        <f>IFERROR(__xludf.DUMMYFUNCTION("""COMPUTED_VALUE"""),"2526STANISCIMAR13.F")</f>
        <v>2526STANISCIMAR13.F</v>
      </c>
      <c r="B273" s="326"/>
      <c r="C273" s="329"/>
    </row>
    <row r="274">
      <c r="A274" s="324" t="str">
        <f>IFERROR(__xludf.DUMMYFUNCTION("""COMPUTED_VALUE"""),"2526FILLYMAR13.Y")</f>
        <v>2526FILLYMAR13.Y</v>
      </c>
      <c r="B274" s="326"/>
      <c r="C274" s="329"/>
    </row>
    <row r="275">
      <c r="A275" s="329"/>
      <c r="B275" s="326"/>
      <c r="C275" s="329"/>
    </row>
    <row r="276">
      <c r="A276" s="324" t="str">
        <f>IFERROR(__xludf.DUMMYFUNCTION("""COMPUTED_VALUE"""),"2526MODULOMAR13.Y")</f>
        <v>2526MODULOMAR13.Y</v>
      </c>
      <c r="B276" s="326"/>
      <c r="C276" s="329"/>
    </row>
    <row r="277">
      <c r="A277" s="324" t="str">
        <f>IFERROR(__xludf.DUMMYFUNCTION("""COMPUTED_VALUE"""),"2526SEABRAMAR13.Y")</f>
        <v>2526SEABRAMAR13.Y</v>
      </c>
      <c r="B277" s="326"/>
      <c r="C277" s="329"/>
    </row>
    <row r="278">
      <c r="A278" s="329"/>
      <c r="B278" s="326"/>
      <c r="C278" s="329"/>
    </row>
    <row r="279">
      <c r="A279" s="329"/>
      <c r="B279" s="326"/>
      <c r="C279" s="329"/>
    </row>
    <row r="280">
      <c r="A280" s="329"/>
      <c r="B280" s="326"/>
      <c r="C280" s="329"/>
    </row>
    <row r="281">
      <c r="A281" s="329"/>
      <c r="B281" s="326"/>
      <c r="C281" s="329"/>
    </row>
    <row r="282">
      <c r="A282" s="324" t="str">
        <f>IFERROR(__xludf.DUMMYFUNCTION("""COMPUTED_VALUE"""),"2526MODULOMAR14.Y")</f>
        <v>2526MODULOMAR14.Y</v>
      </c>
      <c r="B282" s="326"/>
      <c r="C282" s="329"/>
    </row>
    <row r="283">
      <c r="A283" s="329"/>
      <c r="B283" s="326"/>
      <c r="C283" s="329"/>
    </row>
    <row r="284">
      <c r="A284" s="324" t="str">
        <f>IFERROR(__xludf.DUMMYFUNCTION("""COMPUTED_VALUE"""),"2526MODULOMAR14.Y")</f>
        <v>2526MODULOMAR14.Y</v>
      </c>
      <c r="B284" s="326"/>
      <c r="C284" s="329"/>
    </row>
    <row r="285">
      <c r="A285" s="324" t="str">
        <f>IFERROR(__xludf.DUMMYFUNCTION("""COMPUTED_VALUE"""),"2526MODULOMAR14.Y")</f>
        <v>2526MODULOMAR14.Y</v>
      </c>
      <c r="B285" s="326"/>
      <c r="C285" s="329"/>
    </row>
    <row r="286">
      <c r="A286" s="329"/>
      <c r="B286" s="326"/>
      <c r="C286" s="329"/>
    </row>
    <row r="287">
      <c r="A287" s="329"/>
      <c r="B287" s="326"/>
      <c r="C287" s="329"/>
    </row>
    <row r="288">
      <c r="A288" s="324" t="str">
        <f>IFERROR(__xludf.DUMMYFUNCTION("""COMPUTED_VALUE"""),"2526MODULOMAR14.Y")</f>
        <v>2526MODULOMAR14.Y</v>
      </c>
      <c r="B288" s="326"/>
      <c r="C288" s="329"/>
    </row>
    <row r="289">
      <c r="A289" s="324" t="str">
        <f>IFERROR(__xludf.DUMMYFUNCTION("""COMPUTED_VALUE"""),"2526SEABRAMAR14.Y")</f>
        <v>2526SEABRAMAR14.Y</v>
      </c>
      <c r="B289" s="326"/>
      <c r="C289" s="329"/>
    </row>
    <row r="290">
      <c r="A290" s="329"/>
      <c r="B290" s="326"/>
      <c r="C290" s="329"/>
    </row>
    <row r="291">
      <c r="A291" s="329"/>
      <c r="B291" s="326"/>
      <c r="C291" s="329"/>
    </row>
    <row r="292">
      <c r="A292" s="329"/>
      <c r="B292" s="326"/>
      <c r="C292" s="329"/>
    </row>
    <row r="293">
      <c r="A293" s="329"/>
      <c r="B293" s="326"/>
      <c r="C293" s="329"/>
    </row>
    <row r="294">
      <c r="A294" s="324" t="str">
        <f>IFERROR(__xludf.DUMMYFUNCTION("""COMPUTED_VALUE"""),"2526MODULOMAR15.Y")</f>
        <v>2526MODULOMAR15.Y</v>
      </c>
      <c r="B294" s="326"/>
      <c r="C294" s="341"/>
    </row>
    <row r="295">
      <c r="A295" s="329"/>
      <c r="B295" s="326"/>
      <c r="C295" s="341"/>
    </row>
    <row r="296">
      <c r="A296" s="324" t="str">
        <f>IFERROR(__xludf.DUMMYFUNCTION("""COMPUTED_VALUE"""),"2526MODULOMAR15.Y")</f>
        <v>2526MODULOMAR15.Y</v>
      </c>
      <c r="B296" s="326"/>
      <c r="C296" s="329"/>
    </row>
    <row r="297">
      <c r="A297" s="324" t="str">
        <f>IFERROR(__xludf.DUMMYFUNCTION("""COMPUTED_VALUE"""),"2526MODULOMAR15.Y")</f>
        <v>2526MODULOMAR15.Y</v>
      </c>
      <c r="B297" s="326"/>
      <c r="C297" s="329"/>
    </row>
    <row r="298">
      <c r="A298" s="329"/>
      <c r="B298" s="326"/>
      <c r="C298" s="340"/>
    </row>
    <row r="299">
      <c r="A299" s="338"/>
      <c r="B299" s="326"/>
      <c r="C299" s="329"/>
    </row>
    <row r="300">
      <c r="A300" s="342" t="str">
        <f>IFERROR(__xludf.DUMMYFUNCTION("""COMPUTED_VALUE"""),"2526MODULOMAR15.Y")</f>
        <v>2526MODULOMAR15.Y</v>
      </c>
      <c r="B300" s="326"/>
      <c r="C300" s="329"/>
    </row>
    <row r="301">
      <c r="A301" s="342" t="str">
        <f>IFERROR(__xludf.DUMMYFUNCTION("""COMPUTED_VALUE"""),"2526SEABRAMAR15.Y")</f>
        <v>2526SEABRAMAR15.Y</v>
      </c>
      <c r="B301" s="326"/>
      <c r="C301" s="329"/>
    </row>
    <row r="302">
      <c r="A302" s="338"/>
      <c r="B302" s="326"/>
      <c r="C302" s="329"/>
    </row>
    <row r="303">
      <c r="A303" s="324"/>
      <c r="B303" s="326"/>
      <c r="C303" s="329"/>
    </row>
    <row r="304">
      <c r="A304" s="324"/>
      <c r="B304" s="326"/>
      <c r="C304" s="329"/>
    </row>
    <row r="305">
      <c r="A305" s="324"/>
      <c r="B305" s="326"/>
      <c r="C305" s="329"/>
    </row>
    <row r="306">
      <c r="A306" s="324"/>
      <c r="B306" s="326"/>
      <c r="C306" s="329"/>
    </row>
    <row r="307">
      <c r="A307" s="324"/>
      <c r="B307" s="326"/>
      <c r="C307" s="329"/>
    </row>
    <row r="308">
      <c r="A308" s="324" t="str">
        <f>IFERROR(__xludf.DUMMYFUNCTION("""COMPUTED_VALUE"""),"2526PALAZZOTTOMAR16.B")</f>
        <v>2526PALAZZOTTOMAR16.B</v>
      </c>
      <c r="B308" s="326"/>
      <c r="C308" s="329"/>
    </row>
    <row r="309">
      <c r="A309" s="324" t="str">
        <f>IFERROR(__xludf.DUMMYFUNCTION("""COMPUTED_VALUE"""),"2526MODULOMAR16.Y")</f>
        <v>2526MODULOMAR16.Y</v>
      </c>
      <c r="B309" s="326"/>
      <c r="C309" s="329"/>
    </row>
    <row r="310">
      <c r="A310" s="324"/>
      <c r="B310" s="326"/>
      <c r="C310" s="329"/>
    </row>
    <row r="311">
      <c r="A311" s="324"/>
      <c r="B311" s="326"/>
      <c r="C311" s="329"/>
    </row>
    <row r="312">
      <c r="A312" s="324"/>
      <c r="B312" s="326"/>
      <c r="C312" s="329"/>
    </row>
    <row r="313">
      <c r="A313" s="324" t="str">
        <f>IFERROR(__xludf.DUMMYFUNCTION("""COMPUTED_VALUE"""),"2526BORRIMAR16.B")</f>
        <v>2526BORRIMAR16.B</v>
      </c>
      <c r="B313" s="326"/>
      <c r="C313" s="329"/>
    </row>
    <row r="314">
      <c r="A314" s="324"/>
      <c r="B314" s="326"/>
      <c r="C314" s="329"/>
    </row>
    <row r="315">
      <c r="A315" s="324"/>
      <c r="B315" s="326"/>
      <c r="C315" s="329"/>
    </row>
    <row r="316">
      <c r="A316" s="324"/>
      <c r="B316" s="326"/>
      <c r="C316" s="329"/>
    </row>
    <row r="317">
      <c r="A317" s="324"/>
      <c r="B317" s="326"/>
      <c r="C317" s="329"/>
    </row>
    <row r="318">
      <c r="A318" s="324" t="str">
        <f>IFERROR(__xludf.DUMMYFUNCTION("""COMPUTED_VALUE"""),"2526MARINOMAR17.B")</f>
        <v>2526MARINOMAR17.B</v>
      </c>
      <c r="B318" s="326"/>
      <c r="C318" s="329"/>
    </row>
    <row r="319">
      <c r="A319" s="324" t="str">
        <f>IFERROR(__xludf.DUMMYFUNCTION("""COMPUTED_VALUE"""),"2526GARIANOMAR17.B")</f>
        <v>2526GARIANOMAR17.B</v>
      </c>
      <c r="B319" s="326"/>
      <c r="C319" s="329"/>
    </row>
    <row r="320">
      <c r="A320" s="324" t="str">
        <f>IFERROR(__xludf.DUMMYFUNCTION("""COMPUTED_VALUE"""),"2526PALAZZOTTOMAR17.B")</f>
        <v>2526PALAZZOTTOMAR17.B</v>
      </c>
      <c r="B320" s="326"/>
      <c r="C320" s="329"/>
    </row>
    <row r="321">
      <c r="A321" s="324" t="str">
        <f>IFERROR(__xludf.DUMMYFUNCTION("""COMPUTED_VALUE"""),"2526CRUZMAR17.F")</f>
        <v>2526CRUZMAR17.F</v>
      </c>
      <c r="B321" s="326"/>
      <c r="C321" s="329"/>
    </row>
    <row r="322">
      <c r="A322" s="324"/>
      <c r="B322" s="326"/>
      <c r="C322" s="329"/>
    </row>
    <row r="323">
      <c r="A323" s="324" t="str">
        <f>IFERROR(__xludf.DUMMYFUNCTION("""COMPUTED_VALUE"""),"2526DIGENNAROMAR17.B")</f>
        <v>2526DIGENNAROMAR17.B</v>
      </c>
      <c r="B323" s="326"/>
      <c r="C323" s="329"/>
    </row>
    <row r="324">
      <c r="A324" s="324"/>
      <c r="B324" s="326"/>
      <c r="C324" s="329"/>
    </row>
    <row r="325">
      <c r="A325" s="324" t="str">
        <f>IFERROR(__xludf.DUMMYFUNCTION("""COMPUTED_VALUE"""),"2526BORRIMAR17.B")</f>
        <v>2526BORRIMAR17.B</v>
      </c>
      <c r="B325" s="326"/>
      <c r="C325" s="329"/>
    </row>
    <row r="326">
      <c r="A326" s="324" t="str">
        <f>IFERROR(__xludf.DUMMYFUNCTION("""COMPUTED_VALUE"""),"2526SETTIMAR18.F")</f>
        <v>2526SETTIMAR18.F</v>
      </c>
      <c r="B326" s="326"/>
      <c r="C326" s="329"/>
    </row>
    <row r="327">
      <c r="A327" s="324" t="str">
        <f>IFERROR(__xludf.DUMMYFUNCTION("""COMPUTED_VALUE"""),"2526BELLAYMAR18.F")</f>
        <v>2526BELLAYMAR18.F</v>
      </c>
      <c r="B327" s="326"/>
      <c r="C327" s="329"/>
    </row>
    <row r="328">
      <c r="A328" s="324"/>
      <c r="B328" s="326"/>
      <c r="C328" s="329"/>
    </row>
    <row r="329">
      <c r="A329" s="324" t="str">
        <f>IFERROR(__xludf.DUMMYFUNCTION("""COMPUTED_VALUE"""),"2526GALLUZZOMAR18.D")</f>
        <v>2526GALLUZZOMAR18.D</v>
      </c>
      <c r="B329" s="326"/>
      <c r="C329" s="329"/>
    </row>
    <row r="330">
      <c r="A330" s="324" t="str">
        <f>IFERROR(__xludf.DUMMYFUNCTION("""COMPUTED_VALUE"""),"2526MARINOMAR18.B")</f>
        <v>2526MARINOMAR18.B</v>
      </c>
      <c r="B330" s="326"/>
      <c r="C330" s="329"/>
    </row>
    <row r="331">
      <c r="A331" s="324" t="str">
        <f>IFERROR(__xludf.DUMMYFUNCTION("""COMPUTED_VALUE"""),"2526GARIANOMAR18.B")</f>
        <v>2526GARIANOMAR18.B</v>
      </c>
      <c r="B331" s="326"/>
      <c r="C331" s="329"/>
    </row>
    <row r="332">
      <c r="A332" s="324" t="str">
        <f>IFERROR(__xludf.DUMMYFUNCTION("""COMPUTED_VALUE"""),"2526CRISSAMAR18.D")</f>
        <v>2526CRISSAMAR18.D</v>
      </c>
      <c r="B332" s="326"/>
      <c r="C332" s="329"/>
    </row>
    <row r="333">
      <c r="A333" s="324" t="str">
        <f>IFERROR(__xludf.DUMMYFUNCTION("""COMPUTED_VALUE"""),"2526CRUZMAR18.F")</f>
        <v>2526CRUZMAR18.F</v>
      </c>
      <c r="B333" s="326"/>
      <c r="C333" s="329"/>
    </row>
    <row r="334">
      <c r="A334" s="324" t="str">
        <f>IFERROR(__xludf.DUMMYFUNCTION("""COMPUTED_VALUE"""),"2526MAZZAROLOMAR18.B")</f>
        <v>2526MAZZAROLOMAR18.B</v>
      </c>
      <c r="B334" s="326"/>
      <c r="C334" s="329"/>
    </row>
    <row r="335">
      <c r="A335" s="324" t="str">
        <f>IFERROR(__xludf.DUMMYFUNCTION("""COMPUTED_VALUE"""),"2526EMILOVAMAR18.F")</f>
        <v>2526EMILOVAMAR18.F</v>
      </c>
      <c r="B335" s="326"/>
      <c r="C335" s="329"/>
    </row>
    <row r="336">
      <c r="A336" s="324" t="str">
        <f>IFERROR(__xludf.DUMMYFUNCTION("""COMPUTED_VALUE"""),"2526PICCIRILLOMAR18.D")</f>
        <v>2526PICCIRILLOMAR18.D</v>
      </c>
      <c r="B336" s="326"/>
      <c r="C336" s="329"/>
    </row>
    <row r="337">
      <c r="A337" s="324" t="str">
        <f>IFERROR(__xludf.DUMMYFUNCTION("""COMPUTED_VALUE"""),"2526GRANDEMAR18.B")</f>
        <v>2526GRANDEMAR18.B</v>
      </c>
      <c r="B337" s="326"/>
      <c r="C337" s="329"/>
    </row>
    <row r="338">
      <c r="A338" s="324" t="str">
        <f>IFERROR(__xludf.DUMMYFUNCTION("""COMPUTED_VALUE"""),"2526SETTIMAR19.F")</f>
        <v>2526SETTIMAR19.F</v>
      </c>
      <c r="B338" s="326"/>
      <c r="C338" s="329"/>
    </row>
    <row r="339">
      <c r="A339" s="324" t="str">
        <f>IFERROR(__xludf.DUMMYFUNCTION("""COMPUTED_VALUE"""),"2526BELLAYMAR19.F")</f>
        <v>2526BELLAYMAR19.F</v>
      </c>
      <c r="B339" s="326"/>
      <c r="C339" s="329"/>
    </row>
    <row r="340">
      <c r="A340" s="324"/>
      <c r="B340" s="326"/>
      <c r="C340" s="329"/>
    </row>
    <row r="341">
      <c r="A341" s="324" t="str">
        <f>IFERROR(__xludf.DUMMYFUNCTION("""COMPUTED_VALUE"""),"2526PICCIRILLOMAR19.D")</f>
        <v>2526PICCIRILLOMAR19.D</v>
      </c>
      <c r="B341" s="326"/>
      <c r="C341" s="329"/>
    </row>
    <row r="342">
      <c r="A342" s="324" t="str">
        <f>IFERROR(__xludf.DUMMYFUNCTION("""COMPUTED_VALUE"""),"2526MARINOMAR19.A")</f>
        <v>2526MARINOMAR19.A</v>
      </c>
      <c r="B342" s="326"/>
      <c r="C342" s="329"/>
    </row>
    <row r="343">
      <c r="A343" s="324" t="str">
        <f>IFERROR(__xludf.DUMMYFUNCTION("""COMPUTED_VALUE"""),"2526GARIANOMAR19.D")</f>
        <v>2526GARIANOMAR19.D</v>
      </c>
      <c r="B343" s="326"/>
      <c r="C343" s="329"/>
    </row>
    <row r="344">
      <c r="A344" s="324" t="str">
        <f>IFERROR(__xludf.DUMMYFUNCTION("""COMPUTED_VALUE"""),"2526CEGLIEMAR19.D")</f>
        <v>2526CEGLIEMAR19.D</v>
      </c>
      <c r="B344" s="326"/>
      <c r="C344" s="329"/>
    </row>
    <row r="345">
      <c r="A345" s="324" t="str">
        <f>IFERROR(__xludf.DUMMYFUNCTION("""COMPUTED_VALUE"""),"2526NEMBRIMAR19.C")</f>
        <v>2526NEMBRIMAR19.C</v>
      </c>
      <c r="B345" s="326"/>
      <c r="C345" s="329"/>
    </row>
    <row r="346">
      <c r="A346" s="324" t="str">
        <f>IFERROR(__xludf.DUMMYFUNCTION("""COMPUTED_VALUE"""),"2526MAZZAROLOMAR19.A")</f>
        <v>2526MAZZAROLOMAR19.A</v>
      </c>
      <c r="B346" s="326"/>
      <c r="C346" s="329"/>
    </row>
    <row r="347">
      <c r="A347" s="324" t="str">
        <f>IFERROR(__xludf.DUMMYFUNCTION("""COMPUTED_VALUE"""),"2526CRUZMAR19.F")</f>
        <v>2526CRUZMAR19.F</v>
      </c>
      <c r="B347" s="326"/>
      <c r="C347" s="329"/>
    </row>
    <row r="348">
      <c r="A348" s="324" t="str">
        <f>IFERROR(__xludf.DUMMYFUNCTION("""COMPUTED_VALUE"""),"2526CENZONMAR19.F")</f>
        <v>2526CENZONMAR19.F</v>
      </c>
      <c r="B348" s="326"/>
      <c r="C348" s="329"/>
    </row>
    <row r="349">
      <c r="A349" s="324" t="str">
        <f>IFERROR(__xludf.DUMMYFUNCTION("""COMPUTED_VALUE"""),"2526GRANDEMAR19.D")</f>
        <v>2526GRANDEMAR19.D</v>
      </c>
      <c r="B349" s="326"/>
      <c r="C349" s="329"/>
    </row>
    <row r="350">
      <c r="A350" s="324" t="str">
        <f>IFERROR(__xludf.DUMMYFUNCTION("""COMPUTED_VALUE"""),"2526BELLAYMAR20.F")</f>
        <v>2526BELLAYMAR20.F</v>
      </c>
      <c r="B350" s="326"/>
      <c r="C350" s="329"/>
    </row>
    <row r="351">
      <c r="A351" s="324"/>
      <c r="B351" s="326"/>
      <c r="C351" s="329"/>
    </row>
    <row r="352">
      <c r="A352" s="329"/>
      <c r="B352" s="326"/>
      <c r="C352" s="329"/>
    </row>
    <row r="353">
      <c r="A353" s="324" t="str">
        <f>IFERROR(__xludf.DUMMYFUNCTION("""COMPUTED_VALUE"""),"2526PICCIRILLOMAR20.D")</f>
        <v>2526PICCIRILLOMAR20.D</v>
      </c>
      <c r="B353" s="326"/>
      <c r="C353" s="329"/>
    </row>
    <row r="354">
      <c r="A354" s="324" t="str">
        <f>IFERROR(__xludf.DUMMYFUNCTION("""COMPUTED_VALUE"""),"2526CEGLIEMAR20.D")</f>
        <v>2526CEGLIEMAR20.D</v>
      </c>
      <c r="B354" s="326"/>
      <c r="C354" s="329"/>
    </row>
    <row r="355">
      <c r="A355" s="324" t="str">
        <f>IFERROR(__xludf.DUMMYFUNCTION("""COMPUTED_VALUE"""),"2526ASSABIMAR20.C")</f>
        <v>2526ASSABIMAR20.C</v>
      </c>
      <c r="B355" s="326"/>
      <c r="C355" s="329"/>
    </row>
    <row r="356">
      <c r="A356" s="324" t="str">
        <f>IFERROR(__xludf.DUMMYFUNCTION("""COMPUTED_VALUE"""),"2526AVILAMAR20.C")</f>
        <v>2526AVILAMAR20.C</v>
      </c>
      <c r="B356" s="326"/>
      <c r="C356" s="329"/>
    </row>
    <row r="357">
      <c r="A357" s="324" t="str">
        <f>IFERROR(__xludf.DUMMYFUNCTION("""COMPUTED_VALUE"""),"2526NEMBRIMAR20.C")</f>
        <v>2526NEMBRIMAR20.C</v>
      </c>
      <c r="B357" s="326"/>
      <c r="C357" s="329"/>
    </row>
    <row r="358">
      <c r="A358" s="324" t="str">
        <f>IFERROR(__xludf.DUMMYFUNCTION("""COMPUTED_VALUE"""),"2526MAZZAROLOMAR20.A")</f>
        <v>2526MAZZAROLOMAR20.A</v>
      </c>
      <c r="B358" s="326"/>
      <c r="C358" s="329"/>
    </row>
    <row r="359">
      <c r="A359" s="324" t="str">
        <f>IFERROR(__xludf.DUMMYFUNCTION("""COMPUTED_VALUE"""),"2526CRUZMAR20.D")</f>
        <v>2526CRUZMAR20.D</v>
      </c>
      <c r="B359" s="326"/>
      <c r="C359" s="329"/>
    </row>
    <row r="360">
      <c r="A360" s="324" t="str">
        <f>IFERROR(__xludf.DUMMYFUNCTION("""COMPUTED_VALUE"""),"2526SETTIMAR20.C")</f>
        <v>2526SETTIMAR20.C</v>
      </c>
      <c r="B360" s="326"/>
      <c r="C360" s="329"/>
    </row>
    <row r="361">
      <c r="A361" s="324" t="str">
        <f>IFERROR(__xludf.DUMMYFUNCTION("""COMPUTED_VALUE"""),"2526GRANDEMAR20.D")</f>
        <v>2526GRANDEMAR20.D</v>
      </c>
      <c r="B361" s="326"/>
      <c r="C361" s="329"/>
    </row>
    <row r="362">
      <c r="A362" s="329"/>
      <c r="B362" s="326"/>
      <c r="C362" s="329"/>
    </row>
    <row r="363">
      <c r="A363" s="329"/>
      <c r="B363" s="326"/>
      <c r="C363" s="329"/>
    </row>
    <row r="364">
      <c r="A364" s="329"/>
      <c r="B364" s="326"/>
      <c r="C364" s="329"/>
    </row>
    <row r="365">
      <c r="A365" s="324" t="str">
        <f>IFERROR(__xludf.DUMMYFUNCTION("""COMPUTED_VALUE"""),"2526TODISCOMAR21.C")</f>
        <v>2526TODISCOMAR21.C</v>
      </c>
      <c r="B365" s="326"/>
      <c r="C365" s="329"/>
    </row>
    <row r="366">
      <c r="A366" s="324" t="str">
        <f>IFERROR(__xludf.DUMMYFUNCTION("""COMPUTED_VALUE"""),"2526CEGLIEMAR21.D")</f>
        <v>2526CEGLIEMAR21.D</v>
      </c>
      <c r="B366" s="326"/>
      <c r="C366" s="329"/>
    </row>
    <row r="367">
      <c r="A367" s="324" t="str">
        <f>IFERROR(__xludf.DUMMYFUNCTION("""COMPUTED_VALUE"""),"2526ASSABIMAR21.C")</f>
        <v>2526ASSABIMAR21.C</v>
      </c>
      <c r="B367" s="326"/>
      <c r="C367" s="329"/>
    </row>
    <row r="368">
      <c r="A368" s="324" t="str">
        <f>IFERROR(__xludf.DUMMYFUNCTION("""COMPUTED_VALUE"""),"2526AVILAMAR21.C")</f>
        <v>2526AVILAMAR21.C</v>
      </c>
      <c r="B368" s="326"/>
      <c r="C368" s="329"/>
    </row>
    <row r="369">
      <c r="A369" s="324" t="str">
        <f>IFERROR(__xludf.DUMMYFUNCTION("""COMPUTED_VALUE"""),"2526NEMBRIMAR21.C")</f>
        <v>2526NEMBRIMAR21.C</v>
      </c>
      <c r="B369" s="326"/>
      <c r="C369" s="329"/>
    </row>
    <row r="370">
      <c r="A370" s="324" t="str">
        <f>IFERROR(__xludf.DUMMYFUNCTION("""COMPUTED_VALUE"""),"2526MAZZAROLOMAR21.A")</f>
        <v>2526MAZZAROLOMAR21.A</v>
      </c>
      <c r="B370" s="326"/>
      <c r="C370" s="329"/>
    </row>
    <row r="371">
      <c r="A371" s="324" t="str">
        <f>IFERROR(__xludf.DUMMYFUNCTION("""COMPUTED_VALUE"""),"2526ANTONUCCIMAR21.C")</f>
        <v>2526ANTONUCCIMAR21.C</v>
      </c>
      <c r="B371" s="326"/>
      <c r="C371" s="329"/>
    </row>
    <row r="372">
      <c r="A372" s="324" t="str">
        <f>IFERROR(__xludf.DUMMYFUNCTION("""COMPUTED_VALUE"""),"2526PICCIRILLOMAR21.D")</f>
        <v>2526PICCIRILLOMAR21.D</v>
      </c>
      <c r="B372" s="326"/>
      <c r="C372" s="329"/>
    </row>
    <row r="373">
      <c r="A373" s="324" t="str">
        <f>IFERROR(__xludf.DUMMYFUNCTION("""COMPUTED_VALUE"""),"2526ILAGOUMAR21.D")</f>
        <v>2526ILAGOUMAR21.D</v>
      </c>
      <c r="B373" s="326"/>
      <c r="C373" s="329"/>
    </row>
    <row r="374">
      <c r="A374" s="329"/>
      <c r="B374" s="326"/>
      <c r="C374" s="329"/>
    </row>
    <row r="375">
      <c r="A375" s="329"/>
      <c r="B375" s="326"/>
      <c r="C375" s="329"/>
    </row>
    <row r="376">
      <c r="A376" s="329"/>
      <c r="B376" s="326"/>
      <c r="C376" s="329"/>
    </row>
    <row r="377">
      <c r="A377" s="329"/>
      <c r="B377" s="326"/>
      <c r="C377" s="329"/>
    </row>
    <row r="378">
      <c r="A378" s="329"/>
      <c r="B378" s="326"/>
      <c r="C378" s="329"/>
    </row>
    <row r="379">
      <c r="A379" s="329"/>
      <c r="B379" s="326"/>
      <c r="C379" s="329"/>
    </row>
    <row r="380">
      <c r="A380" s="329"/>
      <c r="B380" s="326"/>
      <c r="C380" s="329"/>
    </row>
    <row r="381">
      <c r="A381" s="329"/>
      <c r="B381" s="326"/>
      <c r="C381" s="329"/>
    </row>
    <row r="382">
      <c r="A382" s="329"/>
      <c r="B382" s="326"/>
      <c r="C382" s="329"/>
    </row>
    <row r="383">
      <c r="A383" s="329"/>
      <c r="B383" s="326"/>
      <c r="C383" s="329"/>
    </row>
    <row r="384">
      <c r="A384" s="329"/>
      <c r="B384" s="326"/>
      <c r="C384" s="329"/>
    </row>
    <row r="385">
      <c r="A385" s="329"/>
      <c r="B385" s="326"/>
      <c r="C385" s="329"/>
    </row>
    <row r="386">
      <c r="A386" s="329"/>
      <c r="B386" s="326"/>
      <c r="C386" s="329"/>
    </row>
    <row r="387">
      <c r="A387" s="329"/>
      <c r="B387" s="326"/>
      <c r="C387" s="329"/>
    </row>
    <row r="388">
      <c r="A388" s="329"/>
      <c r="B388" s="326"/>
      <c r="C388" s="329"/>
    </row>
    <row r="389">
      <c r="A389" s="329"/>
      <c r="B389" s="326"/>
      <c r="C389" s="329"/>
    </row>
    <row r="390">
      <c r="A390" s="329"/>
      <c r="B390" s="326"/>
      <c r="C390" s="329"/>
    </row>
    <row r="391">
      <c r="A391" s="329"/>
      <c r="B391" s="326"/>
      <c r="C391" s="329"/>
    </row>
    <row r="392">
      <c r="A392" s="329"/>
      <c r="B392" s="326"/>
      <c r="C392" s="329"/>
    </row>
    <row r="393">
      <c r="A393" s="329"/>
      <c r="B393" s="326"/>
      <c r="C393" s="329"/>
    </row>
    <row r="394">
      <c r="A394" s="329"/>
      <c r="B394" s="326"/>
      <c r="C394" s="329"/>
    </row>
    <row r="395">
      <c r="A395" s="329"/>
      <c r="B395" s="326"/>
      <c r="C395" s="329"/>
    </row>
    <row r="396">
      <c r="A396" s="329"/>
      <c r="B396" s="326"/>
      <c r="C396" s="329"/>
    </row>
    <row r="397">
      <c r="A397" s="329"/>
      <c r="B397" s="326"/>
      <c r="C397" s="329"/>
    </row>
    <row r="398">
      <c r="A398" s="329"/>
      <c r="B398" s="326"/>
      <c r="C398" s="329"/>
    </row>
    <row r="399">
      <c r="A399" s="329"/>
      <c r="B399" s="326"/>
      <c r="C399" s="329"/>
    </row>
    <row r="400">
      <c r="A400" s="329"/>
      <c r="B400" s="326"/>
      <c r="C400" s="329"/>
    </row>
    <row r="401">
      <c r="A401" s="329"/>
      <c r="B401" s="326"/>
      <c r="C401" s="329"/>
    </row>
    <row r="402">
      <c r="A402" s="324"/>
      <c r="B402" s="326"/>
      <c r="C402" s="329"/>
    </row>
    <row r="403">
      <c r="A403" s="324"/>
      <c r="B403" s="326"/>
      <c r="C403" s="329"/>
    </row>
    <row r="404">
      <c r="A404" s="324"/>
      <c r="B404" s="326"/>
      <c r="C404" s="329"/>
    </row>
    <row r="405">
      <c r="A405" s="324"/>
      <c r="B405" s="326"/>
      <c r="C405" s="329"/>
    </row>
    <row r="406">
      <c r="A406" s="324"/>
      <c r="B406" s="326"/>
      <c r="C406" s="329"/>
    </row>
    <row r="407">
      <c r="A407" s="324"/>
      <c r="B407" s="326"/>
      <c r="C407" s="329"/>
    </row>
    <row r="408">
      <c r="A408" s="324"/>
      <c r="B408" s="326"/>
      <c r="C408" s="329"/>
    </row>
    <row r="409">
      <c r="A409" s="324"/>
      <c r="B409" s="326"/>
      <c r="C409" s="329"/>
    </row>
    <row r="410">
      <c r="A410" s="324"/>
      <c r="B410" s="326"/>
      <c r="C410" s="329"/>
    </row>
    <row r="411">
      <c r="A411" s="324"/>
      <c r="B411" s="326"/>
      <c r="C411" s="329"/>
    </row>
    <row r="412">
      <c r="A412" s="324"/>
      <c r="B412" s="326"/>
      <c r="C412" s="329"/>
    </row>
    <row r="413">
      <c r="A413" s="324"/>
      <c r="B413" s="326"/>
      <c r="C413" s="329"/>
    </row>
    <row r="414">
      <c r="A414" s="339" t="str">
        <f>IFERROR(__xludf.DUMMYFUNCTION("""COMPUTED_VALUE"""),"2526MODULOMER09.Y")</f>
        <v>2526MODULOMER09.Y</v>
      </c>
      <c r="B414" s="326"/>
      <c r="C414" s="329"/>
    </row>
    <row r="415">
      <c r="A415" s="324"/>
      <c r="B415" s="326"/>
      <c r="C415" s="329"/>
    </row>
    <row r="416">
      <c r="A416" s="324" t="str">
        <f>IFERROR(__xludf.DUMMYFUNCTION("""COMPUTED_VALUE"""),"2526MODULOMER09.Y")</f>
        <v>2526MODULOMER09.Y</v>
      </c>
      <c r="B416" s="326"/>
      <c r="C416" s="329"/>
    </row>
    <row r="417">
      <c r="A417" s="324" t="str">
        <f>IFERROR(__xludf.DUMMYFUNCTION("""COMPUTED_VALUE"""),"2526MODULOMER09.Y")</f>
        <v>2526MODULOMER09.Y</v>
      </c>
      <c r="B417" s="326"/>
      <c r="C417" s="329"/>
    </row>
    <row r="418">
      <c r="A418" s="324"/>
      <c r="B418" s="326"/>
      <c r="C418" s="329"/>
    </row>
    <row r="419">
      <c r="A419" s="324"/>
      <c r="B419" s="326"/>
      <c r="C419" s="329"/>
    </row>
    <row r="420">
      <c r="A420" s="324" t="str">
        <f>IFERROR(__xludf.DUMMYFUNCTION("""COMPUTED_VALUE"""),"2526MODULOMER09.Y")</f>
        <v>2526MODULOMER09.Y</v>
      </c>
      <c r="B420" s="326"/>
      <c r="C420" s="329"/>
    </row>
    <row r="421">
      <c r="A421" s="324" t="str">
        <f>IFERROR(__xludf.DUMMYFUNCTION("""COMPUTED_VALUE"""),"2526SEABRAMER09.Y")</f>
        <v>2526SEABRAMER09.Y</v>
      </c>
      <c r="B421" s="326"/>
      <c r="C421" s="329"/>
    </row>
    <row r="422">
      <c r="A422" s="324"/>
      <c r="B422" s="326"/>
      <c r="C422" s="329"/>
    </row>
    <row r="423">
      <c r="A423" s="324"/>
      <c r="B423" s="326"/>
      <c r="C423" s="329"/>
    </row>
    <row r="424">
      <c r="A424" s="324"/>
      <c r="B424" s="326"/>
      <c r="C424" s="329"/>
    </row>
    <row r="425">
      <c r="A425" s="324" t="str">
        <f>IFERROR(__xludf.DUMMYFUNCTION("""COMPUTED_VALUE"""),"2526CRUZMER10.F")</f>
        <v>2526CRUZMER10.F</v>
      </c>
      <c r="B425" s="326"/>
      <c r="C425" s="329"/>
    </row>
    <row r="426">
      <c r="A426" s="324" t="str">
        <f>IFERROR(__xludf.DUMMYFUNCTION("""COMPUTED_VALUE"""),"2526MODULOMER10.Y")</f>
        <v>2526MODULOMER10.Y</v>
      </c>
      <c r="B426" s="326"/>
      <c r="C426" s="329"/>
    </row>
    <row r="427">
      <c r="A427" s="324"/>
      <c r="B427" s="326"/>
      <c r="C427" s="329"/>
    </row>
    <row r="428">
      <c r="A428" s="324" t="str">
        <f>IFERROR(__xludf.DUMMYFUNCTION("""COMPUTED_VALUE"""),"2526MODULOMER10.Y")</f>
        <v>2526MODULOMER10.Y</v>
      </c>
      <c r="B428" s="326"/>
      <c r="C428" s="329"/>
    </row>
    <row r="429">
      <c r="A429" s="324" t="str">
        <f>IFERROR(__xludf.DUMMYFUNCTION("""COMPUTED_VALUE"""),"2526MODULOMER10.Y")</f>
        <v>2526MODULOMER10.Y</v>
      </c>
      <c r="B429" s="326"/>
      <c r="C429" s="329"/>
    </row>
    <row r="430">
      <c r="A430" s="324"/>
      <c r="B430" s="326"/>
      <c r="C430" s="329"/>
    </row>
    <row r="431">
      <c r="A431" s="324"/>
      <c r="B431" s="326"/>
      <c r="C431" s="329"/>
    </row>
    <row r="432">
      <c r="A432" s="324" t="str">
        <f>IFERROR(__xludf.DUMMYFUNCTION("""COMPUTED_VALUE"""),"2526MODULOMER10.Y")</f>
        <v>2526MODULOMER10.Y</v>
      </c>
      <c r="B432" s="326"/>
      <c r="C432" s="329"/>
    </row>
    <row r="433">
      <c r="A433" s="324" t="str">
        <f>IFERROR(__xludf.DUMMYFUNCTION("""COMPUTED_VALUE"""),"2526SEABRAMER10.Y")</f>
        <v>2526SEABRAMER10.Y</v>
      </c>
      <c r="B433" s="326"/>
      <c r="C433" s="329"/>
    </row>
    <row r="434">
      <c r="A434" s="324"/>
      <c r="B434" s="326"/>
      <c r="C434" s="329"/>
    </row>
    <row r="435">
      <c r="A435" s="324"/>
      <c r="B435" s="326"/>
      <c r="C435" s="329"/>
    </row>
    <row r="436">
      <c r="A436" s="324"/>
      <c r="B436" s="326"/>
      <c r="C436" s="329"/>
    </row>
    <row r="437">
      <c r="A437" s="324" t="str">
        <f>IFERROR(__xludf.DUMMYFUNCTION("""COMPUTED_VALUE"""),"2526CRUZMER11.F")</f>
        <v>2526CRUZMER11.F</v>
      </c>
      <c r="B437" s="326"/>
      <c r="C437" s="329"/>
    </row>
    <row r="438">
      <c r="A438" s="324" t="str">
        <f>IFERROR(__xludf.DUMMYFUNCTION("""COMPUTED_VALUE"""),"2526MODULOMER11.Y")</f>
        <v>2526MODULOMER11.Y</v>
      </c>
      <c r="B438" s="326"/>
      <c r="C438" s="329"/>
    </row>
    <row r="439">
      <c r="A439" s="324"/>
      <c r="B439" s="326"/>
      <c r="C439" s="329"/>
    </row>
    <row r="440">
      <c r="A440" s="324" t="str">
        <f>IFERROR(__xludf.DUMMYFUNCTION("""COMPUTED_VALUE"""),"2526MODULOMER11.Y")</f>
        <v>2526MODULOMER11.Y</v>
      </c>
      <c r="B440" s="326"/>
      <c r="C440" s="329"/>
    </row>
    <row r="441">
      <c r="A441" s="324" t="str">
        <f>IFERROR(__xludf.DUMMYFUNCTION("""COMPUTED_VALUE"""),"2526MODULOMER11.Y")</f>
        <v>2526MODULOMER11.Y</v>
      </c>
      <c r="B441" s="326"/>
      <c r="C441" s="329"/>
    </row>
    <row r="442">
      <c r="A442" s="324" t="str">
        <f>IFERROR(__xludf.DUMMYFUNCTION("""COMPUTED_VALUE"""),"2526FILLYMER11.Y")</f>
        <v>2526FILLYMER11.Y</v>
      </c>
      <c r="B442" s="326"/>
      <c r="C442" s="329"/>
    </row>
    <row r="443">
      <c r="A443" s="324"/>
      <c r="B443" s="326"/>
      <c r="C443" s="329"/>
    </row>
    <row r="444">
      <c r="A444" s="324" t="str">
        <f>IFERROR(__xludf.DUMMYFUNCTION("""COMPUTED_VALUE"""),"2526MODULOMER11.Y")</f>
        <v>2526MODULOMER11.Y</v>
      </c>
      <c r="B444" s="326"/>
      <c r="C444" s="329"/>
    </row>
    <row r="445">
      <c r="A445" s="324" t="str">
        <f>IFERROR(__xludf.DUMMYFUNCTION("""COMPUTED_VALUE"""),"2526SEABRAMER11.Y")</f>
        <v>2526SEABRAMER11.Y</v>
      </c>
      <c r="B445" s="326"/>
      <c r="C445" s="329"/>
    </row>
    <row r="446">
      <c r="A446" s="324"/>
      <c r="B446" s="326"/>
      <c r="C446" s="329"/>
    </row>
    <row r="447">
      <c r="A447" s="324"/>
      <c r="B447" s="326"/>
      <c r="C447" s="329"/>
    </row>
    <row r="448">
      <c r="A448" s="324"/>
      <c r="B448" s="326"/>
      <c r="C448" s="329"/>
    </row>
    <row r="449">
      <c r="A449" s="324" t="str">
        <f>IFERROR(__xludf.DUMMYFUNCTION("""COMPUTED_VALUE"""),"2526CRUZMER12.F")</f>
        <v>2526CRUZMER12.F</v>
      </c>
      <c r="B449" s="326"/>
      <c r="C449" s="329"/>
    </row>
    <row r="450">
      <c r="A450" s="324" t="str">
        <f>IFERROR(__xludf.DUMMYFUNCTION("""COMPUTED_VALUE"""),"2526MODULOMER12.Y")</f>
        <v>2526MODULOMER12.Y</v>
      </c>
      <c r="B450" s="326"/>
      <c r="C450" s="329"/>
    </row>
    <row r="451">
      <c r="A451" s="324"/>
      <c r="B451" s="326"/>
      <c r="C451" s="329"/>
    </row>
    <row r="452">
      <c r="A452" s="324" t="str">
        <f>IFERROR(__xludf.DUMMYFUNCTION("""COMPUTED_VALUE"""),"2526MODULOMER12.Y")</f>
        <v>2526MODULOMER12.Y</v>
      </c>
      <c r="B452" s="326"/>
      <c r="C452" s="329"/>
    </row>
    <row r="453">
      <c r="A453" s="324"/>
      <c r="B453" s="326"/>
      <c r="C453" s="329"/>
    </row>
    <row r="454">
      <c r="A454" s="324" t="str">
        <f>IFERROR(__xludf.DUMMYFUNCTION("""COMPUTED_VALUE"""),"2526FILLYMER12.Y")</f>
        <v>2526FILLYMER12.Y</v>
      </c>
      <c r="B454" s="326"/>
      <c r="C454" s="329"/>
    </row>
    <row r="455">
      <c r="A455" s="324"/>
      <c r="B455" s="326"/>
      <c r="C455" s="329"/>
    </row>
    <row r="456">
      <c r="A456" s="324" t="str">
        <f>IFERROR(__xludf.DUMMYFUNCTION("""COMPUTED_VALUE"""),"2526MODULOMER12.Y")</f>
        <v>2526MODULOMER12.Y</v>
      </c>
      <c r="B456" s="326"/>
      <c r="C456" s="329"/>
    </row>
    <row r="457">
      <c r="A457" s="324" t="str">
        <f>IFERROR(__xludf.DUMMYFUNCTION("""COMPUTED_VALUE"""),"2526SEABRAMER12.Y")</f>
        <v>2526SEABRAMER12.Y</v>
      </c>
      <c r="B457" s="326"/>
      <c r="C457" s="329"/>
    </row>
    <row r="458">
      <c r="A458" s="324"/>
      <c r="B458" s="326"/>
      <c r="C458" s="329"/>
    </row>
    <row r="459">
      <c r="A459" s="324"/>
      <c r="B459" s="326"/>
      <c r="C459" s="329"/>
    </row>
    <row r="460">
      <c r="A460" s="324"/>
      <c r="B460" s="326"/>
      <c r="C460" s="329"/>
    </row>
    <row r="461">
      <c r="A461" s="324" t="str">
        <f>IFERROR(__xludf.DUMMYFUNCTION("""COMPUTED_VALUE"""),"2526CRUZMER13.F")</f>
        <v>2526CRUZMER13.F</v>
      </c>
      <c r="B461" s="326"/>
      <c r="C461" s="329"/>
    </row>
    <row r="462">
      <c r="A462" s="324" t="str">
        <f>IFERROR(__xludf.DUMMYFUNCTION("""COMPUTED_VALUE"""),"2526MODULOMER13.Y")</f>
        <v>2526MODULOMER13.Y</v>
      </c>
      <c r="B462" s="326"/>
      <c r="C462" s="329"/>
    </row>
    <row r="463">
      <c r="A463" s="324" t="str">
        <f>IFERROR(__xludf.DUMMYFUNCTION("""COMPUTED_VALUE"""),"2526GRANDEMER13.D")</f>
        <v>2526GRANDEMER13.D</v>
      </c>
      <c r="B463" s="326"/>
      <c r="C463" s="329"/>
    </row>
    <row r="464">
      <c r="A464" s="324" t="str">
        <f>IFERROR(__xludf.DUMMYFUNCTION("""COMPUTED_VALUE"""),"2526MODULOMER13.Y")</f>
        <v>2526MODULOMER13.Y</v>
      </c>
      <c r="B464" s="326"/>
      <c r="C464" s="329"/>
    </row>
    <row r="465">
      <c r="A465" s="324" t="str">
        <f>IFERROR(__xludf.DUMMYFUNCTION("""COMPUTED_VALUE"""),"2526KUQIMER13.F")</f>
        <v>2526KUQIMER13.F</v>
      </c>
      <c r="B465" s="326"/>
      <c r="C465" s="329"/>
    </row>
    <row r="466">
      <c r="A466" s="324"/>
      <c r="B466" s="326"/>
      <c r="C466" s="329"/>
    </row>
    <row r="467">
      <c r="A467" s="324"/>
      <c r="B467" s="326"/>
      <c r="C467" s="329"/>
    </row>
    <row r="468">
      <c r="A468" s="324" t="str">
        <f>IFERROR(__xludf.DUMMYFUNCTION("""COMPUTED_VALUE"""),"2526MODULOMER13.Y")</f>
        <v>2526MODULOMER13.Y</v>
      </c>
      <c r="B468" s="326"/>
      <c r="C468" s="329"/>
    </row>
    <row r="469">
      <c r="A469" s="324" t="str">
        <f>IFERROR(__xludf.DUMMYFUNCTION("""COMPUTED_VALUE"""),"2526SEABRAMER13.Y")</f>
        <v>2526SEABRAMER13.Y</v>
      </c>
      <c r="B469" s="326"/>
      <c r="C469" s="329"/>
    </row>
    <row r="470">
      <c r="A470" s="324"/>
      <c r="B470" s="326"/>
      <c r="C470" s="329"/>
    </row>
    <row r="471">
      <c r="A471" s="324"/>
      <c r="B471" s="326"/>
      <c r="C471" s="329"/>
    </row>
    <row r="472">
      <c r="A472" s="324"/>
      <c r="B472" s="326"/>
      <c r="C472" s="329"/>
    </row>
    <row r="473">
      <c r="A473" s="324"/>
      <c r="B473" s="326"/>
      <c r="C473" s="329"/>
    </row>
    <row r="474">
      <c r="A474" s="324" t="str">
        <f>IFERROR(__xludf.DUMMYFUNCTION("""COMPUTED_VALUE"""),"2526MODULOMER14.Y")</f>
        <v>2526MODULOMER14.Y</v>
      </c>
      <c r="B474" s="326"/>
      <c r="C474" s="329"/>
    </row>
    <row r="475">
      <c r="A475" s="324"/>
      <c r="B475" s="326"/>
      <c r="C475" s="329"/>
    </row>
    <row r="476">
      <c r="A476" s="324" t="str">
        <f>IFERROR(__xludf.DUMMYFUNCTION("""COMPUTED_VALUE"""),"2526MODULOMER14.Y")</f>
        <v>2526MODULOMER14.Y</v>
      </c>
      <c r="B476" s="326"/>
      <c r="C476" s="329"/>
    </row>
    <row r="477">
      <c r="A477" s="324" t="str">
        <f>IFERROR(__xludf.DUMMYFUNCTION("""COMPUTED_VALUE"""),"2526MODULOMER14.Y")</f>
        <v>2526MODULOMER14.Y</v>
      </c>
      <c r="B477" s="326"/>
      <c r="C477" s="329"/>
    </row>
    <row r="478">
      <c r="A478" s="324"/>
      <c r="B478" s="326"/>
      <c r="C478" s="329"/>
    </row>
    <row r="479">
      <c r="A479" s="324"/>
      <c r="B479" s="326"/>
      <c r="C479" s="329"/>
    </row>
    <row r="480">
      <c r="A480" s="324" t="str">
        <f>IFERROR(__xludf.DUMMYFUNCTION("""COMPUTED_VALUE"""),"2526MODULOMER14.Y")</f>
        <v>2526MODULOMER14.Y</v>
      </c>
      <c r="B480" s="326"/>
      <c r="C480" s="329"/>
    </row>
    <row r="481">
      <c r="A481" s="324" t="str">
        <f>IFERROR(__xludf.DUMMYFUNCTION("""COMPUTED_VALUE"""),"2526SEABRAMER14.Y")</f>
        <v>2526SEABRAMER14.Y</v>
      </c>
      <c r="B481" s="326"/>
      <c r="C481" s="329"/>
    </row>
    <row r="482">
      <c r="A482" s="324"/>
      <c r="B482" s="326"/>
      <c r="C482" s="329"/>
    </row>
    <row r="483">
      <c r="A483" s="324"/>
      <c r="B483" s="326"/>
      <c r="C483" s="329"/>
    </row>
    <row r="484">
      <c r="A484" s="324"/>
      <c r="B484" s="326"/>
      <c r="C484" s="329"/>
    </row>
    <row r="485">
      <c r="A485" s="329"/>
      <c r="B485" s="326"/>
      <c r="C485" s="329"/>
    </row>
    <row r="486">
      <c r="A486" s="324" t="str">
        <f>IFERROR(__xludf.DUMMYFUNCTION("""COMPUTED_VALUE"""),"2526MODULOMER15.Y")</f>
        <v>2526MODULOMER15.Y</v>
      </c>
      <c r="B486" s="326"/>
      <c r="C486" s="329"/>
    </row>
    <row r="487">
      <c r="A487" s="329"/>
      <c r="B487" s="326"/>
      <c r="C487" s="329"/>
    </row>
    <row r="488">
      <c r="A488" s="324" t="str">
        <f>IFERROR(__xludf.DUMMYFUNCTION("""COMPUTED_VALUE"""),"2526MODULOMER15.Y")</f>
        <v>2526MODULOMER15.Y</v>
      </c>
      <c r="B488" s="326"/>
      <c r="C488" s="329"/>
    </row>
    <row r="489">
      <c r="A489" s="324" t="str">
        <f>IFERROR(__xludf.DUMMYFUNCTION("""COMPUTED_VALUE"""),"2526MODULOMER15.Y")</f>
        <v>2526MODULOMER15.Y</v>
      </c>
      <c r="B489" s="326"/>
      <c r="C489" s="329"/>
    </row>
    <row r="490">
      <c r="A490" s="329"/>
      <c r="B490" s="326"/>
      <c r="C490" s="329"/>
    </row>
    <row r="491">
      <c r="A491" s="329"/>
      <c r="B491" s="326"/>
      <c r="C491" s="329"/>
    </row>
    <row r="492">
      <c r="A492" s="324" t="str">
        <f>IFERROR(__xludf.DUMMYFUNCTION("""COMPUTED_VALUE"""),"2526MODULOMER15.Y")</f>
        <v>2526MODULOMER15.Y</v>
      </c>
      <c r="B492" s="326"/>
      <c r="C492" s="329"/>
    </row>
    <row r="493">
      <c r="A493" s="324" t="str">
        <f>IFERROR(__xludf.DUMMYFUNCTION("""COMPUTED_VALUE"""),"2526SEABRAMER15.Y")</f>
        <v>2526SEABRAMER15.Y</v>
      </c>
      <c r="B493" s="326"/>
      <c r="C493" s="329"/>
    </row>
    <row r="494">
      <c r="A494" s="329"/>
      <c r="B494" s="326"/>
      <c r="C494" s="329"/>
    </row>
    <row r="495">
      <c r="A495" s="329"/>
      <c r="B495" s="326"/>
      <c r="C495" s="329"/>
    </row>
    <row r="496">
      <c r="A496" s="329"/>
      <c r="B496" s="326"/>
      <c r="C496" s="329"/>
    </row>
    <row r="497">
      <c r="A497" s="329"/>
      <c r="B497" s="338"/>
      <c r="C497" s="338"/>
    </row>
    <row r="498">
      <c r="A498" s="329"/>
      <c r="B498" s="338"/>
      <c r="C498" s="338"/>
    </row>
    <row r="499">
      <c r="A499" s="329"/>
      <c r="B499" s="338"/>
      <c r="C499" s="338"/>
    </row>
    <row r="500">
      <c r="A500" s="324" t="str">
        <f>IFERROR(__xludf.DUMMYFUNCTION("""COMPUTED_VALUE"""),"2526MALINMER16.B")</f>
        <v>2526MALINMER16.B</v>
      </c>
      <c r="B500" s="338"/>
      <c r="C500" s="338"/>
    </row>
    <row r="501">
      <c r="A501" s="343" t="str">
        <f>IFERROR(__xludf.DUMMYFUNCTION("""COMPUTED_VALUE"""),"2526MODULOMER16.Y")</f>
        <v>2526MODULOMER16.Y</v>
      </c>
    </row>
    <row r="502">
      <c r="A502" s="330"/>
    </row>
    <row r="503">
      <c r="A503" s="343" t="str">
        <f>IFERROR(__xludf.DUMMYFUNCTION("""COMPUTED_VALUE"""),"2526BORDONIMER16.B")</f>
        <v>2526BORDONIMER16.B</v>
      </c>
    </row>
    <row r="504">
      <c r="A504" s="330"/>
    </row>
    <row r="505">
      <c r="A505" s="343" t="str">
        <f>IFERROR(__xludf.DUMMYFUNCTION("""COMPUTED_VALUE"""),"2526BORRIMER16.B")</f>
        <v>2526BORRIMER16.B</v>
      </c>
    </row>
    <row r="506">
      <c r="A506" s="330"/>
    </row>
    <row r="507">
      <c r="A507" s="330"/>
    </row>
    <row r="508">
      <c r="A508" s="330"/>
    </row>
    <row r="509">
      <c r="A509" s="343" t="str">
        <f>IFERROR(__xludf.DUMMYFUNCTION("""COMPUTED_VALUE"""),"2526DUTTAMER17.D")</f>
        <v>2526DUTTAMER17.D</v>
      </c>
    </row>
    <row r="510">
      <c r="A510" s="343" t="str">
        <f>IFERROR(__xludf.DUMMYFUNCTION("""COMPUTED_VALUE"""),"2526BARTOLINIMER17.B")</f>
        <v>2526BARTOLINIMER17.B</v>
      </c>
    </row>
    <row r="511">
      <c r="A511" s="343" t="str">
        <f>IFERROR(__xludf.DUMMYFUNCTION("""COMPUTED_VALUE"""),"2526TAZZIMER17.B")</f>
        <v>2526TAZZIMER17.B</v>
      </c>
    </row>
    <row r="512">
      <c r="A512" s="343" t="str">
        <f>IFERROR(__xludf.DUMMYFUNCTION("""COMPUTED_VALUE"""),"2526MALINMER17.B")</f>
        <v>2526MALINMER17.B</v>
      </c>
    </row>
    <row r="513">
      <c r="A513" s="343" t="str">
        <f>IFERROR(__xludf.DUMMYFUNCTION("""COMPUTED_VALUE"""),"2526MIRAMMER17.B")</f>
        <v>2526MIRAMMER17.B</v>
      </c>
    </row>
    <row r="514">
      <c r="A514" s="330"/>
    </row>
    <row r="515">
      <c r="A515" s="343" t="str">
        <f>IFERROR(__xludf.DUMMYFUNCTION("""COMPUTED_VALUE"""),"2526BORDONIMER17.B")</f>
        <v>2526BORDONIMER17.B</v>
      </c>
    </row>
    <row r="516">
      <c r="A516" s="330"/>
    </row>
    <row r="517">
      <c r="A517" s="343" t="str">
        <f>IFERROR(__xludf.DUMMYFUNCTION("""COMPUTED_VALUE"""),"2526BORRIMER17.B")</f>
        <v>2526BORRIMER17.B</v>
      </c>
    </row>
    <row r="518">
      <c r="A518" s="343" t="str">
        <f>IFERROR(__xludf.DUMMYFUNCTION("""COMPUTED_VALUE"""),"2526CARIZZONIMER18.F")</f>
        <v>2526CARIZZONIMER18.F</v>
      </c>
    </row>
    <row r="519">
      <c r="A519" s="343" t="str">
        <f>IFERROR(__xludf.DUMMYFUNCTION("""COMPUTED_VALUE"""),"2526SETTIMER18.F")</f>
        <v>2526SETTIMER18.F</v>
      </c>
    </row>
    <row r="520">
      <c r="A520" s="330"/>
    </row>
    <row r="521">
      <c r="A521" s="343" t="str">
        <f>IFERROR(__xludf.DUMMYFUNCTION("""COMPUTED_VALUE"""),"2526DUTTAMER18.D")</f>
        <v>2526DUTTAMER18.D</v>
      </c>
    </row>
    <row r="522">
      <c r="A522" s="343" t="str">
        <f>IFERROR(__xludf.DUMMYFUNCTION("""COMPUTED_VALUE"""),"2526BARTOLINIMER18.B")</f>
        <v>2526BARTOLINIMER18.B</v>
      </c>
    </row>
    <row r="523">
      <c r="A523" s="343" t="str">
        <f>IFERROR(__xludf.DUMMYFUNCTION("""COMPUTED_VALUE"""),"2526GEDDOMER18.D")</f>
        <v>2526GEDDOMER18.D</v>
      </c>
    </row>
    <row r="524">
      <c r="A524" s="343" t="str">
        <f>IFERROR(__xludf.DUMMYFUNCTION("""COMPUTED_VALUE"""),"2526MGRANDEMER18.D")</f>
        <v>2526MGRANDEMER18.D</v>
      </c>
    </row>
    <row r="525">
      <c r="A525" s="343" t="str">
        <f>IFERROR(__xludf.DUMMYFUNCTION("""COMPUTED_VALUE"""),"2526PACILLOMER18.F")</f>
        <v>2526PACILLOMER18.F</v>
      </c>
    </row>
    <row r="526">
      <c r="A526" s="343" t="str">
        <f>IFERROR(__xludf.DUMMYFUNCTION("""COMPUTED_VALUE"""),"2526MAZZAROLOMER18.A")</f>
        <v>2526MAZZAROLOMER18.A</v>
      </c>
    </row>
    <row r="527">
      <c r="A527" s="343" t="str">
        <f>IFERROR(__xludf.DUMMYFUNCTION("""COMPUTED_VALUE"""),"2526MIRAMMER18.B")</f>
        <v>2526MIRAMMER18.B</v>
      </c>
    </row>
    <row r="528">
      <c r="A528" s="343" t="str">
        <f>IFERROR(__xludf.DUMMYFUNCTION("""COMPUTED_VALUE"""),"2526PICCIRILLOMER18.D")</f>
        <v>2526PICCIRILLOMER18.D</v>
      </c>
    </row>
    <row r="529">
      <c r="A529" s="343" t="str">
        <f>IFERROR(__xludf.DUMMYFUNCTION("""COMPUTED_VALUE"""),"2526BORRIMER18.B")</f>
        <v>2526BORRIMER18.B</v>
      </c>
    </row>
    <row r="530">
      <c r="A530" s="343" t="str">
        <f>IFERROR(__xludf.DUMMYFUNCTION("""COMPUTED_VALUE"""),"2526SETTIMER19.F")</f>
        <v>2526SETTIMER19.F</v>
      </c>
    </row>
    <row r="531">
      <c r="A531" s="330"/>
    </row>
    <row r="532">
      <c r="A532" s="330"/>
    </row>
    <row r="533">
      <c r="A533" s="343" t="str">
        <f>IFERROR(__xludf.DUMMYFUNCTION("""COMPUTED_VALUE"""),"2526ARUTAMER19.C")</f>
        <v>2526ARUTAMER19.C</v>
      </c>
    </row>
    <row r="534">
      <c r="A534" s="343" t="str">
        <f>IFERROR(__xludf.DUMMYFUNCTION("""COMPUTED_VALUE"""),"2526GEDDOMER19.D")</f>
        <v>2526GEDDOMER19.D</v>
      </c>
    </row>
    <row r="535">
      <c r="A535" s="343" t="str">
        <f>IFERROR(__xludf.DUMMYFUNCTION("""COMPUTED_VALUE"""),"2526CEGLIEMER19.D")</f>
        <v>2526CEGLIEMER19.D</v>
      </c>
    </row>
    <row r="536">
      <c r="A536" s="343" t="str">
        <f>IFERROR(__xludf.DUMMYFUNCTION("""COMPUTED_VALUE"""),"2526PACILLOMER19.F")</f>
        <v>2526PACILLOMER19.F</v>
      </c>
    </row>
    <row r="537">
      <c r="A537" s="343" t="str">
        <f>IFERROR(__xludf.DUMMYFUNCTION("""COMPUTED_VALUE"""),"2526BELLAYMER19.D")</f>
        <v>2526BELLAYMER19.D</v>
      </c>
    </row>
    <row r="538">
      <c r="A538" s="343" t="str">
        <f>IFERROR(__xludf.DUMMYFUNCTION("""COMPUTED_VALUE"""),"2526MAZZAROLOMER19.A")</f>
        <v>2526MAZZAROLOMER19.A</v>
      </c>
    </row>
    <row r="539">
      <c r="A539" s="343" t="str">
        <f>IFERROR(__xludf.DUMMYFUNCTION("""COMPUTED_VALUE"""),"2526NEMBRIMER19.C")</f>
        <v>2526NEMBRIMER19.C</v>
      </c>
    </row>
    <row r="540">
      <c r="A540" s="343" t="str">
        <f>IFERROR(__xludf.DUMMYFUNCTION("""COMPUTED_VALUE"""),"2526PICCIRILLOMER19.D")</f>
        <v>2526PICCIRILLOMER19.D</v>
      </c>
    </row>
    <row r="541">
      <c r="A541" s="343" t="str">
        <f>IFERROR(__xludf.DUMMYFUNCTION("""COMPUTED_VALUE"""),"2526BORRIMER19.D")</f>
        <v>2526BORRIMER19.D</v>
      </c>
    </row>
    <row r="542">
      <c r="A542" s="343" t="str">
        <f>IFERROR(__xludf.DUMMYFUNCTION("""COMPUTED_VALUE"""),"2526SETTIMER20.F")</f>
        <v>2526SETTIMER20.F</v>
      </c>
    </row>
    <row r="543">
      <c r="A543" s="330"/>
    </row>
    <row r="544">
      <c r="A544" s="330"/>
    </row>
    <row r="545">
      <c r="A545" s="343" t="str">
        <f>IFERROR(__xludf.DUMMYFUNCTION("""COMPUTED_VALUE"""),"2526NEMBRIMER20.C")</f>
        <v>2526NEMBRIMER20.C</v>
      </c>
    </row>
    <row r="546">
      <c r="A546" s="343" t="str">
        <f>IFERROR(__xludf.DUMMYFUNCTION("""COMPUTED_VALUE"""),"2526ARUTAMER20.C")</f>
        <v>2526ARUTAMER20.C</v>
      </c>
    </row>
    <row r="547">
      <c r="A547" s="343" t="str">
        <f>IFERROR(__xludf.DUMMYFUNCTION("""COMPUTED_VALUE"""),"2526CEGLIEMER20.D")</f>
        <v>2526CEGLIEMER20.D</v>
      </c>
    </row>
    <row r="548">
      <c r="A548" s="343" t="str">
        <f>IFERROR(__xludf.DUMMYFUNCTION("""COMPUTED_VALUE"""),"2526MELEMER20.C")</f>
        <v>2526MELEMER20.C</v>
      </c>
    </row>
    <row r="549">
      <c r="A549" s="343" t="str">
        <f>IFERROR(__xludf.DUMMYFUNCTION("""COMPUTED_VALUE"""),"2526BELLAYMER20.D")</f>
        <v>2526BELLAYMER20.D</v>
      </c>
    </row>
    <row r="550">
      <c r="A550" s="343" t="str">
        <f>IFERROR(__xludf.DUMMYFUNCTION("""COMPUTED_VALUE"""),"2526MAZZAROLOMER20.A")</f>
        <v>2526MAZZAROLOMER20.A</v>
      </c>
    </row>
    <row r="551">
      <c r="A551" s="343" t="str">
        <f>IFERROR(__xludf.DUMMYFUNCTION("""COMPUTED_VALUE"""),"2526BATTISTELLAMER20.C")</f>
        <v>2526BATTISTELLAMER20.C</v>
      </c>
    </row>
    <row r="552">
      <c r="A552" s="343" t="str">
        <f>IFERROR(__xludf.DUMMYFUNCTION("""COMPUTED_VALUE"""),"2526PICCIRILLOMER20.D")</f>
        <v>2526PICCIRILLOMER20.D</v>
      </c>
    </row>
    <row r="553">
      <c r="A553" s="343" t="str">
        <f>IFERROR(__xludf.DUMMYFUNCTION("""COMPUTED_VALUE"""),"2526LUISETTOMER20.C")</f>
        <v>2526LUISETTOMER20.C</v>
      </c>
    </row>
    <row r="554">
      <c r="A554" s="330"/>
    </row>
    <row r="555">
      <c r="A555" s="330"/>
    </row>
    <row r="556">
      <c r="A556" s="330"/>
    </row>
    <row r="557">
      <c r="A557" s="343" t="str">
        <f>IFERROR(__xludf.DUMMYFUNCTION("""COMPUTED_VALUE"""),"2526MELEMER21.C")</f>
        <v>2526MELEMER21.C</v>
      </c>
    </row>
    <row r="558">
      <c r="A558" s="343" t="str">
        <f>IFERROR(__xludf.DUMMYFUNCTION("""COMPUTED_VALUE"""),"2526CEGLIEMER21.D")</f>
        <v>2526CEGLIEMER21.D</v>
      </c>
    </row>
    <row r="559">
      <c r="A559" s="343" t="str">
        <f>IFERROR(__xludf.DUMMYFUNCTION("""COMPUTED_VALUE"""),"2526SETTIMER21.C")</f>
        <v>2526SETTIMER21.C</v>
      </c>
    </row>
    <row r="560">
      <c r="A560" s="343" t="str">
        <f>IFERROR(__xludf.DUMMYFUNCTION("""COMPUTED_VALUE"""),"2526NEMBRIMER21.C")</f>
        <v>2526NEMBRIMER21.C</v>
      </c>
    </row>
    <row r="561">
      <c r="A561" s="343" t="str">
        <f>IFERROR(__xludf.DUMMYFUNCTION("""COMPUTED_VALUE"""),"2526ARUTAMER21.C")</f>
        <v>2526ARUTAMER21.C</v>
      </c>
    </row>
    <row r="562">
      <c r="A562" s="343" t="str">
        <f>IFERROR(__xludf.DUMMYFUNCTION("""COMPUTED_VALUE"""),"2526MAZZAROLOMER21.A")</f>
        <v>2526MAZZAROLOMER21.A</v>
      </c>
    </row>
    <row r="563">
      <c r="A563" s="343" t="str">
        <f>IFERROR(__xludf.DUMMYFUNCTION("""COMPUTED_VALUE"""),"2526FELLERMER21.C")</f>
        <v>2526FELLERMER21.C</v>
      </c>
    </row>
    <row r="564">
      <c r="A564" s="343" t="str">
        <f>IFERROR(__xludf.DUMMYFUNCTION("""COMPUTED_VALUE"""),"2526PICCIRILLOMER21.D")</f>
        <v>2526PICCIRILLOMER21.D</v>
      </c>
    </row>
    <row r="565">
      <c r="A565" s="343" t="str">
        <f>IFERROR(__xludf.DUMMYFUNCTION("""COMPUTED_VALUE"""),"2526LUISETTOMER21.C")</f>
        <v>2526LUISETTOMER21.C</v>
      </c>
    </row>
    <row r="566">
      <c r="A566" s="330"/>
    </row>
    <row r="567">
      <c r="A567" s="330"/>
    </row>
    <row r="568">
      <c r="A568" s="330"/>
    </row>
    <row r="569">
      <c r="A569" s="330"/>
    </row>
    <row r="570">
      <c r="A570" s="330"/>
    </row>
    <row r="571">
      <c r="A571" s="330"/>
    </row>
    <row r="572">
      <c r="A572" s="330"/>
    </row>
    <row r="573">
      <c r="A573" s="330"/>
    </row>
    <row r="574">
      <c r="A574" s="330"/>
    </row>
    <row r="575">
      <c r="A575" s="330"/>
    </row>
    <row r="576">
      <c r="A576" s="330"/>
    </row>
    <row r="577">
      <c r="A577" s="330"/>
    </row>
    <row r="578">
      <c r="A578" s="330"/>
    </row>
    <row r="579">
      <c r="A579" s="330"/>
    </row>
    <row r="580">
      <c r="A580" s="330"/>
    </row>
    <row r="581">
      <c r="A581" s="330"/>
    </row>
    <row r="582">
      <c r="A582" s="330"/>
    </row>
    <row r="583">
      <c r="A583" s="330"/>
    </row>
    <row r="584">
      <c r="A584" s="330"/>
    </row>
    <row r="585">
      <c r="A585" s="330"/>
    </row>
    <row r="586">
      <c r="A586" s="330"/>
    </row>
    <row r="587">
      <c r="A587" s="330"/>
    </row>
    <row r="588">
      <c r="A588" s="330"/>
    </row>
    <row r="589">
      <c r="A589" s="330"/>
    </row>
    <row r="590">
      <c r="A590" s="330"/>
    </row>
    <row r="591">
      <c r="A591" s="330"/>
    </row>
    <row r="592">
      <c r="A592" s="330"/>
    </row>
    <row r="593">
      <c r="A593" s="330"/>
    </row>
    <row r="594">
      <c r="A594" s="330"/>
    </row>
    <row r="595">
      <c r="A595" s="330"/>
    </row>
    <row r="596">
      <c r="A596" s="330"/>
    </row>
    <row r="597">
      <c r="A597" s="330"/>
    </row>
    <row r="598">
      <c r="A598" s="330"/>
    </row>
    <row r="599">
      <c r="A599" s="330"/>
    </row>
    <row r="600">
      <c r="A600" s="330"/>
    </row>
    <row r="601">
      <c r="A601" s="330"/>
    </row>
    <row r="602">
      <c r="A602" s="330"/>
    </row>
    <row r="603">
      <c r="A603" s="330"/>
    </row>
    <row r="604">
      <c r="A604" s="330"/>
    </row>
    <row r="605">
      <c r="A605" s="343" t="str">
        <f>IFERROR(__xludf.DUMMYFUNCTION("""COMPUTED_VALUE"""),"2526STANISCIGIO09.F")</f>
        <v>2526STANISCIGIO09.F</v>
      </c>
    </row>
    <row r="606">
      <c r="A606" s="343" t="str">
        <f>IFERROR(__xludf.DUMMYFUNCTION("""COMPUTED_VALUE"""),"2526MODULOGIO09.Y")</f>
        <v>2526MODULOGIO09.Y</v>
      </c>
    </row>
    <row r="607">
      <c r="A607" s="330"/>
    </row>
    <row r="608">
      <c r="A608" s="330"/>
    </row>
    <row r="609">
      <c r="A609" s="343" t="str">
        <f>IFERROR(__xludf.DUMMYFUNCTION("""COMPUTED_VALUE"""),"2526MODULOGIO09.Y")</f>
        <v>2526MODULOGIO09.Y</v>
      </c>
    </row>
    <row r="610">
      <c r="A610" s="330"/>
    </row>
    <row r="611">
      <c r="A611" s="330"/>
    </row>
    <row r="612">
      <c r="A612" s="343" t="str">
        <f>IFERROR(__xludf.DUMMYFUNCTION("""COMPUTED_VALUE"""),"2526MODULOGIO09.Y")</f>
        <v>2526MODULOGIO09.Y</v>
      </c>
    </row>
    <row r="613">
      <c r="A613" s="343" t="str">
        <f>IFERROR(__xludf.DUMMYFUNCTION("""COMPUTED_VALUE"""),"2526SEABRAGIO09.Y")</f>
        <v>2526SEABRAGIO09.Y</v>
      </c>
    </row>
    <row r="614">
      <c r="A614" s="330"/>
    </row>
    <row r="615">
      <c r="A615" s="330"/>
    </row>
    <row r="616">
      <c r="A616" s="330"/>
    </row>
    <row r="617">
      <c r="A617" s="330"/>
    </row>
    <row r="618">
      <c r="A618" s="343" t="str">
        <f>IFERROR(__xludf.DUMMYFUNCTION("""COMPUTED_VALUE"""),"2526MODULOGIO10.Y")</f>
        <v>2526MODULOGIO10.Y</v>
      </c>
    </row>
    <row r="619">
      <c r="A619" s="330"/>
    </row>
    <row r="620">
      <c r="A620" s="330"/>
    </row>
    <row r="621">
      <c r="A621" s="343" t="str">
        <f>IFERROR(__xludf.DUMMYFUNCTION("""COMPUTED_VALUE"""),"2526MODULOGIO10.Y")</f>
        <v>2526MODULOGIO10.Y</v>
      </c>
    </row>
    <row r="622">
      <c r="A622" s="330"/>
    </row>
    <row r="623">
      <c r="A623" s="330"/>
    </row>
    <row r="624">
      <c r="A624" s="343" t="str">
        <f>IFERROR(__xludf.DUMMYFUNCTION("""COMPUTED_VALUE"""),"2526MODULOGIO10.Y")</f>
        <v>2526MODULOGIO10.Y</v>
      </c>
    </row>
    <row r="625">
      <c r="A625" s="343" t="str">
        <f>IFERROR(__xludf.DUMMYFUNCTION("""COMPUTED_VALUE"""),"2526SEABRAGIO10.Y")</f>
        <v>2526SEABRAGIO10.Y</v>
      </c>
    </row>
    <row r="626">
      <c r="A626" s="330"/>
    </row>
    <row r="627">
      <c r="A627" s="330"/>
    </row>
    <row r="628">
      <c r="A628" s="330"/>
    </row>
    <row r="629">
      <c r="A629" s="343" t="str">
        <f>IFERROR(__xludf.DUMMYFUNCTION("""COMPUTED_VALUE"""),"2526CRUZGIO11.F")</f>
        <v>2526CRUZGIO11.F</v>
      </c>
    </row>
    <row r="630">
      <c r="A630" s="343" t="str">
        <f>IFERROR(__xludf.DUMMYFUNCTION("""COMPUTED_VALUE"""),"2526MODULOGIO11.Y")</f>
        <v>2526MODULOGIO11.Y</v>
      </c>
    </row>
    <row r="631">
      <c r="A631" s="330"/>
    </row>
    <row r="632">
      <c r="A632" s="330"/>
    </row>
    <row r="633">
      <c r="A633" s="343" t="str">
        <f>IFERROR(__xludf.DUMMYFUNCTION("""COMPUTED_VALUE"""),"2526MODULOGIO11.Y")</f>
        <v>2526MODULOGIO11.Y</v>
      </c>
    </row>
    <row r="634">
      <c r="A634" s="330"/>
    </row>
    <row r="635">
      <c r="A635" s="330"/>
    </row>
    <row r="636">
      <c r="A636" s="343" t="str">
        <f>IFERROR(__xludf.DUMMYFUNCTION("""COMPUTED_VALUE"""),"2526MODULOGIO11.Y")</f>
        <v>2526MODULOGIO11.Y</v>
      </c>
    </row>
    <row r="637">
      <c r="A637" s="343" t="str">
        <f>IFERROR(__xludf.DUMMYFUNCTION("""COMPUTED_VALUE"""),"2526SEABRAGIO11.Y")</f>
        <v>2526SEABRAGIO11.Y</v>
      </c>
    </row>
    <row r="638">
      <c r="A638" s="330"/>
    </row>
    <row r="639">
      <c r="A639" s="330"/>
    </row>
    <row r="640">
      <c r="A640" s="330"/>
    </row>
    <row r="641">
      <c r="A641" s="343" t="str">
        <f>IFERROR(__xludf.DUMMYFUNCTION("""COMPUTED_VALUE"""),"2526CRUZGIO12.F")</f>
        <v>2526CRUZGIO12.F</v>
      </c>
    </row>
    <row r="642">
      <c r="A642" s="343" t="str">
        <f>IFERROR(__xludf.DUMMYFUNCTION("""COMPUTED_VALUE"""),"2526MODULOGIO12.Y")</f>
        <v>2526MODULOGIO12.Y</v>
      </c>
    </row>
    <row r="643">
      <c r="A643" s="330"/>
    </row>
    <row r="644">
      <c r="A644" s="330"/>
    </row>
    <row r="645">
      <c r="A645" s="343" t="str">
        <f>IFERROR(__xludf.DUMMYFUNCTION("""COMPUTED_VALUE"""),"2526MODULOGIO12.Y")</f>
        <v>2526MODULOGIO12.Y</v>
      </c>
    </row>
    <row r="646">
      <c r="A646" s="343" t="str">
        <f>IFERROR(__xludf.DUMMYFUNCTION("""COMPUTED_VALUE"""),"2526FILLYGIO12.Y")</f>
        <v>2526FILLYGIO12.Y</v>
      </c>
    </row>
    <row r="647">
      <c r="A647" s="330"/>
    </row>
    <row r="648">
      <c r="A648" s="343" t="str">
        <f>IFERROR(__xludf.DUMMYFUNCTION("""COMPUTED_VALUE"""),"2526MODULOGIO12.Y")</f>
        <v>2526MODULOGIO12.Y</v>
      </c>
    </row>
    <row r="649">
      <c r="A649" s="343" t="str">
        <f>IFERROR(__xludf.DUMMYFUNCTION("""COMPUTED_VALUE"""),"2526SEABRAGIO12.Y")</f>
        <v>2526SEABRAGIO12.Y</v>
      </c>
    </row>
    <row r="650">
      <c r="A650" s="330"/>
    </row>
    <row r="651">
      <c r="A651" s="330"/>
    </row>
    <row r="652">
      <c r="A652" s="330"/>
    </row>
    <row r="653">
      <c r="A653" s="343" t="str">
        <f>IFERROR(__xludf.DUMMYFUNCTION("""COMPUTED_VALUE"""),"2526CRUZGIO13.F")</f>
        <v>2526CRUZGIO13.F</v>
      </c>
    </row>
    <row r="654">
      <c r="A654" s="343" t="str">
        <f>IFERROR(__xludf.DUMMYFUNCTION("""COMPUTED_VALUE"""),"2526MODULOGIO13.Y")</f>
        <v>2526MODULOGIO13.Y</v>
      </c>
    </row>
    <row r="655">
      <c r="A655" s="343" t="str">
        <f>IFERROR(__xludf.DUMMYFUNCTION("""COMPUTED_VALUE"""),"2526STANISCIGIO13.F")</f>
        <v>2526STANISCIGIO13.F</v>
      </c>
    </row>
    <row r="656">
      <c r="A656" s="330"/>
    </row>
    <row r="657">
      <c r="A657" s="343" t="str">
        <f>IFERROR(__xludf.DUMMYFUNCTION("""COMPUTED_VALUE"""),"2526KUQIGIO13.F")</f>
        <v>2526KUQIGIO13.F</v>
      </c>
    </row>
    <row r="658">
      <c r="A658" s="343" t="str">
        <f>IFERROR(__xludf.DUMMYFUNCTION("""COMPUTED_VALUE"""),"2526FILLYGIO13.Y")</f>
        <v>2526FILLYGIO13.Y</v>
      </c>
    </row>
    <row r="659">
      <c r="A659" s="330"/>
    </row>
    <row r="660">
      <c r="A660" s="343" t="str">
        <f>IFERROR(__xludf.DUMMYFUNCTION("""COMPUTED_VALUE"""),"2526MODULOGIO13.Y")</f>
        <v>2526MODULOGIO13.Y</v>
      </c>
    </row>
    <row r="661">
      <c r="A661" s="343" t="str">
        <f>IFERROR(__xludf.DUMMYFUNCTION("""COMPUTED_VALUE"""),"2526SEABRAGIO13.Y")</f>
        <v>2526SEABRAGIO13.Y</v>
      </c>
    </row>
    <row r="662">
      <c r="A662" s="330"/>
    </row>
    <row r="663">
      <c r="A663" s="330"/>
    </row>
    <row r="664">
      <c r="A664" s="330"/>
    </row>
    <row r="665">
      <c r="A665" s="343" t="str">
        <f>IFERROR(__xludf.DUMMYFUNCTION("""COMPUTED_VALUE"""),"2526MAMACITAGIO14.Y")</f>
        <v>2526MAMACITAGIO14.Y</v>
      </c>
    </row>
    <row r="666">
      <c r="A666" s="330"/>
    </row>
    <row r="667">
      <c r="A667" s="330"/>
    </row>
    <row r="668">
      <c r="A668" s="330"/>
    </row>
    <row r="669">
      <c r="A669" s="343" t="str">
        <f>IFERROR(__xludf.DUMMYFUNCTION("""COMPUTED_VALUE"""),"2526MODULOGIO14.Y")</f>
        <v>2526MODULOGIO14.Y</v>
      </c>
    </row>
    <row r="670">
      <c r="A670" s="330"/>
    </row>
    <row r="671">
      <c r="A671" s="330"/>
    </row>
    <row r="672">
      <c r="A672" s="330"/>
    </row>
    <row r="673">
      <c r="A673" s="343" t="str">
        <f>IFERROR(__xludf.DUMMYFUNCTION("""COMPUTED_VALUE"""),"2526SEABRAGIO14.Y")</f>
        <v>2526SEABRAGIO14.Y</v>
      </c>
    </row>
    <row r="674">
      <c r="A674" s="330"/>
    </row>
    <row r="675">
      <c r="A675" s="330"/>
    </row>
    <row r="676">
      <c r="A676" s="330"/>
    </row>
    <row r="677">
      <c r="A677" s="343" t="str">
        <f>IFERROR(__xludf.DUMMYFUNCTION("""COMPUTED_VALUE"""),"2526MAMACITAGIO15.Y")</f>
        <v>2526MAMACITAGIO15.Y</v>
      </c>
    </row>
    <row r="678">
      <c r="A678" s="330"/>
    </row>
    <row r="679">
      <c r="A679" s="330"/>
    </row>
    <row r="680">
      <c r="A680" s="330"/>
    </row>
    <row r="681">
      <c r="A681" s="343" t="str">
        <f>IFERROR(__xludf.DUMMYFUNCTION("""COMPUTED_VALUE"""),"2526MODULOGIO15.Y")</f>
        <v>2526MODULOGIO15.Y</v>
      </c>
    </row>
    <row r="682">
      <c r="A682" s="330"/>
    </row>
    <row r="683">
      <c r="A683" s="330"/>
    </row>
    <row r="684">
      <c r="A684" s="330"/>
    </row>
    <row r="685">
      <c r="A685" s="343" t="str">
        <f>IFERROR(__xludf.DUMMYFUNCTION("""COMPUTED_VALUE"""),"2526SEABRAGIO15.Y")</f>
        <v>2526SEABRAGIO15.Y</v>
      </c>
    </row>
    <row r="686">
      <c r="A686" s="330"/>
    </row>
    <row r="687">
      <c r="A687" s="330"/>
    </row>
    <row r="688">
      <c r="A688" s="330"/>
    </row>
    <row r="689">
      <c r="A689" s="343" t="str">
        <f>IFERROR(__xludf.DUMMYFUNCTION("""COMPUTED_VALUE"""),"2526MAMACITAGIO16.Y")</f>
        <v>2526MAMACITAGIO16.Y</v>
      </c>
    </row>
    <row r="690">
      <c r="A690" s="330"/>
    </row>
    <row r="691">
      <c r="A691" s="330"/>
    </row>
    <row r="692">
      <c r="A692" s="343" t="str">
        <f>IFERROR(__xludf.DUMMYFUNCTION("""COMPUTED_VALUE"""),"2526SEABRAGIO16.Y")</f>
        <v>2526SEABRAGIO16.Y</v>
      </c>
    </row>
    <row r="693">
      <c r="A693" s="330"/>
    </row>
    <row r="694">
      <c r="A694" s="330"/>
    </row>
    <row r="695">
      <c r="A695" s="330"/>
    </row>
    <row r="696">
      <c r="A696" s="330"/>
    </row>
    <row r="697">
      <c r="A697" s="343" t="str">
        <f>IFERROR(__xludf.DUMMYFUNCTION("""COMPUTED_VALUE"""),"2526DICARLOGIO16.B")</f>
        <v>2526DICARLOGIO16.B</v>
      </c>
    </row>
    <row r="698">
      <c r="A698" s="330"/>
    </row>
    <row r="699">
      <c r="A699" s="330"/>
    </row>
    <row r="700">
      <c r="A700" s="330"/>
    </row>
    <row r="701">
      <c r="A701" s="330"/>
    </row>
    <row r="702">
      <c r="A702" s="343" t="str">
        <f>IFERROR(__xludf.DUMMYFUNCTION("""COMPUTED_VALUE"""),"2526MARINOGIO17.B")</f>
        <v>2526MARINOGIO17.B</v>
      </c>
    </row>
    <row r="703">
      <c r="A703" s="343" t="str">
        <f>IFERROR(__xludf.DUMMYFUNCTION("""COMPUTED_VALUE"""),"2526GARIANOGIO17.B")</f>
        <v>2526GARIANOGIO17.B</v>
      </c>
    </row>
    <row r="704">
      <c r="A704" s="330"/>
    </row>
    <row r="705">
      <c r="A705" s="343" t="str">
        <f>IFERROR(__xludf.DUMMYFUNCTION("""COMPUTED_VALUE"""),"2526CRUZGIO17.F")</f>
        <v>2526CRUZGIO17.F</v>
      </c>
    </row>
    <row r="706">
      <c r="A706" s="330"/>
    </row>
    <row r="707">
      <c r="A707" s="343" t="str">
        <f>IFERROR(__xludf.DUMMYFUNCTION("""COMPUTED_VALUE"""),"2526ROBERTIGIO17.B")</f>
        <v>2526ROBERTIGIO17.B</v>
      </c>
    </row>
    <row r="708">
      <c r="A708" s="343" t="str">
        <f>IFERROR(__xludf.DUMMYFUNCTION("""COMPUTED_VALUE"""),"2526MIRAMGIO17.B")</f>
        <v>2526MIRAMGIO17.B</v>
      </c>
    </row>
    <row r="709">
      <c r="A709" s="343" t="str">
        <f>IFERROR(__xludf.DUMMYFUNCTION("""COMPUTED_VALUE"""),"2526DICARLOGIO17.B")</f>
        <v>2526DICARLOGIO17.B</v>
      </c>
    </row>
    <row r="710">
      <c r="A710" s="343" t="str">
        <f>IFERROR(__xludf.DUMMYFUNCTION("""COMPUTED_VALUE"""),"2526SETTIGIO18.F")</f>
        <v>2526SETTIGIO18.F</v>
      </c>
    </row>
    <row r="711">
      <c r="A711" s="343" t="str">
        <f>IFERROR(__xludf.DUMMYFUNCTION("""COMPUTED_VALUE"""),"2526ALMEIDAGIO18.F")</f>
        <v>2526ALMEIDAGIO18.F</v>
      </c>
    </row>
    <row r="712">
      <c r="A712" s="330"/>
    </row>
    <row r="713">
      <c r="A713" s="343" t="str">
        <f>IFERROR(__xludf.DUMMYFUNCTION("""COMPUTED_VALUE"""),"2526ANAHITAGIO18.D")</f>
        <v>2526ANAHITAGIO18.D</v>
      </c>
    </row>
    <row r="714">
      <c r="A714" s="343" t="str">
        <f>IFERROR(__xludf.DUMMYFUNCTION("""COMPUTED_VALUE"""),"2526MARINOGIO18.B")</f>
        <v>2526MARINOGIO18.B</v>
      </c>
    </row>
    <row r="715">
      <c r="A715" s="343" t="str">
        <f>IFERROR(__xludf.DUMMYFUNCTION("""COMPUTED_VALUE"""),"2526GARIANOGIO18.D")</f>
        <v>2526GARIANOGIO18.D</v>
      </c>
    </row>
    <row r="716">
      <c r="A716" s="343" t="str">
        <f>IFERROR(__xludf.DUMMYFUNCTION("""COMPUTED_VALUE"""),"2526FRANZINIGIO18.F")</f>
        <v>2526FRANZINIGIO18.F</v>
      </c>
    </row>
    <row r="717">
      <c r="A717" s="343" t="str">
        <f>IFERROR(__xludf.DUMMYFUNCTION("""COMPUTED_VALUE"""),"2526CRUZGIO18.F")</f>
        <v>2526CRUZGIO18.F</v>
      </c>
    </row>
    <row r="718">
      <c r="A718" s="343" t="str">
        <f>IFERROR(__xludf.DUMMYFUNCTION("""COMPUTED_VALUE"""),"2526CONTIGIO18.A")</f>
        <v>2526CONTIGIO18.A</v>
      </c>
    </row>
    <row r="719">
      <c r="A719" s="343" t="str">
        <f>IFERROR(__xludf.DUMMYFUNCTION("""COMPUTED_VALUE"""),"2526ROBERTIGIO18.B")</f>
        <v>2526ROBERTIGIO18.B</v>
      </c>
    </row>
    <row r="720">
      <c r="A720" s="343" t="str">
        <f>IFERROR(__xludf.DUMMYFUNCTION("""COMPUTED_VALUE"""),"2526MIRAMGIO18.D")</f>
        <v>2526MIRAMGIO18.D</v>
      </c>
    </row>
    <row r="721">
      <c r="A721" s="343" t="str">
        <f>IFERROR(__xludf.DUMMYFUNCTION("""COMPUTED_VALUE"""),"2526DICARLOGIO18.B")</f>
        <v>2526DICARLOGIO18.B</v>
      </c>
    </row>
    <row r="722">
      <c r="A722" s="343" t="str">
        <f>IFERROR(__xludf.DUMMYFUNCTION("""COMPUTED_VALUE"""),"2526BELLAYGIO19.F")</f>
        <v>2526BELLAYGIO19.F</v>
      </c>
    </row>
    <row r="723">
      <c r="A723" s="343" t="str">
        <f>IFERROR(__xludf.DUMMYFUNCTION("""COMPUTED_VALUE"""),"2526ALMEIDAGIO19.F")</f>
        <v>2526ALMEIDAGIO19.F</v>
      </c>
    </row>
    <row r="724">
      <c r="A724" s="330"/>
    </row>
    <row r="725">
      <c r="A725" s="343" t="str">
        <f>IFERROR(__xludf.DUMMYFUNCTION("""COMPUTED_VALUE"""),"2526GARIANOGIO19.D")</f>
        <v>2526GARIANOGIO19.D</v>
      </c>
    </row>
    <row r="726">
      <c r="A726" s="343" t="str">
        <f>IFERROR(__xludf.DUMMYFUNCTION("""COMPUTED_VALUE"""),"2526PUGGIONIGIO19.A")</f>
        <v>2526PUGGIONIGIO19.A</v>
      </c>
    </row>
    <row r="727">
      <c r="A727" s="343" t="str">
        <f>IFERROR(__xludf.DUMMYFUNCTION("""COMPUTED_VALUE"""),"2526CUGGEGIO19.C")</f>
        <v>2526CUGGEGIO19.C</v>
      </c>
    </row>
    <row r="728">
      <c r="A728" s="343" t="str">
        <f>IFERROR(__xludf.DUMMYFUNCTION("""COMPUTED_VALUE"""),"2526ANAHITAGIO19.D")</f>
        <v>2526ANAHITAGIO19.D</v>
      </c>
    </row>
    <row r="729">
      <c r="A729" s="343" t="str">
        <f>IFERROR(__xludf.DUMMYFUNCTION("""COMPUTED_VALUE"""),"2526NEMBRIGIO19.C")</f>
        <v>2526NEMBRIGIO19.C</v>
      </c>
    </row>
    <row r="730">
      <c r="A730" s="343" t="str">
        <f>IFERROR(__xludf.DUMMYFUNCTION("""COMPUTED_VALUE"""),"2526CONTIGIO19.A")</f>
        <v>2526CONTIGIO19.A</v>
      </c>
    </row>
    <row r="731">
      <c r="A731" s="343" t="str">
        <f>IFERROR(__xludf.DUMMYFUNCTION("""COMPUTED_VALUE"""),"2526CRUZGIO19.F")</f>
        <v>2526CRUZGIO19.F</v>
      </c>
    </row>
    <row r="732">
      <c r="A732" s="343" t="str">
        <f>IFERROR(__xludf.DUMMYFUNCTION("""COMPUTED_VALUE"""),"2526MIRAMGIO19.D")</f>
        <v>2526MIRAMGIO19.D</v>
      </c>
    </row>
    <row r="733">
      <c r="A733" s="343" t="str">
        <f>IFERROR(__xludf.DUMMYFUNCTION("""COMPUTED_VALUE"""),"2526DICARLOGIO19.D")</f>
        <v>2526DICARLOGIO19.D</v>
      </c>
    </row>
    <row r="734">
      <c r="A734" s="343" t="str">
        <f>IFERROR(__xludf.DUMMYFUNCTION("""COMPUTED_VALUE"""),"2526BELLAYGIO20.F")</f>
        <v>2526BELLAYGIO20.F</v>
      </c>
    </row>
    <row r="735">
      <c r="A735" s="330"/>
    </row>
    <row r="736">
      <c r="A736" s="330"/>
    </row>
    <row r="737">
      <c r="A737" s="343" t="str">
        <f>IFERROR(__xludf.DUMMYFUNCTION("""COMPUTED_VALUE"""),"2526LUISETTOGIO20.C")</f>
        <v>2526LUISETTOGIO20.C</v>
      </c>
    </row>
    <row r="738">
      <c r="A738" s="343" t="str">
        <f>IFERROR(__xludf.DUMMYFUNCTION("""COMPUTED_VALUE"""),"2526PUGGIONIGIO20.A")</f>
        <v>2526PUGGIONIGIO20.A</v>
      </c>
    </row>
    <row r="739">
      <c r="A739" s="343" t="str">
        <f>IFERROR(__xludf.DUMMYFUNCTION("""COMPUTED_VALUE"""),"2526CUGGEGIO20.C")</f>
        <v>2526CUGGEGIO20.C</v>
      </c>
    </row>
    <row r="740">
      <c r="A740" s="343" t="str">
        <f>IFERROR(__xludf.DUMMYFUNCTION("""COMPUTED_VALUE"""),"2526MELEGIO20.C")</f>
        <v>2526MELEGIO20.C</v>
      </c>
    </row>
    <row r="741">
      <c r="A741" s="343" t="str">
        <f>IFERROR(__xludf.DUMMYFUNCTION("""COMPUTED_VALUE"""),"2526NEMBRIGIO20.C")</f>
        <v>2526NEMBRIGIO20.C</v>
      </c>
    </row>
    <row r="742">
      <c r="A742" s="343" t="str">
        <f>IFERROR(__xludf.DUMMYFUNCTION("""COMPUTED_VALUE"""),"2526CONTIGIO20.A")</f>
        <v>2526CONTIGIO20.A</v>
      </c>
    </row>
    <row r="743">
      <c r="A743" s="343" t="str">
        <f>IFERROR(__xludf.DUMMYFUNCTION("""COMPUTED_VALUE"""),"2526LOMBARDIGIO20.C")</f>
        <v>2526LOMBARDIGIO20.C</v>
      </c>
    </row>
    <row r="744">
      <c r="A744" s="343" t="str">
        <f>IFERROR(__xludf.DUMMYFUNCTION("""COMPUTED_VALUE"""),"2526CRUZGIO20.D")</f>
        <v>2526CRUZGIO20.D</v>
      </c>
    </row>
    <row r="745">
      <c r="A745" s="343" t="str">
        <f>IFERROR(__xludf.DUMMYFUNCTION("""COMPUTED_VALUE"""),"2526SARACCHIGIO20.C")</f>
        <v>2526SARACCHIGIO20.C</v>
      </c>
    </row>
    <row r="746">
      <c r="A746" s="330"/>
    </row>
    <row r="747">
      <c r="A747" s="330"/>
    </row>
    <row r="748">
      <c r="A748" s="330"/>
    </row>
    <row r="749">
      <c r="A749" s="343" t="str">
        <f>IFERROR(__xludf.DUMMYFUNCTION("""COMPUTED_VALUE"""),"2526LUISETTOGIO21.C")</f>
        <v>2526LUISETTOGIO21.C</v>
      </c>
    </row>
    <row r="750">
      <c r="A750" s="343" t="str">
        <f>IFERROR(__xludf.DUMMYFUNCTION("""COMPUTED_VALUE"""),"2526PUGGIONIGIO21.A")</f>
        <v>2526PUGGIONIGIO21.A</v>
      </c>
    </row>
    <row r="751">
      <c r="A751" s="343" t="str">
        <f>IFERROR(__xludf.DUMMYFUNCTION("""COMPUTED_VALUE"""),"2526CUGGEGIO21.C")</f>
        <v>2526CUGGEGIO21.C</v>
      </c>
    </row>
    <row r="752">
      <c r="A752" s="343" t="str">
        <f>IFERROR(__xludf.DUMMYFUNCTION("""COMPUTED_VALUE"""),"2526MELEGIO21.C")</f>
        <v>2526MELEGIO21.C</v>
      </c>
    </row>
    <row r="753">
      <c r="A753" s="343" t="str">
        <f>IFERROR(__xludf.DUMMYFUNCTION("""COMPUTED_VALUE"""),"2526NEMBRIGIO21.C")</f>
        <v>2526NEMBRIGIO21.C</v>
      </c>
    </row>
    <row r="754">
      <c r="A754" s="343" t="str">
        <f>IFERROR(__xludf.DUMMYFUNCTION("""COMPUTED_VALUE"""),"2526CONTIGIO21.A")</f>
        <v>2526CONTIGIO21.A</v>
      </c>
    </row>
    <row r="755">
      <c r="A755" s="343" t="str">
        <f>IFERROR(__xludf.DUMMYFUNCTION("""COMPUTED_VALUE"""),"2526LOMBARDIGIO21.C")</f>
        <v>2526LOMBARDIGIO21.C</v>
      </c>
    </row>
    <row r="756">
      <c r="A756" s="343" t="str">
        <f>IFERROR(__xludf.DUMMYFUNCTION("""COMPUTED_VALUE"""),"2526SETTIGIO21.C")</f>
        <v>2526SETTIGIO21.C</v>
      </c>
    </row>
    <row r="757">
      <c r="A757" s="343" t="str">
        <f>IFERROR(__xludf.DUMMYFUNCTION("""COMPUTED_VALUE"""),"2526SARACCHIGIO21.C")</f>
        <v>2526SARACCHIGIO21.C</v>
      </c>
    </row>
    <row r="758">
      <c r="A758" s="330"/>
    </row>
    <row r="759">
      <c r="A759" s="330"/>
    </row>
    <row r="760">
      <c r="A760" s="330"/>
    </row>
    <row r="761">
      <c r="A761" s="330"/>
    </row>
    <row r="762">
      <c r="A762" s="330"/>
    </row>
    <row r="763">
      <c r="A763" s="330"/>
    </row>
    <row r="764">
      <c r="A764" s="330"/>
    </row>
    <row r="765">
      <c r="A765" s="330"/>
    </row>
    <row r="766">
      <c r="A766" s="330"/>
    </row>
    <row r="767">
      <c r="A767" s="330"/>
    </row>
    <row r="768">
      <c r="A768" s="330"/>
    </row>
    <row r="769">
      <c r="A769" s="330"/>
    </row>
    <row r="770">
      <c r="A770" s="330"/>
    </row>
    <row r="771">
      <c r="A771" s="330"/>
    </row>
    <row r="772">
      <c r="A772" s="330"/>
    </row>
    <row r="773">
      <c r="A773" s="330"/>
    </row>
    <row r="774">
      <c r="A774" s="330"/>
    </row>
    <row r="775">
      <c r="A775" s="330"/>
    </row>
    <row r="776">
      <c r="A776" s="330"/>
    </row>
    <row r="777">
      <c r="A777" s="330"/>
    </row>
    <row r="778">
      <c r="A778" s="330"/>
    </row>
    <row r="779">
      <c r="A779" s="330"/>
    </row>
    <row r="780">
      <c r="A780" s="330"/>
    </row>
    <row r="781">
      <c r="A781" s="330"/>
    </row>
    <row r="782">
      <c r="A782" s="330"/>
    </row>
    <row r="783">
      <c r="A783" s="330"/>
    </row>
    <row r="784">
      <c r="A784" s="330"/>
    </row>
    <row r="785">
      <c r="A785" s="330"/>
    </row>
    <row r="786">
      <c r="A786" s="330"/>
    </row>
    <row r="787">
      <c r="A787" s="330"/>
    </row>
    <row r="788">
      <c r="A788" s="330"/>
    </row>
    <row r="789">
      <c r="A789" s="330"/>
    </row>
    <row r="790">
      <c r="A790" s="330"/>
    </row>
    <row r="791">
      <c r="A791" s="330"/>
    </row>
    <row r="792">
      <c r="A792" s="330"/>
    </row>
    <row r="793">
      <c r="A793" s="330"/>
    </row>
    <row r="794">
      <c r="A794" s="330"/>
    </row>
    <row r="795">
      <c r="A795" s="330"/>
    </row>
    <row r="796">
      <c r="A796" s="330"/>
    </row>
    <row r="797">
      <c r="A797" s="330"/>
    </row>
    <row r="798">
      <c r="A798" s="330"/>
    </row>
    <row r="799">
      <c r="A799" s="330"/>
    </row>
    <row r="800">
      <c r="A800" s="330"/>
    </row>
    <row r="801">
      <c r="A801" s="330"/>
    </row>
    <row r="802">
      <c r="A802" s="330"/>
    </row>
    <row r="803">
      <c r="A803" s="330"/>
    </row>
    <row r="804">
      <c r="A804" s="343" t="str">
        <f>IFERROR(__xludf.DUMMYFUNCTION("""COMPUTED_VALUE"""),"2526MODULOVEN09.Y")</f>
        <v>2526MODULOVEN09.Y</v>
      </c>
    </row>
    <row r="805">
      <c r="A805" s="343" t="str">
        <f>IFERROR(__xludf.DUMMYFUNCTION("""COMPUTED_VALUE"""),"2526SEABRAVEN09.Y")</f>
        <v>2526SEABRAVEN09.Y</v>
      </c>
    </row>
    <row r="806">
      <c r="A806" s="330"/>
    </row>
    <row r="807">
      <c r="A807" s="330"/>
    </row>
    <row r="808">
      <c r="A808" s="330"/>
    </row>
    <row r="809">
      <c r="A809" s="344" t="str">
        <f>IFERROR(__xludf.DUMMYFUNCTION("""COMPUTED_VALUE"""),"2526CRUZVEN10.F")</f>
        <v>2526CRUZVEN10.F</v>
      </c>
    </row>
    <row r="810">
      <c r="A810" s="330"/>
    </row>
    <row r="811">
      <c r="A811" s="330"/>
    </row>
    <row r="812">
      <c r="A812" s="330"/>
    </row>
    <row r="813">
      <c r="A813" s="330"/>
    </row>
    <row r="814">
      <c r="A814" s="330"/>
    </row>
    <row r="815">
      <c r="A815" s="330"/>
    </row>
    <row r="816">
      <c r="A816" s="343" t="str">
        <f>IFERROR(__xludf.DUMMYFUNCTION("""COMPUTED_VALUE"""),"2526MODULOVEN10.Y")</f>
        <v>2526MODULOVEN10.Y</v>
      </c>
    </row>
    <row r="817">
      <c r="A817" s="343" t="str">
        <f>IFERROR(__xludf.DUMMYFUNCTION("""COMPUTED_VALUE"""),"2526SEABRAVEN10.Y")</f>
        <v>2526SEABRAVEN10.Y</v>
      </c>
    </row>
    <row r="818">
      <c r="A818" s="330"/>
    </row>
    <row r="819">
      <c r="A819" s="330"/>
    </row>
    <row r="820">
      <c r="A820" s="330"/>
    </row>
    <row r="821">
      <c r="A821" s="344" t="str">
        <f>IFERROR(__xludf.DUMMYFUNCTION("""COMPUTED_VALUE"""),"2526CRUZVEN11.F")</f>
        <v>2526CRUZVEN11.F</v>
      </c>
    </row>
    <row r="822">
      <c r="A822" s="330"/>
    </row>
    <row r="823">
      <c r="A823" s="330"/>
    </row>
    <row r="824">
      <c r="A824" s="330"/>
    </row>
    <row r="825">
      <c r="A825" s="330"/>
    </row>
    <row r="826">
      <c r="A826" s="330"/>
    </row>
    <row r="827">
      <c r="A827" s="330"/>
    </row>
    <row r="828">
      <c r="A828" s="343" t="str">
        <f>IFERROR(__xludf.DUMMYFUNCTION("""COMPUTED_VALUE"""),"2526MODULOVEN11.Y")</f>
        <v>2526MODULOVEN11.Y</v>
      </c>
    </row>
    <row r="829">
      <c r="A829" s="343" t="str">
        <f>IFERROR(__xludf.DUMMYFUNCTION("""COMPUTED_VALUE"""),"2526SEABRAVEN11.Y")</f>
        <v>2526SEABRAVEN11.Y</v>
      </c>
    </row>
    <row r="830">
      <c r="A830" s="330"/>
    </row>
    <row r="831">
      <c r="A831" s="330"/>
    </row>
    <row r="832">
      <c r="A832" s="330"/>
    </row>
    <row r="833">
      <c r="A833" s="344" t="str">
        <f>IFERROR(__xludf.DUMMYFUNCTION("""COMPUTED_VALUE"""),"2526CRUZVEN12.F")</f>
        <v>2526CRUZVEN12.F</v>
      </c>
    </row>
    <row r="834">
      <c r="A834" s="330"/>
    </row>
    <row r="835">
      <c r="A835" s="330"/>
    </row>
    <row r="836">
      <c r="A836" s="330"/>
    </row>
    <row r="837">
      <c r="A837" s="344" t="str">
        <f>IFERROR(__xludf.DUMMYFUNCTION("""COMPUTED_VALUE"""),"2526KUQIVEN12.F")</f>
        <v>2526KUQIVEN12.F</v>
      </c>
    </row>
    <row r="838">
      <c r="A838" s="343" t="str">
        <f>IFERROR(__xludf.DUMMYFUNCTION("""COMPUTED_VALUE"""),"2526FILLYVEN12.Y")</f>
        <v>2526FILLYVEN12.Y</v>
      </c>
    </row>
    <row r="839">
      <c r="A839" s="330"/>
    </row>
    <row r="840">
      <c r="A840" s="330"/>
    </row>
    <row r="841">
      <c r="A841" s="343" t="str">
        <f>IFERROR(__xludf.DUMMYFUNCTION("""COMPUTED_VALUE"""),"2526SEABRAVEN12.Y")</f>
        <v>2526SEABRAVEN12.Y</v>
      </c>
    </row>
    <row r="842">
      <c r="A842" s="330"/>
    </row>
    <row r="843">
      <c r="A843" s="330"/>
    </row>
    <row r="844">
      <c r="A844" s="330"/>
    </row>
    <row r="845">
      <c r="A845" s="344" t="str">
        <f>IFERROR(__xludf.DUMMYFUNCTION("""COMPUTED_VALUE"""),"2526CRUZVEN13.F")</f>
        <v>2526CRUZVEN13.F</v>
      </c>
    </row>
    <row r="846">
      <c r="A846" s="330"/>
    </row>
    <row r="847">
      <c r="A847" s="330"/>
    </row>
    <row r="848">
      <c r="A848" s="344" t="str">
        <f>IFERROR(__xludf.DUMMYFUNCTION("""COMPUTED_VALUE"""),"2526GRANDEVEN13.D")</f>
        <v>2526GRANDEVEN13.D</v>
      </c>
    </row>
    <row r="849">
      <c r="A849" s="344" t="str">
        <f>IFERROR(__xludf.DUMMYFUNCTION("""COMPUTED_VALUE"""),"2526KUQIVEN13.F")</f>
        <v>2526KUQIVEN13.F</v>
      </c>
    </row>
    <row r="850">
      <c r="A850" s="343" t="str">
        <f>IFERROR(__xludf.DUMMYFUNCTION("""COMPUTED_VALUE"""),"2526FILLYVEN13.Y")</f>
        <v>2526FILLYVEN13.Y</v>
      </c>
    </row>
    <row r="851">
      <c r="A851" s="330"/>
    </row>
    <row r="852">
      <c r="A852" s="330"/>
    </row>
    <row r="853">
      <c r="A853" s="343" t="str">
        <f>IFERROR(__xludf.DUMMYFUNCTION("""COMPUTED_VALUE"""),"2526SEABRAVEN13.Y")</f>
        <v>2526SEABRAVEN13.Y</v>
      </c>
    </row>
    <row r="854">
      <c r="A854" s="330"/>
    </row>
    <row r="855">
      <c r="A855" s="330"/>
    </row>
    <row r="856">
      <c r="A856" s="330"/>
    </row>
    <row r="857">
      <c r="A857" s="330"/>
    </row>
    <row r="858">
      <c r="A858" s="330"/>
    </row>
    <row r="859">
      <c r="A859" s="330"/>
    </row>
    <row r="860">
      <c r="A860" s="330"/>
    </row>
    <row r="861">
      <c r="A861" s="330"/>
    </row>
    <row r="862">
      <c r="A862" s="330"/>
    </row>
    <row r="863">
      <c r="A863" s="330"/>
    </row>
    <row r="864">
      <c r="A864" s="330"/>
    </row>
    <row r="865">
      <c r="A865" s="343" t="str">
        <f>IFERROR(__xludf.DUMMYFUNCTION("""COMPUTED_VALUE"""),"2526SEABRAVEN14.Y")</f>
        <v>2526SEABRAVEN14.Y</v>
      </c>
    </row>
    <row r="866">
      <c r="A866" s="330"/>
    </row>
    <row r="867">
      <c r="A867" s="330"/>
    </row>
    <row r="868">
      <c r="A868" s="330"/>
    </row>
    <row r="869">
      <c r="A869" s="330"/>
    </row>
    <row r="870">
      <c r="A870" s="330"/>
    </row>
    <row r="871">
      <c r="A871" s="330"/>
    </row>
    <row r="872">
      <c r="A872" s="344" t="str">
        <f>IFERROR(__xludf.DUMMYFUNCTION("""COMPUTED_VALUE"""),"2526GRANDEVEN15.D")</f>
        <v>2526GRANDEVEN15.D</v>
      </c>
    </row>
    <row r="873">
      <c r="A873" s="330"/>
    </row>
    <row r="874">
      <c r="A874" s="330"/>
    </row>
    <row r="875">
      <c r="A875" s="330"/>
    </row>
    <row r="876">
      <c r="A876" s="330"/>
    </row>
    <row r="877">
      <c r="A877" s="343" t="str">
        <f>IFERROR(__xludf.DUMMYFUNCTION("""COMPUTED_VALUE"""),"2526SEABRAVEN15.Y")</f>
        <v>2526SEABRAVEN15.Y</v>
      </c>
    </row>
    <row r="878">
      <c r="A878" s="330"/>
    </row>
    <row r="879">
      <c r="A879" s="330"/>
    </row>
    <row r="880">
      <c r="A880" s="330"/>
    </row>
    <row r="881">
      <c r="A881" s="330"/>
    </row>
    <row r="882">
      <c r="A882" s="330"/>
    </row>
    <row r="883">
      <c r="A883" s="330"/>
    </row>
    <row r="884">
      <c r="A884" s="344" t="str">
        <f>IFERROR(__xludf.DUMMYFUNCTION("""COMPUTED_VALUE"""),"2526GRANDEVEN16.D")</f>
        <v>2526GRANDEVEN16.D</v>
      </c>
    </row>
    <row r="885">
      <c r="A885" s="330"/>
    </row>
    <row r="886">
      <c r="A886" s="330"/>
    </row>
    <row r="887">
      <c r="A887" s="330"/>
    </row>
    <row r="888">
      <c r="A888" s="330"/>
    </row>
    <row r="889">
      <c r="A889" s="343" t="str">
        <f>IFERROR(__xludf.DUMMYFUNCTION("""COMPUTED_VALUE"""),"2526SEABRAVEN16.Y")</f>
        <v>2526SEABRAVEN16.Y</v>
      </c>
    </row>
    <row r="890">
      <c r="A890" s="330"/>
    </row>
    <row r="891">
      <c r="A891" s="330"/>
    </row>
    <row r="892">
      <c r="A892" s="330"/>
    </row>
    <row r="893">
      <c r="A893" s="330"/>
    </row>
    <row r="894">
      <c r="A894" s="344" t="str">
        <f>IFERROR(__xludf.DUMMYFUNCTION("""COMPUTED_VALUE"""),"2526MARINOVEN17.B")</f>
        <v>2526MARINOVEN17.B</v>
      </c>
    </row>
    <row r="895">
      <c r="A895" s="330"/>
    </row>
    <row r="896">
      <c r="A896" s="330"/>
    </row>
    <row r="897">
      <c r="A897" s="330"/>
    </row>
    <row r="898">
      <c r="A898" s="330"/>
    </row>
    <row r="899">
      <c r="A899" s="344" t="str">
        <f>IFERROR(__xludf.DUMMYFUNCTION("""COMPUTED_VALUE"""),"2526ANAHITAVEN17.B")</f>
        <v>2526ANAHITAVEN17.B</v>
      </c>
    </row>
    <row r="900">
      <c r="A900" s="330"/>
    </row>
    <row r="901">
      <c r="A901" s="344" t="str">
        <f>IFERROR(__xludf.DUMMYFUNCTION("""COMPUTED_VALUE"""),"2526GRANDEVEN17.B")</f>
        <v>2526GRANDEVEN17.B</v>
      </c>
    </row>
    <row r="902">
      <c r="A902" s="344" t="str">
        <f>IFERROR(__xludf.DUMMYFUNCTION("""COMPUTED_VALUE"""),"2526SETTIVEN18.F")</f>
        <v>2526SETTIVEN18.F</v>
      </c>
    </row>
    <row r="903">
      <c r="A903" s="330"/>
    </row>
    <row r="904">
      <c r="A904" s="330"/>
    </row>
    <row r="905">
      <c r="A905" s="344" t="str">
        <f>IFERROR(__xludf.DUMMYFUNCTION("""COMPUTED_VALUE"""),"2526VASSALLOVEN18.F")</f>
        <v>2526VASSALLOVEN18.F</v>
      </c>
    </row>
    <row r="906">
      <c r="A906" s="344" t="str">
        <f>IFERROR(__xludf.DUMMYFUNCTION("""COMPUTED_VALUE"""),"2526MARINOVEN18.B")</f>
        <v>2526MARINOVEN18.B</v>
      </c>
    </row>
    <row r="907">
      <c r="A907" s="344" t="str">
        <f>IFERROR(__xludf.DUMMYFUNCTION("""COMPUTED_VALUE"""),"2526FERGIEVEN18.D")</f>
        <v>2526FERGIEVEN18.D</v>
      </c>
    </row>
    <row r="908">
      <c r="A908" s="344" t="str">
        <f>IFERROR(__xludf.DUMMYFUNCTION("""COMPUTED_VALUE"""),"2526FRANZINIVEN18.F")</f>
        <v>2526FRANZINIVEN18.F</v>
      </c>
    </row>
    <row r="909">
      <c r="A909" s="344" t="str">
        <f>IFERROR(__xludf.DUMMYFUNCTION("""COMPUTED_VALUE"""),"2526ANAHITAVEN18.D")</f>
        <v>2526ANAHITAVEN18.D</v>
      </c>
    </row>
    <row r="910">
      <c r="A910" s="344" t="str">
        <f>IFERROR(__xludf.DUMMYFUNCTION("""COMPUTED_VALUE"""),"2526TIUTINAVEN18.A")</f>
        <v>2526TIUTINAVEN18.A</v>
      </c>
    </row>
    <row r="911">
      <c r="A911" s="344" t="str">
        <f>IFERROR(__xludf.DUMMYFUNCTION("""COMPUTED_VALUE"""),"2526CRUZVEN18.F")</f>
        <v>2526CRUZVEN18.F</v>
      </c>
    </row>
    <row r="912">
      <c r="A912" s="344" t="str">
        <f>IFERROR(__xludf.DUMMYFUNCTION("""COMPUTED_VALUE"""),"2526GEDDOVEN18.D")</f>
        <v>2526GEDDOVEN18.D</v>
      </c>
    </row>
    <row r="913">
      <c r="A913" s="344" t="str">
        <f>IFERROR(__xludf.DUMMYFUNCTION("""COMPUTED_VALUE"""),"2526GRANDEVEN18.B")</f>
        <v>2526GRANDEVEN18.B</v>
      </c>
    </row>
    <row r="914">
      <c r="A914" s="344" t="str">
        <f>IFERROR(__xludf.DUMMYFUNCTION("""COMPUTED_VALUE"""),"2526SETTIVEN19.F")</f>
        <v>2526SETTIVEN19.F</v>
      </c>
    </row>
    <row r="915">
      <c r="A915" s="330"/>
    </row>
    <row r="916">
      <c r="A916" s="330"/>
    </row>
    <row r="917">
      <c r="A917" s="344" t="str">
        <f>IFERROR(__xludf.DUMMYFUNCTION("""COMPUTED_VALUE"""),"2526FERGIEVEN19.D")</f>
        <v>2526FERGIEVEN19.D</v>
      </c>
    </row>
    <row r="918">
      <c r="A918" s="344" t="str">
        <f>IFERROR(__xludf.DUMMYFUNCTION("""COMPUTED_VALUE"""),"2526BONNIVEN19.C")</f>
        <v>2526BONNIVEN19.C</v>
      </c>
    </row>
    <row r="919">
      <c r="A919" s="344" t="str">
        <f>IFERROR(__xludf.DUMMYFUNCTION("""COMPUTED_VALUE"""),"2526NEMBRIVEN19.C")</f>
        <v>2526NEMBRIVEN19.C</v>
      </c>
    </row>
    <row r="920">
      <c r="A920" s="344" t="str">
        <f>IFERROR(__xludf.DUMMYFUNCTION("""COMPUTED_VALUE"""),"2526VASSALLOVEN19.F")</f>
        <v>2526VASSALLOVEN19.F</v>
      </c>
    </row>
    <row r="921">
      <c r="A921" s="344" t="str">
        <f>IFERROR(__xludf.DUMMYFUNCTION("""COMPUTED_VALUE"""),"2526ANAHITAVEN19.D")</f>
        <v>2526ANAHITAVEN19.D</v>
      </c>
    </row>
    <row r="922">
      <c r="A922" s="344" t="str">
        <f>IFERROR(__xludf.DUMMYFUNCTION("""COMPUTED_VALUE"""),"2526TIUTINAVEN19.A")</f>
        <v>2526TIUTINAVEN19.A</v>
      </c>
    </row>
    <row r="923">
      <c r="A923" s="344" t="str">
        <f>IFERROR(__xludf.DUMMYFUNCTION("""COMPUTED_VALUE"""),"2526BLUEVEN19.D")</f>
        <v>2526BLUEVEN19.D</v>
      </c>
    </row>
    <row r="924">
      <c r="A924" s="344" t="str">
        <f>IFERROR(__xludf.DUMMYFUNCTION("""COMPUTED_VALUE"""),"2526CRUZVEN19.D")</f>
        <v>2526CRUZVEN19.D</v>
      </c>
    </row>
    <row r="925">
      <c r="A925" s="344" t="str">
        <f>IFERROR(__xludf.DUMMYFUNCTION("""COMPUTED_VALUE"""),"2526GRANDEVEN19.D")</f>
        <v>2526GRANDEVEN19.D</v>
      </c>
    </row>
    <row r="926">
      <c r="A926" s="330"/>
    </row>
    <row r="927">
      <c r="A927" s="330"/>
    </row>
    <row r="928">
      <c r="A928" s="330"/>
    </row>
    <row r="929">
      <c r="A929" s="344" t="str">
        <f>IFERROR(__xludf.DUMMYFUNCTION("""COMPUTED_VALUE"""),"2526FERGIEVEN20.D")</f>
        <v>2526FERGIEVEN20.D</v>
      </c>
    </row>
    <row r="930">
      <c r="A930" s="344" t="str">
        <f>IFERROR(__xludf.DUMMYFUNCTION("""COMPUTED_VALUE"""),"2526NEMBRIVEN20.C")</f>
        <v>2526NEMBRIVEN20.C</v>
      </c>
    </row>
    <row r="931">
      <c r="A931" s="344" t="str">
        <f>IFERROR(__xludf.DUMMYFUNCTION("""COMPUTED_VALUE"""),"2526BONNIVEN20.C")</f>
        <v>2526BONNIVEN20.C</v>
      </c>
    </row>
    <row r="932">
      <c r="A932" s="330"/>
    </row>
    <row r="933">
      <c r="A933" s="344" t="str">
        <f>IFERROR(__xludf.DUMMYFUNCTION("""COMPUTED_VALUE"""),"2526DUTTAVEN20.D")</f>
        <v>2526DUTTAVEN20.D</v>
      </c>
    </row>
    <row r="934">
      <c r="A934" s="344" t="str">
        <f>IFERROR(__xludf.DUMMYFUNCTION("""COMPUTED_VALUE"""),"2526TIUTINAVEN20.A")</f>
        <v>2526TIUTINAVEN20.A</v>
      </c>
    </row>
    <row r="935">
      <c r="A935" s="344" t="str">
        <f>IFERROR(__xludf.DUMMYFUNCTION("""COMPUTED_VALUE"""),"2526MAGARROVEN20.D")</f>
        <v>2526MAGARROVEN20.D</v>
      </c>
    </row>
    <row r="936">
      <c r="A936" s="344" t="str">
        <f>IFERROR(__xludf.DUMMYFUNCTION("""COMPUTED_VALUE"""),"2526ANAHITAVEN20.D")</f>
        <v>2526ANAHITAVEN20.D</v>
      </c>
    </row>
    <row r="937">
      <c r="A937" s="344" t="str">
        <f>IFERROR(__xludf.DUMMYFUNCTION("""COMPUTED_VALUE"""),"2526GRANDEVEN20.D")</f>
        <v>2526GRANDEVEN20.D</v>
      </c>
    </row>
    <row r="938">
      <c r="A938" s="330"/>
    </row>
    <row r="939">
      <c r="A939" s="330"/>
    </row>
    <row r="940">
      <c r="A940" s="330"/>
    </row>
    <row r="941">
      <c r="A941" s="330"/>
    </row>
    <row r="942">
      <c r="A942" s="330"/>
    </row>
    <row r="943">
      <c r="A943" s="330"/>
    </row>
    <row r="944">
      <c r="A944" s="330"/>
    </row>
    <row r="945">
      <c r="A945" s="330"/>
    </row>
    <row r="946">
      <c r="A946" s="330"/>
    </row>
    <row r="947">
      <c r="A947" s="330"/>
    </row>
    <row r="948">
      <c r="A948" s="330"/>
    </row>
    <row r="949">
      <c r="A949" s="330"/>
    </row>
    <row r="950">
      <c r="A950" s="330"/>
    </row>
    <row r="951">
      <c r="A951" s="330"/>
    </row>
    <row r="952">
      <c r="A952" s="330"/>
    </row>
    <row r="953">
      <c r="A953" s="330"/>
    </row>
    <row r="954">
      <c r="A954" s="330"/>
    </row>
    <row r="955">
      <c r="A955" s="330"/>
    </row>
    <row r="956">
      <c r="A956" s="330"/>
    </row>
    <row r="957">
      <c r="A957" s="330"/>
    </row>
    <row r="958">
      <c r="A958" s="330"/>
    </row>
    <row r="959">
      <c r="A959" s="330"/>
    </row>
    <row r="960">
      <c r="A960" s="330"/>
    </row>
    <row r="961">
      <c r="A961" s="330"/>
    </row>
    <row r="962">
      <c r="A962" s="330"/>
    </row>
    <row r="963">
      <c r="A963" s="330"/>
    </row>
    <row r="964">
      <c r="A964" s="330"/>
    </row>
    <row r="965">
      <c r="A965" s="330"/>
    </row>
    <row r="966">
      <c r="A966" s="330"/>
    </row>
    <row r="967">
      <c r="A967" s="330"/>
    </row>
    <row r="968">
      <c r="A968" s="330"/>
    </row>
    <row r="969">
      <c r="A969" s="330"/>
    </row>
    <row r="970">
      <c r="A970" s="330"/>
    </row>
    <row r="971">
      <c r="A971" s="330"/>
    </row>
    <row r="972">
      <c r="A972" s="330"/>
    </row>
    <row r="973">
      <c r="A973" s="330"/>
    </row>
    <row r="974">
      <c r="A974" s="330"/>
    </row>
    <row r="975">
      <c r="A975" s="330"/>
    </row>
    <row r="976">
      <c r="A976" s="330"/>
    </row>
    <row r="977">
      <c r="A977" s="330"/>
    </row>
    <row r="978">
      <c r="A978" s="330"/>
    </row>
    <row r="979">
      <c r="A979" s="330"/>
    </row>
    <row r="980">
      <c r="A980" s="330"/>
    </row>
    <row r="981">
      <c r="A981" s="330"/>
    </row>
    <row r="982">
      <c r="A982" s="330"/>
    </row>
    <row r="983">
      <c r="A983" s="330"/>
    </row>
    <row r="984">
      <c r="A984" s="330"/>
    </row>
    <row r="985">
      <c r="A985" s="330"/>
    </row>
    <row r="986">
      <c r="A986" s="330"/>
    </row>
    <row r="987">
      <c r="A987" s="330"/>
    </row>
    <row r="988">
      <c r="A988" s="330"/>
    </row>
    <row r="989">
      <c r="A989" s="330"/>
    </row>
    <row r="990">
      <c r="A990" s="330"/>
    </row>
    <row r="991">
      <c r="A991" s="330"/>
    </row>
    <row r="992">
      <c r="A992" s="330"/>
    </row>
    <row r="993">
      <c r="A993" s="330"/>
    </row>
    <row r="994">
      <c r="A994" s="330"/>
    </row>
    <row r="995">
      <c r="A995" s="330"/>
    </row>
    <row r="996">
      <c r="A996" s="330"/>
    </row>
    <row r="997">
      <c r="A997" s="344" t="str">
        <f>IFERROR(__xludf.DUMMYFUNCTION("""COMPUTED_VALUE"""),"2526GRANDESAB10.D")</f>
        <v>2526GRANDESAB10.D</v>
      </c>
    </row>
    <row r="998">
      <c r="A998" s="330"/>
    </row>
    <row r="999">
      <c r="A999" s="330"/>
    </row>
    <row r="1000">
      <c r="A1000" s="330"/>
    </row>
    <row r="1001">
      <c r="A1001" s="330"/>
    </row>
    <row r="1002">
      <c r="A1002" s="330"/>
    </row>
    <row r="1003">
      <c r="A1003" s="344" t="str">
        <f>IFERROR(__xludf.DUMMYFUNCTION("""COMPUTED_VALUE"""),"2526BONACINASAB10.D")</f>
        <v>2526BONACINASAB10.D</v>
      </c>
    </row>
    <row r="1004">
      <c r="A1004" s="343" t="str">
        <f>IFERROR(__xludf.DUMMYFUNCTION("""COMPUTED_VALUE"""),"2526MASSAGGISAB10.Y")</f>
        <v>2526MASSAGGISAB10.Y</v>
      </c>
    </row>
    <row r="1005">
      <c r="A1005" s="344" t="str">
        <f>IFERROR(__xludf.DUMMYFUNCTION("""COMPUTED_VALUE"""),"2526CRUZSAB10.F")</f>
        <v>2526CRUZSAB10.F</v>
      </c>
    </row>
    <row r="1006">
      <c r="A1006" s="330"/>
    </row>
    <row r="1007">
      <c r="A1007" s="330"/>
    </row>
    <row r="1008">
      <c r="A1008" s="330"/>
    </row>
    <row r="1009">
      <c r="A1009" s="330"/>
    </row>
    <row r="1010">
      <c r="A1010" s="330"/>
    </row>
    <row r="1011">
      <c r="A1011" s="330"/>
    </row>
    <row r="1012">
      <c r="A1012" s="330"/>
    </row>
    <row r="1013">
      <c r="A1013" s="344" t="str">
        <f>IFERROR(__xludf.DUMMYFUNCTION("""COMPUTED_VALUE"""),"2526GRANDESAB11.F")</f>
        <v>2526GRANDESAB11.F</v>
      </c>
    </row>
    <row r="1014">
      <c r="A1014" s="344" t="str">
        <f>IFERROR(__xludf.DUMMYFUNCTION("""COMPUTED_VALUE"""),"2526BONACINASAB11.D")</f>
        <v>2526BONACINASAB11.D</v>
      </c>
    </row>
    <row r="1015">
      <c r="A1015" s="330"/>
    </row>
    <row r="1016">
      <c r="A1016" s="343" t="str">
        <f>IFERROR(__xludf.DUMMYFUNCTION("""COMPUTED_VALUE"""),"2526MASSAGGISAB11.Y")</f>
        <v>2526MASSAGGISAB11.Y</v>
      </c>
    </row>
    <row r="1017">
      <c r="A1017" s="344" t="str">
        <f>IFERROR(__xludf.DUMMYFUNCTION("""COMPUTED_VALUE"""),"2526CRUZSAB11.F")</f>
        <v>2526CRUZSAB11.F</v>
      </c>
    </row>
    <row r="1018">
      <c r="A1018" s="330"/>
    </row>
    <row r="1019">
      <c r="A1019" s="330"/>
    </row>
    <row r="1020">
      <c r="A1020" s="330"/>
    </row>
    <row r="1021">
      <c r="A1021" s="330"/>
    </row>
    <row r="1022">
      <c r="A1022" s="330"/>
    </row>
    <row r="1023">
      <c r="A1023" s="330"/>
    </row>
    <row r="1024">
      <c r="A1024" s="330"/>
    </row>
    <row r="1025">
      <c r="A1025" s="344" t="str">
        <f>IFERROR(__xludf.DUMMYFUNCTION("""COMPUTED_VALUE"""),"2526KUQISAB12.F")</f>
        <v>2526KUQISAB12.F</v>
      </c>
    </row>
    <row r="1026">
      <c r="A1026" s="344" t="str">
        <f>IFERROR(__xludf.DUMMYFUNCTION("""COMPUTED_VALUE"""),"2526VASSALLOSAB12.D")</f>
        <v>2526VASSALLOSAB12.D</v>
      </c>
    </row>
    <row r="1027">
      <c r="A1027" s="330"/>
    </row>
    <row r="1028">
      <c r="A1028" s="343" t="str">
        <f>IFERROR(__xludf.DUMMYFUNCTION("""COMPUTED_VALUE"""),"2526MASSAGGISAB12.Y")</f>
        <v>2526MASSAGGISAB12.Y</v>
      </c>
    </row>
    <row r="1029">
      <c r="A1029" s="344" t="str">
        <f>IFERROR(__xludf.DUMMYFUNCTION("""COMPUTED_VALUE"""),"2526CRUZSAB12.F")</f>
        <v>2526CRUZSAB12.F</v>
      </c>
    </row>
    <row r="1030">
      <c r="A1030" s="330"/>
    </row>
    <row r="1031">
      <c r="A1031" s="330"/>
    </row>
    <row r="1032">
      <c r="A1032" s="330"/>
    </row>
    <row r="1033">
      <c r="A1033" s="343" t="str">
        <f>IFERROR(__xludf.DUMMYFUNCTION("""COMPUTED_VALUE"""),"2526SEABRASAB12.Y")</f>
        <v>2526SEABRASAB12.Y</v>
      </c>
    </row>
    <row r="1034">
      <c r="A1034" s="330"/>
    </row>
    <row r="1035">
      <c r="A1035" s="330"/>
    </row>
    <row r="1036">
      <c r="A1036" s="330"/>
    </row>
    <row r="1037">
      <c r="A1037" s="344" t="str">
        <f>IFERROR(__xludf.DUMMYFUNCTION("""COMPUTED_VALUE"""),"2526KUQISAB13.F")</f>
        <v>2526KUQISAB13.F</v>
      </c>
    </row>
    <row r="1038">
      <c r="A1038" s="344" t="str">
        <f>IFERROR(__xludf.DUMMYFUNCTION("""COMPUTED_VALUE"""),"2526VASSALLOSAB13.D")</f>
        <v>2526VASSALLOSAB13.D</v>
      </c>
    </row>
    <row r="1039">
      <c r="A1039" s="344" t="str">
        <f>IFERROR(__xludf.DUMMYFUNCTION("""COMPUTED_VALUE"""),"2526DUTTASAB13.D")</f>
        <v>2526DUTTASAB13.D</v>
      </c>
    </row>
    <row r="1040">
      <c r="A1040" s="343" t="str">
        <f>IFERROR(__xludf.DUMMYFUNCTION("""COMPUTED_VALUE"""),"2526MASSAGGISAB13.Y")</f>
        <v>2526MASSAGGISAB13.Y</v>
      </c>
    </row>
    <row r="1041">
      <c r="A1041" s="344" t="str">
        <f>IFERROR(__xludf.DUMMYFUNCTION("""COMPUTED_VALUE"""),"2526CRUZSAB13.D")</f>
        <v>2526CRUZSAB13.D</v>
      </c>
    </row>
    <row r="1042">
      <c r="A1042" s="330"/>
    </row>
    <row r="1043">
      <c r="A1043" s="344" t="str">
        <f>IFERROR(__xludf.DUMMYFUNCTION("""COMPUTED_VALUE"""),"2526DARIENZOSAB13.D")</f>
        <v>2526DARIENZOSAB13.D</v>
      </c>
    </row>
    <row r="1044">
      <c r="A1044" s="344" t="str">
        <f>IFERROR(__xludf.DUMMYFUNCTION("""COMPUTED_VALUE"""),"2526PICCIRILLOSAB13.D")</f>
        <v>2526PICCIRILLOSAB13.D</v>
      </c>
    </row>
    <row r="1045">
      <c r="A1045" s="343" t="str">
        <f>IFERROR(__xludf.DUMMYFUNCTION("""COMPUTED_VALUE"""),"2526SEABRASAB13.Y")</f>
        <v>2526SEABRASAB13.Y</v>
      </c>
    </row>
    <row r="1046">
      <c r="A1046" s="344" t="str">
        <f>IFERROR(__xludf.DUMMYFUNCTION("""COMPUTED_VALUE"""),"2526ALMEIDASAB14.F")</f>
        <v>2526ALMEIDASAB14.F</v>
      </c>
    </row>
    <row r="1047">
      <c r="A1047" s="330"/>
    </row>
    <row r="1048">
      <c r="A1048" s="330"/>
    </row>
    <row r="1049">
      <c r="A1049" s="344" t="str">
        <f>IFERROR(__xludf.DUMMYFUNCTION("""COMPUTED_VALUE"""),"2526DUTTASAB14.D")</f>
        <v>2526DUTTASAB14.D</v>
      </c>
    </row>
    <row r="1050">
      <c r="A1050" s="344" t="str">
        <f>IFERROR(__xludf.DUMMYFUNCTION("""COMPUTED_VALUE"""),"2526VASSALLOSAB14.F")</f>
        <v>2526VASSALLOSAB14.F</v>
      </c>
    </row>
    <row r="1051">
      <c r="A1051" s="344" t="str">
        <f>IFERROR(__xludf.DUMMYFUNCTION("""COMPUTED_VALUE"""),"2526MAGARROSAB14.D")</f>
        <v>2526MAGARROSAB14.D</v>
      </c>
    </row>
    <row r="1052">
      <c r="A1052" s="343" t="str">
        <f>IFERROR(__xludf.DUMMYFUNCTION("""COMPUTED_VALUE"""),"2526MASSAGGISAB14.Y")</f>
        <v>2526MASSAGGISAB14.Y</v>
      </c>
    </row>
    <row r="1053">
      <c r="A1053" s="344" t="str">
        <f>IFERROR(__xludf.DUMMYFUNCTION("""COMPUTED_VALUE"""),"2526DARIENZOSAB14.D")</f>
        <v>2526DARIENZOSAB14.D</v>
      </c>
    </row>
    <row r="1054">
      <c r="A1054" s="330"/>
    </row>
    <row r="1055">
      <c r="A1055" s="344" t="str">
        <f>IFERROR(__xludf.DUMMYFUNCTION("""COMPUTED_VALUE"""),"2526TODISCOSAB14.C")</f>
        <v>2526TODISCOSAB14.C</v>
      </c>
    </row>
    <row r="1056">
      <c r="A1056" s="344" t="str">
        <f>IFERROR(__xludf.DUMMYFUNCTION("""COMPUTED_VALUE"""),"2526PICCIRILLOSAB14.D")</f>
        <v>2526PICCIRILLOSAB14.D</v>
      </c>
    </row>
    <row r="1057">
      <c r="A1057" s="343" t="str">
        <f>IFERROR(__xludf.DUMMYFUNCTION("""COMPUTED_VALUE"""),"2526SEABRASAB14.Y")</f>
        <v>2526SEABRASAB14.Y</v>
      </c>
    </row>
    <row r="1058">
      <c r="A1058" s="330"/>
    </row>
    <row r="1059">
      <c r="A1059" s="330"/>
    </row>
    <row r="1060">
      <c r="A1060" s="330"/>
    </row>
    <row r="1061">
      <c r="A1061" s="344" t="str">
        <f>IFERROR(__xludf.DUMMYFUNCTION("""COMPUTED_VALUE"""),"2526DUTTASAB15.D")</f>
        <v>2526DUTTASAB15.D</v>
      </c>
    </row>
    <row r="1062">
      <c r="A1062" s="344" t="str">
        <f>IFERROR(__xludf.DUMMYFUNCTION("""COMPUTED_VALUE"""),"2526FRANZINISAB15.F")</f>
        <v>2526FRANZINISAB15.F</v>
      </c>
    </row>
    <row r="1063">
      <c r="A1063" s="344" t="str">
        <f>IFERROR(__xludf.DUMMYFUNCTION("""COMPUTED_VALUE"""),"2526MAGARROSAB15.D")</f>
        <v>2526MAGARROSAB15.D</v>
      </c>
    </row>
    <row r="1064">
      <c r="A1064" s="343" t="str">
        <f>IFERROR(__xludf.DUMMYFUNCTION("""COMPUTED_VALUE"""),"2526MASSAGGISAB15.Y")</f>
        <v>2526MASSAGGISAB15.Y</v>
      </c>
    </row>
    <row r="1065">
      <c r="A1065" s="344" t="str">
        <f>IFERROR(__xludf.DUMMYFUNCTION("""COMPUTED_VALUE"""),"2526ROSSISAB15.C")</f>
        <v>2526ROSSISAB15.C</v>
      </c>
    </row>
    <row r="1066">
      <c r="A1066" s="330"/>
    </row>
    <row r="1067">
      <c r="A1067" s="344" t="str">
        <f>IFERROR(__xludf.DUMMYFUNCTION("""COMPUTED_VALUE"""),"2526DARIENZOSAB15.D")</f>
        <v>2526DARIENZOSAB15.D</v>
      </c>
    </row>
    <row r="1068">
      <c r="A1068" s="344" t="str">
        <f>IFERROR(__xludf.DUMMYFUNCTION("""COMPUTED_VALUE"""),"2526PICCIRILLOSAB15.D")</f>
        <v>2526PICCIRILLOSAB15.D</v>
      </c>
    </row>
    <row r="1069">
      <c r="A1069" s="343" t="str">
        <f>IFERROR(__xludf.DUMMYFUNCTION("""COMPUTED_VALUE"""),"2526SEABRASAB15.Y")</f>
        <v>2526SEABRASAB15.Y</v>
      </c>
    </row>
    <row r="1070">
      <c r="A1070" s="330"/>
    </row>
    <row r="1071">
      <c r="A1071" s="330"/>
    </row>
    <row r="1072">
      <c r="A1072" s="330"/>
    </row>
    <row r="1073">
      <c r="A1073" s="344" t="str">
        <f>IFERROR(__xludf.DUMMYFUNCTION("""COMPUTED_VALUE"""),"2526DUTTASAB16.D")</f>
        <v>2526DUTTASAB16.D</v>
      </c>
    </row>
    <row r="1074">
      <c r="A1074" s="344" t="str">
        <f>IFERROR(__xludf.DUMMYFUNCTION("""COMPUTED_VALUE"""),"2526FRANZINISAB16.D")</f>
        <v>2526FRANZINISAB16.D</v>
      </c>
    </row>
    <row r="1075">
      <c r="A1075" s="330"/>
    </row>
    <row r="1076">
      <c r="A1076" s="343" t="str">
        <f>IFERROR(__xludf.DUMMYFUNCTION("""COMPUTED_VALUE"""),"2526MASSAGGISAB16.Y")</f>
        <v>2526MASSAGGISAB16.Y</v>
      </c>
    </row>
    <row r="1077">
      <c r="A1077" s="344" t="str">
        <f>IFERROR(__xludf.DUMMYFUNCTION("""COMPUTED_VALUE"""),"2526ROSSISAB16.C")</f>
        <v>2526ROSSISAB16.C</v>
      </c>
    </row>
    <row r="1078">
      <c r="A1078" s="330"/>
    </row>
    <row r="1079">
      <c r="A1079" s="344" t="str">
        <f>IFERROR(__xludf.DUMMYFUNCTION("""COMPUTED_VALUE"""),"2526DARIENZOSAB16.D")</f>
        <v>2526DARIENZOSAB16.D</v>
      </c>
    </row>
    <row r="1080">
      <c r="A1080" s="344" t="str">
        <f>IFERROR(__xludf.DUMMYFUNCTION("""COMPUTED_VALUE"""),"2526PICCIRILLOSAB16.D")</f>
        <v>2526PICCIRILLOSAB16.D</v>
      </c>
    </row>
    <row r="1081">
      <c r="A1081" s="343" t="str">
        <f>IFERROR(__xludf.DUMMYFUNCTION("""COMPUTED_VALUE"""),"2526SEABRASAB16.Y")</f>
        <v>2526SEABRASAB16.Y</v>
      </c>
    </row>
    <row r="1082">
      <c r="A1082" s="330"/>
    </row>
    <row r="1083">
      <c r="A1083" s="330"/>
    </row>
    <row r="1084">
      <c r="A1084" s="330"/>
    </row>
    <row r="1085">
      <c r="A1085" s="330"/>
    </row>
    <row r="1086">
      <c r="A1086" s="330"/>
    </row>
    <row r="1087">
      <c r="A1087" s="330"/>
    </row>
    <row r="1088">
      <c r="A1088" s="330"/>
    </row>
    <row r="1089">
      <c r="A1089" s="330"/>
    </row>
    <row r="1090">
      <c r="A1090" s="330"/>
    </row>
    <row r="1091">
      <c r="A1091" s="330"/>
    </row>
    <row r="1092">
      <c r="A1092" s="330"/>
    </row>
    <row r="1093">
      <c r="A1093" s="330"/>
    </row>
    <row r="1094">
      <c r="A1094" s="330"/>
    </row>
    <row r="1095">
      <c r="A1095" s="330"/>
    </row>
    <row r="1096">
      <c r="A1096" s="330"/>
    </row>
    <row r="1097">
      <c r="A1097" s="330"/>
    </row>
    <row r="1098">
      <c r="A1098" s="330"/>
    </row>
    <row r="1099">
      <c r="A1099" s="330"/>
    </row>
    <row r="1100">
      <c r="A1100" s="330"/>
    </row>
    <row r="1101">
      <c r="A1101" s="330"/>
    </row>
    <row r="1102">
      <c r="A1102" s="330"/>
    </row>
    <row r="1103">
      <c r="A1103" s="330"/>
    </row>
    <row r="1104">
      <c r="A1104" s="330"/>
    </row>
    <row r="1105">
      <c r="A1105" s="330"/>
    </row>
    <row r="1106">
      <c r="A1106" s="330"/>
    </row>
    <row r="1107">
      <c r="A1107" s="330"/>
    </row>
    <row r="1108">
      <c r="A1108" s="330"/>
    </row>
    <row r="1109">
      <c r="A1109" s="330"/>
    </row>
    <row r="1110">
      <c r="A1110" s="330"/>
    </row>
    <row r="1111">
      <c r="A1111" s="330"/>
    </row>
    <row r="1112">
      <c r="A1112" s="330"/>
    </row>
    <row r="1113">
      <c r="A1113" s="330"/>
    </row>
    <row r="1114">
      <c r="A1114" s="330"/>
    </row>
    <row r="1115">
      <c r="A1115" s="330"/>
    </row>
    <row r="1116">
      <c r="A1116" s="330"/>
    </row>
    <row r="1117">
      <c r="A1117" s="330"/>
    </row>
    <row r="1118">
      <c r="A1118" s="330"/>
    </row>
    <row r="1119">
      <c r="A1119" s="330"/>
    </row>
    <row r="1120">
      <c r="A1120" s="330"/>
    </row>
    <row r="1121">
      <c r="A1121" s="330"/>
    </row>
    <row r="1122">
      <c r="A1122" s="330"/>
    </row>
    <row r="1123">
      <c r="A1123" s="330"/>
    </row>
    <row r="1124">
      <c r="A1124" s="330"/>
    </row>
    <row r="1125">
      <c r="A1125" s="330"/>
    </row>
    <row r="1126">
      <c r="A1126" s="330"/>
    </row>
    <row r="1127">
      <c r="A1127" s="330"/>
    </row>
    <row r="1128">
      <c r="A1128" s="330"/>
    </row>
    <row r="1129">
      <c r="A1129" s="330"/>
    </row>
    <row r="1130">
      <c r="A1130" s="330"/>
    </row>
    <row r="1131">
      <c r="A1131" s="330"/>
    </row>
    <row r="1132">
      <c r="A1132" s="330"/>
    </row>
    <row r="1133">
      <c r="A1133" s="330"/>
    </row>
    <row r="1134">
      <c r="A1134" s="330"/>
    </row>
    <row r="1135">
      <c r="A1135" s="330"/>
    </row>
    <row r="1136">
      <c r="A1136" s="330"/>
    </row>
    <row r="1137">
      <c r="A1137" s="330"/>
    </row>
    <row r="1138">
      <c r="A1138" s="330"/>
    </row>
    <row r="1139">
      <c r="A1139" s="330"/>
    </row>
    <row r="1140">
      <c r="A1140" s="330"/>
    </row>
    <row r="1141">
      <c r="A1141" s="330"/>
    </row>
    <row r="1142">
      <c r="A1142" s="330"/>
    </row>
    <row r="1143">
      <c r="A1143" s="330"/>
    </row>
    <row r="1144">
      <c r="A1144" s="330"/>
    </row>
    <row r="1145">
      <c r="A1145" s="330"/>
    </row>
    <row r="1146">
      <c r="A1146" s="330"/>
    </row>
    <row r="1147">
      <c r="A1147" s="330"/>
    </row>
    <row r="1148">
      <c r="A1148" s="330"/>
    </row>
    <row r="1149">
      <c r="A1149" s="330"/>
    </row>
    <row r="1150">
      <c r="A1150" s="330"/>
    </row>
    <row r="1151">
      <c r="A1151" s="330"/>
    </row>
    <row r="1152">
      <c r="A1152" s="330"/>
    </row>
    <row r="1153">
      <c r="A1153" s="330"/>
    </row>
    <row r="1154">
      <c r="A1154" s="330"/>
    </row>
    <row r="1155">
      <c r="A1155" s="330"/>
    </row>
    <row r="1156">
      <c r="A1156" s="330"/>
    </row>
    <row r="1157">
      <c r="A1157" s="330"/>
    </row>
    <row r="1158">
      <c r="A1158" s="330"/>
    </row>
    <row r="1159">
      <c r="A1159" s="330"/>
    </row>
    <row r="1160">
      <c r="A1160" s="330"/>
    </row>
    <row r="1161">
      <c r="A1161" s="330"/>
    </row>
    <row r="1162">
      <c r="A1162" s="330"/>
    </row>
    <row r="1163">
      <c r="A1163" s="330"/>
    </row>
    <row r="1164">
      <c r="A1164" s="330"/>
    </row>
    <row r="1165">
      <c r="A1165" s="330"/>
    </row>
    <row r="1166">
      <c r="A1166" s="330"/>
    </row>
    <row r="1167">
      <c r="A1167" s="330"/>
    </row>
    <row r="1168">
      <c r="A1168" s="330"/>
    </row>
    <row r="1169">
      <c r="A1169" s="330"/>
    </row>
    <row r="1170">
      <c r="A1170" s="330"/>
    </row>
    <row r="1171">
      <c r="A1171" s="330"/>
    </row>
    <row r="1172">
      <c r="A1172" s="330"/>
    </row>
    <row r="1173">
      <c r="A1173" s="330"/>
    </row>
    <row r="1174">
      <c r="A1174" s="330"/>
    </row>
    <row r="1175">
      <c r="A1175" s="330"/>
    </row>
    <row r="1176">
      <c r="A1176" s="330"/>
    </row>
    <row r="1177">
      <c r="A1177" s="330"/>
    </row>
    <row r="1178">
      <c r="A1178" s="330"/>
    </row>
    <row r="1179">
      <c r="A1179" s="330"/>
    </row>
    <row r="1180">
      <c r="A1180" s="330"/>
    </row>
    <row r="1181">
      <c r="A1181" s="330"/>
    </row>
    <row r="1182">
      <c r="A1182" s="330"/>
    </row>
    <row r="1183">
      <c r="A1183" s="330"/>
    </row>
    <row r="1184">
      <c r="A1184" s="330"/>
    </row>
    <row r="1185">
      <c r="A1185" s="330"/>
    </row>
    <row r="1186">
      <c r="A1186" s="330"/>
    </row>
    <row r="1187">
      <c r="A1187" s="330"/>
    </row>
    <row r="1188">
      <c r="A1188" s="330"/>
    </row>
    <row r="1189">
      <c r="A1189" s="330"/>
    </row>
    <row r="1190">
      <c r="A1190" s="330"/>
    </row>
    <row r="1191">
      <c r="A1191" s="330"/>
    </row>
    <row r="1192">
      <c r="A1192" s="330"/>
    </row>
    <row r="1193">
      <c r="A1193" s="330"/>
    </row>
    <row r="1194">
      <c r="A1194" s="330"/>
    </row>
    <row r="1195">
      <c r="A1195" s="330"/>
    </row>
    <row r="1196">
      <c r="A1196" s="330"/>
    </row>
    <row r="1197">
      <c r="A1197" s="330"/>
    </row>
    <row r="1198">
      <c r="A1198" s="330"/>
    </row>
    <row r="1199">
      <c r="A1199" s="330"/>
    </row>
    <row r="1200">
      <c r="A1200" s="330"/>
    </row>
    <row r="1201">
      <c r="A1201" s="330"/>
    </row>
    <row r="1202">
      <c r="A1202" s="330"/>
    </row>
    <row r="1203">
      <c r="A1203" s="330"/>
    </row>
    <row r="1204">
      <c r="A1204" s="330"/>
    </row>
    <row r="1205">
      <c r="A1205" s="330"/>
    </row>
    <row r="1206">
      <c r="A1206" s="330"/>
    </row>
    <row r="1207">
      <c r="A1207" s="330"/>
    </row>
    <row r="1208">
      <c r="A1208" s="330"/>
    </row>
    <row r="1209">
      <c r="A1209" s="330"/>
    </row>
    <row r="1210">
      <c r="A1210" s="330"/>
    </row>
    <row r="1211">
      <c r="A1211" s="330"/>
    </row>
    <row r="1212">
      <c r="A1212" s="330"/>
    </row>
    <row r="1213">
      <c r="A1213" s="330"/>
    </row>
    <row r="1214">
      <c r="A1214" s="330"/>
    </row>
    <row r="1215">
      <c r="A1215" s="330"/>
    </row>
    <row r="1216">
      <c r="A1216" s="330"/>
    </row>
    <row r="1217">
      <c r="A1217" s="330"/>
    </row>
    <row r="1218">
      <c r="A1218" s="330"/>
    </row>
    <row r="1219">
      <c r="A1219" s="330"/>
    </row>
    <row r="1220">
      <c r="A1220" s="330"/>
    </row>
    <row r="1221">
      <c r="A1221" s="330"/>
    </row>
    <row r="1222">
      <c r="A1222" s="330"/>
    </row>
    <row r="1223">
      <c r="A1223" s="330"/>
    </row>
    <row r="1224">
      <c r="A1224" s="330"/>
    </row>
    <row r="1225">
      <c r="A1225" s="330"/>
    </row>
    <row r="1226">
      <c r="A1226" s="330"/>
    </row>
    <row r="1227">
      <c r="A1227" s="330"/>
    </row>
    <row r="1228">
      <c r="A1228" s="330"/>
    </row>
    <row r="1229">
      <c r="A1229" s="330"/>
    </row>
    <row r="1230">
      <c r="A1230" s="330"/>
    </row>
    <row r="1231">
      <c r="A1231" s="330"/>
    </row>
    <row r="1232">
      <c r="A1232" s="330"/>
    </row>
    <row r="1233">
      <c r="A1233" s="330"/>
    </row>
    <row r="1234">
      <c r="A1234" s="330"/>
    </row>
    <row r="1235">
      <c r="A1235" s="330"/>
    </row>
    <row r="1236">
      <c r="A1236" s="330"/>
    </row>
    <row r="1237">
      <c r="A1237" s="330"/>
    </row>
    <row r="1238">
      <c r="A1238" s="330"/>
    </row>
    <row r="1239">
      <c r="A1239" s="330"/>
    </row>
    <row r="1240">
      <c r="A1240" s="330"/>
    </row>
    <row r="1241">
      <c r="A1241" s="330"/>
    </row>
    <row r="1242">
      <c r="A1242" s="330"/>
    </row>
    <row r="1243">
      <c r="A1243" s="330"/>
    </row>
    <row r="1244">
      <c r="A1244" s="330"/>
    </row>
    <row r="1245">
      <c r="A1245" s="330"/>
    </row>
    <row r="1246">
      <c r="A1246" s="330"/>
    </row>
    <row r="1247">
      <c r="A1247" s="330"/>
    </row>
    <row r="1248">
      <c r="A1248" s="330"/>
    </row>
    <row r="1249">
      <c r="A1249" s="330"/>
    </row>
    <row r="1250">
      <c r="A1250" s="330"/>
    </row>
    <row r="1251">
      <c r="A1251" s="330"/>
    </row>
    <row r="1252">
      <c r="A1252" s="330"/>
    </row>
    <row r="1253">
      <c r="A1253" s="330"/>
    </row>
    <row r="1254">
      <c r="A1254" s="330"/>
    </row>
    <row r="1255">
      <c r="A1255" s="330"/>
    </row>
    <row r="1256">
      <c r="A1256" s="330"/>
    </row>
    <row r="1257">
      <c r="A1257" s="330"/>
    </row>
    <row r="1258">
      <c r="A1258" s="330"/>
    </row>
    <row r="1259">
      <c r="A1259" s="330"/>
    </row>
    <row r="1260">
      <c r="A1260" s="330"/>
    </row>
    <row r="1261">
      <c r="A1261" s="330"/>
    </row>
    <row r="1262">
      <c r="A1262" s="330"/>
    </row>
    <row r="1263">
      <c r="A1263" s="330"/>
    </row>
    <row r="1264">
      <c r="A1264" s="330"/>
    </row>
    <row r="1265">
      <c r="A1265" s="330"/>
    </row>
    <row r="1266">
      <c r="A1266" s="330"/>
    </row>
    <row r="1267">
      <c r="A1267" s="330"/>
    </row>
    <row r="1268">
      <c r="A1268" s="330"/>
    </row>
    <row r="1269">
      <c r="A1269" s="330"/>
    </row>
    <row r="1270">
      <c r="A1270" s="330"/>
    </row>
    <row r="1271">
      <c r="A1271" s="330"/>
    </row>
    <row r="1272">
      <c r="A1272" s="330"/>
    </row>
    <row r="1273">
      <c r="A1273" s="330"/>
    </row>
    <row r="1274">
      <c r="A1274" s="330"/>
    </row>
    <row r="1275">
      <c r="A1275" s="330"/>
    </row>
    <row r="1276">
      <c r="A1276" s="330"/>
    </row>
    <row r="1277">
      <c r="A1277" s="330"/>
    </row>
    <row r="1278">
      <c r="A1278" s="330"/>
    </row>
    <row r="1279">
      <c r="A1279" s="330"/>
    </row>
    <row r="1280">
      <c r="A1280" s="330"/>
    </row>
    <row r="1281">
      <c r="A1281" s="330"/>
    </row>
    <row r="1282">
      <c r="A1282" s="330"/>
    </row>
    <row r="1283">
      <c r="A1283" s="330"/>
    </row>
    <row r="1284">
      <c r="A1284" s="330"/>
    </row>
    <row r="1285">
      <c r="A1285" s="330"/>
    </row>
    <row r="1286">
      <c r="A1286" s="330"/>
    </row>
    <row r="1287">
      <c r="A1287" s="330"/>
    </row>
    <row r="1288">
      <c r="A1288" s="330"/>
    </row>
    <row r="1289">
      <c r="A1289" s="330"/>
    </row>
    <row r="1290">
      <c r="A1290" s="330"/>
    </row>
    <row r="1291">
      <c r="A1291" s="330"/>
    </row>
    <row r="1292">
      <c r="A1292" s="330"/>
    </row>
    <row r="1293">
      <c r="A1293" s="330"/>
    </row>
    <row r="1294">
      <c r="A1294" s="330"/>
    </row>
    <row r="1295">
      <c r="A1295" s="330"/>
    </row>
    <row r="1296">
      <c r="A1296" s="330"/>
    </row>
    <row r="1297">
      <c r="A1297" s="330"/>
    </row>
    <row r="1298">
      <c r="A1298" s="330"/>
    </row>
    <row r="1299">
      <c r="A1299" s="330"/>
    </row>
    <row r="1300">
      <c r="A1300" s="330"/>
    </row>
    <row r="1301">
      <c r="A1301" s="330"/>
    </row>
    <row r="1302">
      <c r="A1302" s="330"/>
    </row>
    <row r="1303">
      <c r="A1303" s="330"/>
    </row>
    <row r="1304">
      <c r="A1304" s="330"/>
    </row>
    <row r="1305">
      <c r="A1305" s="330"/>
    </row>
    <row r="1306">
      <c r="A1306" s="330"/>
    </row>
    <row r="1307">
      <c r="A1307" s="330"/>
    </row>
    <row r="1308">
      <c r="A1308" s="330"/>
    </row>
    <row r="1309">
      <c r="A1309" s="330"/>
    </row>
    <row r="1310">
      <c r="A1310" s="330"/>
    </row>
    <row r="1311">
      <c r="A1311" s="330"/>
    </row>
    <row r="1312">
      <c r="A1312" s="330"/>
    </row>
    <row r="1313">
      <c r="A1313" s="330"/>
    </row>
    <row r="1314">
      <c r="A1314" s="330"/>
    </row>
    <row r="1315">
      <c r="A1315" s="330"/>
    </row>
    <row r="1316">
      <c r="A1316" s="330"/>
    </row>
    <row r="1317">
      <c r="A1317" s="330"/>
    </row>
    <row r="1318">
      <c r="A1318" s="330"/>
    </row>
    <row r="1319">
      <c r="A1319" s="330"/>
    </row>
    <row r="1320">
      <c r="A1320" s="330"/>
    </row>
    <row r="1321">
      <c r="A1321" s="330"/>
    </row>
    <row r="1322">
      <c r="A1322" s="330"/>
    </row>
    <row r="1323">
      <c r="A1323" s="330"/>
    </row>
    <row r="1324">
      <c r="A1324" s="330"/>
    </row>
    <row r="1325">
      <c r="A1325" s="330"/>
    </row>
    <row r="1326">
      <c r="A1326" s="330"/>
    </row>
    <row r="1327">
      <c r="A1327" s="330"/>
    </row>
    <row r="1328">
      <c r="A1328" s="330"/>
    </row>
    <row r="1329">
      <c r="A1329" s="330"/>
    </row>
    <row r="1330">
      <c r="A1330" s="330"/>
    </row>
    <row r="1331">
      <c r="A1331" s="330"/>
    </row>
    <row r="1332">
      <c r="A1332" s="330"/>
    </row>
    <row r="1333">
      <c r="A1333" s="330"/>
    </row>
    <row r="1334">
      <c r="A1334" s="330"/>
    </row>
    <row r="1335">
      <c r="A1335" s="330"/>
    </row>
    <row r="1336">
      <c r="A1336" s="330"/>
    </row>
    <row r="1337">
      <c r="A1337" s="330"/>
    </row>
    <row r="1338">
      <c r="A1338" s="330"/>
    </row>
    <row r="1339">
      <c r="A1339" s="330"/>
    </row>
    <row r="1340">
      <c r="A1340" s="330"/>
    </row>
    <row r="1341">
      <c r="A1341" s="330"/>
    </row>
    <row r="1342">
      <c r="A1342" s="330"/>
    </row>
    <row r="1343">
      <c r="A1343" s="330"/>
    </row>
    <row r="1344">
      <c r="A1344" s="330"/>
    </row>
    <row r="1345">
      <c r="A1345" s="330"/>
    </row>
    <row r="1346">
      <c r="A1346" s="330"/>
    </row>
    <row r="1347">
      <c r="A1347" s="330"/>
    </row>
    <row r="1348">
      <c r="A1348" s="330"/>
    </row>
    <row r="1349">
      <c r="A1349" s="330"/>
    </row>
    <row r="1350">
      <c r="A1350" s="330"/>
    </row>
    <row r="1351">
      <c r="A1351" s="330"/>
    </row>
    <row r="1352">
      <c r="A1352" s="330"/>
    </row>
    <row r="1353">
      <c r="A1353" s="330"/>
    </row>
    <row r="1354">
      <c r="A1354" s="330"/>
    </row>
    <row r="1355">
      <c r="A1355" s="330"/>
    </row>
    <row r="1356">
      <c r="A1356" s="330"/>
    </row>
    <row r="1357">
      <c r="A1357" s="330"/>
    </row>
    <row r="1358">
      <c r="A1358" s="330"/>
    </row>
    <row r="1359">
      <c r="A1359" s="330"/>
    </row>
    <row r="1360">
      <c r="A1360" s="330"/>
    </row>
    <row r="1361">
      <c r="A1361" s="330"/>
    </row>
    <row r="1362">
      <c r="A1362" s="330"/>
    </row>
    <row r="1363">
      <c r="A1363" s="330"/>
    </row>
    <row r="1364">
      <c r="A1364" s="330"/>
    </row>
    <row r="1365">
      <c r="A1365" s="330"/>
    </row>
    <row r="1366">
      <c r="A1366" s="330"/>
    </row>
    <row r="1367">
      <c r="A1367" s="330"/>
    </row>
    <row r="1368">
      <c r="A1368" s="330"/>
    </row>
    <row r="1369">
      <c r="A1369" s="330"/>
    </row>
    <row r="1370">
      <c r="A1370" s="330"/>
    </row>
    <row r="1371">
      <c r="A1371" s="330"/>
    </row>
    <row r="1372">
      <c r="A1372" s="330"/>
    </row>
    <row r="1373">
      <c r="A1373" s="330"/>
    </row>
    <row r="1374">
      <c r="A1374" s="330"/>
    </row>
    <row r="1375">
      <c r="A1375" s="330"/>
    </row>
    <row r="1376">
      <c r="A1376" s="330"/>
    </row>
    <row r="1377">
      <c r="A1377" s="330"/>
    </row>
    <row r="1378">
      <c r="A1378" s="330"/>
    </row>
    <row r="1379">
      <c r="A1379" s="330"/>
    </row>
    <row r="1380">
      <c r="A1380" s="330"/>
    </row>
    <row r="1381">
      <c r="A1381" s="330"/>
    </row>
    <row r="1382">
      <c r="A1382" s="330"/>
    </row>
    <row r="1383">
      <c r="A1383" s="330"/>
    </row>
    <row r="1384">
      <c r="A1384" s="330"/>
    </row>
    <row r="1385">
      <c r="A1385" s="330"/>
    </row>
    <row r="1386">
      <c r="A1386" s="330"/>
    </row>
    <row r="1387">
      <c r="A1387" s="330"/>
    </row>
    <row r="1388">
      <c r="A1388" s="330"/>
    </row>
    <row r="1389">
      <c r="A1389" s="330"/>
    </row>
    <row r="1390">
      <c r="A1390" s="330"/>
    </row>
    <row r="1391">
      <c r="A1391" s="330"/>
    </row>
    <row r="1392">
      <c r="A1392" s="330"/>
    </row>
    <row r="1393">
      <c r="A1393" s="330"/>
    </row>
    <row r="1394">
      <c r="A1394" s="330"/>
    </row>
    <row r="1395">
      <c r="A1395" s="330"/>
    </row>
    <row r="1396">
      <c r="A1396" s="330"/>
    </row>
    <row r="1397">
      <c r="A1397" s="330"/>
    </row>
    <row r="1398">
      <c r="A1398" s="330"/>
    </row>
    <row r="1399">
      <c r="A1399" s="330"/>
    </row>
    <row r="1400">
      <c r="A1400" s="330"/>
    </row>
    <row r="1401">
      <c r="A1401" s="330"/>
    </row>
    <row r="1402">
      <c r="A1402" s="330"/>
    </row>
    <row r="1403">
      <c r="A1403" s="330"/>
    </row>
    <row r="1404">
      <c r="A1404" s="330"/>
    </row>
    <row r="1405">
      <c r="A1405" s="330"/>
    </row>
    <row r="1406">
      <c r="A1406" s="330"/>
    </row>
    <row r="1407">
      <c r="A1407" s="330"/>
    </row>
    <row r="1408">
      <c r="A1408" s="330"/>
    </row>
    <row r="1409">
      <c r="A1409" s="330"/>
    </row>
    <row r="1410">
      <c r="A1410" s="330"/>
    </row>
    <row r="1411">
      <c r="A1411" s="330"/>
    </row>
    <row r="1412">
      <c r="A1412" s="330"/>
    </row>
    <row r="1413">
      <c r="A1413" s="330"/>
    </row>
    <row r="1414">
      <c r="A1414" s="330"/>
    </row>
    <row r="1415">
      <c r="A1415" s="330"/>
    </row>
    <row r="1416">
      <c r="A1416" s="330"/>
    </row>
    <row r="1417">
      <c r="A1417" s="330"/>
    </row>
    <row r="1418">
      <c r="A1418" s="330"/>
    </row>
    <row r="1419">
      <c r="A1419" s="330"/>
    </row>
    <row r="1420">
      <c r="A1420" s="330"/>
    </row>
    <row r="1421">
      <c r="A1421" s="330"/>
    </row>
    <row r="1422">
      <c r="A1422" s="330"/>
    </row>
    <row r="1423">
      <c r="A1423" s="330"/>
    </row>
    <row r="1424">
      <c r="A1424" s="330"/>
    </row>
    <row r="1425">
      <c r="A1425" s="330"/>
    </row>
    <row r="1426">
      <c r="A1426" s="330"/>
    </row>
    <row r="1427">
      <c r="A1427" s="330"/>
    </row>
    <row r="1428">
      <c r="A1428" s="330"/>
    </row>
    <row r="1429">
      <c r="A1429" s="330"/>
    </row>
    <row r="1430">
      <c r="A1430" s="330"/>
    </row>
    <row r="1431">
      <c r="A1431" s="330"/>
    </row>
    <row r="1432">
      <c r="A1432" s="330"/>
    </row>
    <row r="1433">
      <c r="A1433" s="330"/>
    </row>
    <row r="1434">
      <c r="A1434" s="330"/>
    </row>
    <row r="1435">
      <c r="A1435" s="330"/>
    </row>
    <row r="1436">
      <c r="A1436" s="330"/>
    </row>
    <row r="1437">
      <c r="A1437" s="330"/>
    </row>
    <row r="1438">
      <c r="A1438" s="330"/>
    </row>
    <row r="1439">
      <c r="A1439" s="330"/>
    </row>
    <row r="1440">
      <c r="A1440" s="330"/>
    </row>
    <row r="1441">
      <c r="A1441" s="330"/>
    </row>
    <row r="1442">
      <c r="A1442" s="330"/>
    </row>
    <row r="1443">
      <c r="A1443" s="330"/>
    </row>
    <row r="1444">
      <c r="A1444" s="330"/>
    </row>
    <row r="1445">
      <c r="A1445" s="330"/>
    </row>
    <row r="1446">
      <c r="A1446" s="330"/>
    </row>
    <row r="1447">
      <c r="A1447" s="330"/>
    </row>
    <row r="1448">
      <c r="A1448" s="330"/>
    </row>
    <row r="1449">
      <c r="A1449" s="330"/>
    </row>
    <row r="1450">
      <c r="A1450" s="330"/>
    </row>
    <row r="1451">
      <c r="A1451" s="330"/>
    </row>
    <row r="1452">
      <c r="A1452" s="330"/>
    </row>
    <row r="1453">
      <c r="A1453" s="330"/>
    </row>
    <row r="1454">
      <c r="A1454" s="330"/>
    </row>
    <row r="1455">
      <c r="A1455" s="330"/>
    </row>
    <row r="1456">
      <c r="A1456" s="330"/>
    </row>
    <row r="1457">
      <c r="A1457" s="330"/>
    </row>
    <row r="1458">
      <c r="A1458" s="330"/>
    </row>
    <row r="1459">
      <c r="A1459" s="330"/>
    </row>
    <row r="1460">
      <c r="A1460" s="330"/>
    </row>
  </sheetData>
  <hyperlinks>
    <hyperlink r:id="rId1" location="gid=1738522582" ref="A1"/>
    <hyperlink r:id="rId2" location="gid=1738522582" ref="B1"/>
    <hyperlink r:id="rId3" location="gid=930245762" ref="C1"/>
    <hyperlink r:id="rId4" ref="C3"/>
    <hyperlink r:id="rId5" ref="C4"/>
    <hyperlink r:id="rId6" ref="C5"/>
    <hyperlink r:id="rId7" ref="C6"/>
    <hyperlink r:id="rId8" ref="C7"/>
    <hyperlink r:id="rId9" ref="C8"/>
    <hyperlink r:id="rId10" ref="C9"/>
    <hyperlink r:id="rId11" ref="C10"/>
    <hyperlink r:id="rId12" ref="C11"/>
    <hyperlink r:id="rId13" ref="C12"/>
    <hyperlink r:id="rId14" ref="C13"/>
    <hyperlink r:id="rId15" ref="C14"/>
    <hyperlink r:id="rId16" ref="C15"/>
    <hyperlink r:id="rId17" ref="C16"/>
    <hyperlink r:id="rId18" ref="C17"/>
    <hyperlink r:id="rId19" ref="C18"/>
    <hyperlink r:id="rId20" ref="C19"/>
    <hyperlink r:id="rId21" ref="C20"/>
    <hyperlink r:id="rId22" ref="C21"/>
    <hyperlink r:id="rId23" ref="C22"/>
    <hyperlink r:id="rId24" ref="C23"/>
    <hyperlink r:id="rId25" ref="C24"/>
    <hyperlink r:id="rId26" ref="C25"/>
    <hyperlink r:id="rId27" ref="C26"/>
    <hyperlink r:id="rId28" ref="C27"/>
    <hyperlink r:id="rId29" ref="C28"/>
    <hyperlink r:id="rId30" ref="C29"/>
    <hyperlink r:id="rId31" ref="C30"/>
    <hyperlink r:id="rId32" ref="C31"/>
    <hyperlink r:id="rId33" ref="C32"/>
    <hyperlink r:id="rId34" ref="C33"/>
    <hyperlink r:id="rId35" ref="C34"/>
    <hyperlink r:id="rId36" ref="C35"/>
    <hyperlink r:id="rId37" ref="C36"/>
    <hyperlink r:id="rId38" ref="C37"/>
    <hyperlink r:id="rId39" ref="C38"/>
    <hyperlink r:id="rId40" ref="C39"/>
    <hyperlink r:id="rId41" ref="C40"/>
    <hyperlink r:id="rId42" ref="C41"/>
    <hyperlink r:id="rId43" ref="C42"/>
    <hyperlink r:id="rId44" ref="C43"/>
    <hyperlink r:id="rId45" ref="C44"/>
    <hyperlink r:id="rId46" ref="C45"/>
    <hyperlink r:id="rId47" ref="C46"/>
    <hyperlink r:id="rId48" ref="C47"/>
    <hyperlink r:id="rId49" ref="C48"/>
    <hyperlink r:id="rId50" ref="C49"/>
    <hyperlink r:id="rId51" ref="C50"/>
    <hyperlink r:id="rId52" ref="C51"/>
    <hyperlink r:id="rId53" location="gid=1932012694" ref="C52"/>
    <hyperlink r:id="rId54" ref="C53"/>
    <hyperlink r:id="rId55" ref="C54"/>
    <hyperlink r:id="rId56" ref="C55"/>
    <hyperlink r:id="rId57" ref="C56"/>
    <hyperlink r:id="rId58" ref="C57"/>
    <hyperlink r:id="rId59" location="gid=1932012694" ref="C58"/>
    <hyperlink r:id="rId60" ref="C59"/>
    <hyperlink r:id="rId61" ref="C60"/>
    <hyperlink r:id="rId62" ref="C61"/>
    <hyperlink r:id="rId63" ref="C62"/>
    <hyperlink r:id="rId64" ref="C63"/>
    <hyperlink r:id="rId65" ref="C64"/>
    <hyperlink r:id="rId66" ref="C65"/>
    <hyperlink r:id="rId67" ref="C66"/>
    <hyperlink r:id="rId68" ref="C67"/>
    <hyperlink r:id="rId69" ref="C68"/>
    <hyperlink r:id="rId70" ref="C69"/>
    <hyperlink r:id="rId71" ref="C70"/>
    <hyperlink r:id="rId72" ref="C71"/>
    <hyperlink r:id="rId73" ref="C72"/>
    <hyperlink r:id="rId74" ref="C73"/>
    <hyperlink r:id="rId75" ref="C74"/>
    <hyperlink r:id="rId76" ref="A809"/>
    <hyperlink r:id="rId77" ref="A821"/>
    <hyperlink r:id="rId78" ref="A833"/>
    <hyperlink r:id="rId79" ref="A837"/>
    <hyperlink r:id="rId80" ref="A845"/>
    <hyperlink r:id="rId81" ref="A848"/>
    <hyperlink r:id="rId82" ref="A849"/>
    <hyperlink r:id="rId83" ref="A872"/>
    <hyperlink r:id="rId84" ref="A884"/>
    <hyperlink r:id="rId85" ref="A894"/>
    <hyperlink r:id="rId86" ref="A899"/>
    <hyperlink r:id="rId87" ref="A901"/>
    <hyperlink r:id="rId88" ref="A902"/>
    <hyperlink r:id="rId89" ref="A905"/>
    <hyperlink r:id="rId90" ref="A906"/>
    <hyperlink r:id="rId91" ref="A907"/>
    <hyperlink r:id="rId92" ref="A908"/>
    <hyperlink r:id="rId93" ref="A909"/>
    <hyperlink r:id="rId94" ref="A910"/>
    <hyperlink r:id="rId95" ref="A911"/>
    <hyperlink r:id="rId96" ref="A912"/>
    <hyperlink r:id="rId97" ref="A913"/>
    <hyperlink r:id="rId98" ref="A914"/>
    <hyperlink r:id="rId99" ref="A917"/>
    <hyperlink r:id="rId100" ref="A918"/>
    <hyperlink r:id="rId101" ref="A919"/>
    <hyperlink r:id="rId102" ref="A920"/>
    <hyperlink r:id="rId103" ref="A921"/>
    <hyperlink r:id="rId104" ref="A922"/>
    <hyperlink r:id="rId105" ref="A923"/>
    <hyperlink r:id="rId106" ref="A924"/>
    <hyperlink r:id="rId107" ref="A925"/>
    <hyperlink r:id="rId108" ref="A929"/>
    <hyperlink r:id="rId109" ref="A930"/>
    <hyperlink r:id="rId110" ref="A931"/>
    <hyperlink r:id="rId111" ref="A933"/>
    <hyperlink r:id="rId112" ref="A934"/>
    <hyperlink r:id="rId113" ref="A935"/>
    <hyperlink r:id="rId114" ref="A936"/>
    <hyperlink r:id="rId115" ref="A937"/>
    <hyperlink r:id="rId116" ref="A997"/>
    <hyperlink r:id="rId117" ref="A1003"/>
    <hyperlink r:id="rId118" ref="A1005"/>
    <hyperlink r:id="rId119" ref="A1013"/>
    <hyperlink r:id="rId120" ref="A1014"/>
    <hyperlink r:id="rId121" ref="A1017"/>
    <hyperlink r:id="rId122" ref="A1025"/>
    <hyperlink r:id="rId123" ref="A1026"/>
    <hyperlink r:id="rId124" ref="A1029"/>
    <hyperlink r:id="rId125" ref="A1037"/>
    <hyperlink r:id="rId126" ref="A1038"/>
    <hyperlink r:id="rId127" ref="A1039"/>
    <hyperlink r:id="rId128" ref="A1041"/>
    <hyperlink r:id="rId129" ref="A1043"/>
    <hyperlink r:id="rId130" ref="A1044"/>
    <hyperlink r:id="rId131" ref="A1046"/>
    <hyperlink r:id="rId132" ref="A1049"/>
    <hyperlink r:id="rId133" ref="A1050"/>
    <hyperlink r:id="rId134" ref="A1051"/>
    <hyperlink r:id="rId135" ref="A1053"/>
    <hyperlink r:id="rId136" ref="A1055"/>
    <hyperlink r:id="rId137" ref="A1056"/>
    <hyperlink r:id="rId138" ref="A1061"/>
    <hyperlink r:id="rId139" ref="A1062"/>
    <hyperlink r:id="rId140" ref="A1063"/>
    <hyperlink r:id="rId141" ref="A1065"/>
    <hyperlink r:id="rId142" ref="A1067"/>
    <hyperlink r:id="rId143" ref="A1068"/>
    <hyperlink r:id="rId144" ref="A1073"/>
    <hyperlink r:id="rId145" ref="A1074"/>
    <hyperlink r:id="rId146" ref="A1077"/>
    <hyperlink r:id="rId147" ref="A1079"/>
    <hyperlink r:id="rId148" ref="A1080"/>
  </hyperlinks>
  <printOptions/>
  <pageMargins bottom="0.75" footer="0.0" header="0.0" left="0.7" right="0.7" top="0.75"/>
  <pageSetup orientation="landscape"/>
  <drawing r:id="rId149"/>
</worksheet>
</file>