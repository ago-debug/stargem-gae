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embre" sheetId="1" r:id="rId5"/>
    <sheet state="visible" name="ottobre" sheetId="2" r:id="rId6"/>
    <sheet state="visible" name="novembre" sheetId="3" r:id="rId7"/>
    <sheet state="visible" name="dicembre" sheetId="4" r:id="rId8"/>
    <sheet state="visible" name="gennaio" sheetId="5" r:id="rId9"/>
    <sheet state="visible" name="febbraio" sheetId="6" r:id="rId10"/>
    <sheet state="visible" name="marzo" sheetId="7" r:id="rId11"/>
    <sheet state="visible" name="aprile" sheetId="8" r:id="rId12"/>
    <sheet state="visible" name="maggio" sheetId="9" r:id="rId13"/>
    <sheet state="visible" name="giugno" sheetId="10" r:id="rId14"/>
    <sheet state="visible" name="luglio" sheetId="11" r:id="rId15"/>
    <sheet state="visible" name="agosto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tc={0aaf8b37-62d7-4f09-ae7a-e752329a7f64}</author>
    <author>tc={1d207736-aff5-4764-b248-fd3db710e6cb}</author>
    <author>tc={9487321b-d2a9-4bab-b043-0bc696b9f764}</author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  <comment authorId="1" xr:uid="{0aaf8b37-62d7-4f09-ae7a-e752329a7f64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quando viene inserito il NO e da errore nella colonna P, nella riga 34 non fa il totale.
</t>
      </text>
    </comment>
    <comment authorId="2" xr:uid="{1d207736-aff5-4764-b248-fd3db710e6cb}" ref="O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bisogna aggiungere WS e Domeniche in movimento.
</t>
      </text>
    </comment>
    <comment authorId="3" xr:uid="{9487321b-d2a9-4bab-b043-0bc696b9f7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Collegare al calendario date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gae 29giu2025
📘 Guida all'uso del foglio
🎯 Obiettivo: inserire e sommare valori in formato "numero + lettera" per diverse categorie (es. 10D, 5 B, 20F).
✅ Formato valido: es. "10D", "5 B", "25F" (con o senza spazio).
Lettere ammesse:
B = Bambini | D = Danza | C = Ballo | F = Fitness | A = Aerial | I = Individuale | S = Serate + Show | E = Evento esterno | U = Ufficio | V = Vacanza studio | W = Web | SA = Saggi | CA = Campus
🧮 I totali per ciascuna lettera sono calcolati automaticamente in riga 37.
⚠️ La colonna P controlla la correttezza dei dati:
- "✅ OK" → riga corretta
- "⚠️ ERRORE in C2, F2..." → celle con formato non valido
- Riga vuota → nessuna nota
🚫 Formati NON validi: D10, 5Z, abc, 3 Xx, testo libero.
Assicurati che tutti i valori seguano il formato indicato per evitare errori nel conteggio!
</t>
      </text>
    </comment>
  </commentList>
</comments>
</file>

<file path=xl/sharedStrings.xml><?xml version="1.0" encoding="utf-8"?>
<sst xmlns="http://schemas.openxmlformats.org/spreadsheetml/2006/main" count="361" uniqueCount="31">
  <si>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</si>
  <si>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</si>
  <si>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</si>
  <si>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</si>
  <si>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</si>
  <si>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</si>
  <si>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</si>
  <si>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</si>
  <si>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</si>
  <si>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</si>
  <si>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</si>
  <si>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</si>
  <si>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</si>
  <si>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</si>
  <si>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controllo</t>
  </si>
  <si>
    <t>TOTALE</t>
  </si>
  <si>
    <t>Legenda:</t>
  </si>
  <si>
    <t>B = Bambini</t>
  </si>
  <si>
    <t>D = Danza</t>
  </si>
  <si>
    <t>C = Ballo</t>
  </si>
  <si>
    <t>F = Fitness</t>
  </si>
  <si>
    <t>A = Aerial</t>
  </si>
  <si>
    <t>I = Individuale</t>
  </si>
  <si>
    <t>S = Serate + Show</t>
  </si>
  <si>
    <t>E = Evento Esterno</t>
  </si>
  <si>
    <t>U = Ufficio</t>
  </si>
  <si>
    <t>V = Vacanza Studio</t>
  </si>
  <si>
    <t>W = Web</t>
  </si>
  <si>
    <t>SA = Saggi</t>
  </si>
  <si>
    <t>CA = Campus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</si>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</sst>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  &quot;mmm&quot; &quot;yyyy"/>
    <numFmt numFmtId="165" formatCode="dddd&quot; &quot;d&quot;  &quot;"/>
    <numFmt numFmtId="166" formatCode="[$€-2]\ #,##0"/>
  </numFmts>
  <fonts count="8">
    <font>
      <sz val="10.0"/>
      <color rgb="FF000000"/>
      <name val="Helvetica Neue"/>
      <scheme val="minor"/>
    </font>
    <font>
      <b/>
      <sz val="14.0"/>
      <color rgb="FF000000"/>
      <name val="Arial"/>
    </font>
    <font>
      <b/>
      <sz val="8.0"/>
      <color rgb="FF000000"/>
      <name val="Arial"/>
    </font>
    <font>
      <b/>
      <sz val="10.0"/>
      <color rgb="FF000000"/>
      <name val="Arial"/>
    </font>
    <font>
      <sz val="12.0"/>
      <color rgb="FF000000"/>
      <name val="Arial"/>
    </font>
    <font>
      <sz val="8.0"/>
      <color rgb="FF000000"/>
      <name val="Arial"/>
    </font>
    <font/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DBDBDB"/>
        <bgColor rgb="FFDBDBDB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medium">
        <color rgb="FF000000"/>
      </left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 style="thin">
        <color rgb="FFCCCCCC"/>
      </right>
      <top style="thin">
        <color rgb="FFB7B7B7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top" wrapText="1"/>
    </xf>
    <xf borderId="1" fillId="2" fontId="1" numFmtId="164" xfId="0" applyAlignment="1" applyBorder="1" applyFill="1" applyFont="1" applyNumberFormat="1">
      <alignment horizontal="right" readingOrder="0" shrinkToFit="0" vertical="center" wrapText="1"/>
    </xf>
    <xf borderId="1" fillId="3" fontId="1" numFmtId="49" xfId="0" applyAlignment="1" applyBorder="1" applyFill="1" applyFont="1" applyNumberFormat="1">
      <alignment horizontal="center" readingOrder="0" shrinkToFit="0" vertical="center" wrapText="1"/>
    </xf>
    <xf borderId="2" fillId="3" fontId="1" numFmtId="49" xfId="0" applyAlignment="1" applyBorder="1" applyFont="1" applyNumberFormat="1">
      <alignment horizontal="center" readingOrder="0" shrinkToFit="0" vertical="center" wrapText="1"/>
    </xf>
    <xf borderId="3" fillId="4" fontId="2" numFmtId="49" xfId="0" applyAlignment="1" applyBorder="1" applyFill="1" applyFont="1" applyNumberFormat="1">
      <alignment horizontal="center" readingOrder="0" shrinkToFit="0" vertical="center" wrapText="1"/>
    </xf>
    <xf borderId="1" fillId="5" fontId="3" numFmtId="165" xfId="0" applyAlignment="1" applyBorder="1" applyFill="1" applyFont="1" applyNumberFormat="1">
      <alignment horizontal="right" readingOrder="0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2" fillId="0" fontId="4" numFmtId="49" xfId="0" applyAlignment="1" applyBorder="1" applyFont="1" applyNumberFormat="1">
      <alignment horizontal="center" shrinkToFit="0" vertical="center" wrapText="1"/>
    </xf>
    <xf borderId="4" fillId="0" fontId="5" numFmtId="166" xfId="0" applyAlignment="1" applyBorder="1" applyFont="1" applyNumberFormat="1">
      <alignment horizontal="center" shrinkToFit="0" vertical="center" wrapText="1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5" fillId="3" fontId="1" numFmtId="166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3" fontId="1" numFmtId="0" xfId="0" applyAlignment="1" applyBorder="1" applyFont="1">
      <alignment horizontal="right" readingOrder="0" shrinkToFit="0" vertical="center" wrapText="1"/>
    </xf>
    <xf borderId="9" fillId="5" fontId="3" numFmtId="0" xfId="0" applyAlignment="1" applyBorder="1" applyFont="1">
      <alignment horizontal="left" readingOrder="0" shrinkToFit="0" vertical="center" wrapText="1"/>
    </xf>
    <xf borderId="9" fillId="0" fontId="7" numFmtId="166" xfId="0" applyAlignment="1" applyBorder="1" applyFont="1" applyNumberFormat="1">
      <alignment horizontal="left" readingOrder="0" shrinkToFit="0" vertical="center" wrapText="1"/>
    </xf>
    <xf borderId="1" fillId="6" fontId="1" numFmtId="164" xfId="0" applyAlignment="1" applyBorder="1" applyFill="1" applyFont="1" applyNumberFormat="1">
      <alignment horizontal="right" readingOrder="0" shrinkToFit="0" vertical="center" wrapText="1"/>
    </xf>
    <xf borderId="5" fillId="0" fontId="7" numFmtId="166" xfId="0" applyAlignment="1" applyBorder="1" applyFont="1" applyNumberFormat="1">
      <alignment horizontal="center" shrinkToFit="0" vertical="center" wrapText="1"/>
    </xf>
    <xf borderId="1" fillId="7" fontId="1" numFmtId="164" xfId="0" applyAlignment="1" applyBorder="1" applyFill="1" applyFont="1" applyNumberFormat="1">
      <alignment horizontal="right" readingOrder="0" shrinkToFit="0" vertical="center" wrapText="1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a Arrivabene" id="{6b83245b-9171-4597-9bb6-235be8549a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9" dT="2026-01-10T17:45:28.00" personId="{6b83245b-9171-4597-9bb6-235be8549ab9}" id="{0aaf8b37-62d7-4f09-ae7a-e752329a7f64}" done="0">
    <x18tc:text xml:space="preserve">quando viene inserito il NO e da errore nella colonna P, nella riga 34 non fa il totale.</x18tc:text>
  </x18tc:threadedComment>
  <x18tc:threadedComment ref="A1" dT="2026-01-10T17:46:23.00" personId="{6b83245b-9171-4597-9bb6-235be8549ab9}" id="{9487321b-d2a9-4bab-b043-0bc696b9f764}" done="0">
    <x18tc:text xml:space="preserve">Collegare al calendario date</x18tc:text>
  </x18tc:threadedComment>
  <x18tc:threadedComment ref="O35" dT="2026-01-10T17:40:26.00" personId="{6b83245b-9171-4597-9bb6-235be8549ab9}" id="{1d207736-aff5-4764-b248-fd3db710e6cb}" done="0">
    <x18tc:text xml:space="preserve">bisogna aggiungere WS e Domeniche in movimento.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">
        <v>45901.0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45901.0</v>
      </c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45902.0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45903.0</v>
      </c>
      <c r="B4" s="7"/>
      <c r="C4" s="7"/>
      <c r="D4" s="7"/>
      <c r="E4" s="7"/>
      <c r="F4" s="6"/>
      <c r="G4" s="7"/>
      <c r="H4" s="6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45904.0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45905.0</v>
      </c>
      <c r="B6" s="7"/>
      <c r="C6" s="7"/>
      <c r="D6" s="6"/>
      <c r="E6" s="6"/>
      <c r="F6" s="7"/>
      <c r="G6" s="7"/>
      <c r="H6" s="7"/>
      <c r="I6" s="6"/>
      <c r="J6" s="6"/>
      <c r="K6" s="6"/>
      <c r="L6" s="6"/>
      <c r="M6" s="6"/>
      <c r="N6" s="6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45906.0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45907.0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45908.0</v>
      </c>
      <c r="B9" s="7"/>
      <c r="C9" s="7"/>
      <c r="D9" s="7"/>
      <c r="E9" s="7"/>
      <c r="F9" s="7"/>
      <c r="G9" s="7"/>
      <c r="H9" s="7"/>
      <c r="I9" s="7"/>
      <c r="J9" s="6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45909.0</v>
      </c>
      <c r="B10" s="7"/>
      <c r="C10" s="7"/>
      <c r="D10" s="7"/>
      <c r="E10" s="6"/>
      <c r="F10" s="7"/>
      <c r="G10" s="7"/>
      <c r="H10" s="6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45910.0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45911.0</v>
      </c>
      <c r="B12" s="7"/>
      <c r="C12" s="7"/>
      <c r="D12" s="6"/>
      <c r="E12" s="7"/>
      <c r="F12" s="7"/>
      <c r="G12" s="7"/>
      <c r="H12" s="7"/>
      <c r="I12" s="7"/>
      <c r="J12" s="6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45912.0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45913.0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45914.0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45915.0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45916.0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45917.0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45918.0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45919.0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45920.0</v>
      </c>
      <c r="B21" s="7"/>
      <c r="C21" s="7"/>
      <c r="D21" s="7"/>
      <c r="E21" s="7"/>
      <c r="F21" s="7"/>
      <c r="G21" s="7"/>
      <c r="H21" s="7"/>
      <c r="I21" s="6"/>
      <c r="J21" s="6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45921.0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45922.0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45923.0</v>
      </c>
      <c r="B24" s="7"/>
      <c r="C24" s="7"/>
      <c r="D24" s="7"/>
      <c r="E24" s="7"/>
      <c r="F24" s="7"/>
      <c r="G24" s="7"/>
      <c r="H24" s="6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45924.0</v>
      </c>
      <c r="B25" s="7"/>
      <c r="C25" s="7"/>
      <c r="D25" s="7"/>
      <c r="E25" s="7"/>
      <c r="F25" s="6"/>
      <c r="G25" s="7"/>
      <c r="H25" s="6"/>
      <c r="I25" s="6"/>
      <c r="J25" s="6"/>
      <c r="K25" s="6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45925.0</v>
      </c>
      <c r="B26" s="7"/>
      <c r="C26" s="7"/>
      <c r="D26" s="6"/>
      <c r="E26" s="7"/>
      <c r="F26" s="7"/>
      <c r="G26" s="6"/>
      <c r="H26" s="6"/>
      <c r="I26" s="6"/>
      <c r="J26" s="6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45926.0</v>
      </c>
      <c r="B27" s="7"/>
      <c r="C27" s="7"/>
      <c r="D27" s="6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45927.0</v>
      </c>
      <c r="B28" s="7"/>
      <c r="C28" s="7"/>
      <c r="D28" s="6"/>
      <c r="E28" s="7"/>
      <c r="F28" s="6"/>
      <c r="G28" s="7"/>
      <c r="H28" s="7"/>
      <c r="I28" s="6"/>
      <c r="J28" s="6"/>
      <c r="K28" s="6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45928.0</v>
      </c>
      <c r="B29" s="7"/>
      <c r="C29" s="7"/>
      <c r="D29" s="7"/>
      <c r="E29" s="7"/>
      <c r="F29" s="6"/>
      <c r="G29" s="7"/>
      <c r="H29" s="7"/>
      <c r="I29" s="7"/>
      <c r="J29" s="6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45929.0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45930.0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1">
        <f>IFERROR(__xludf.DUMMYFUNCTION("SUM(ARRAYFORMULA(
  IF(B2:O32="""", 0,
    IF(UPPER(TRIM(B2:O32))=""NO"", 0,
      VALUE(REGEXEXTRACT(B2:O32, ""^\d+""))
    )
  )
))
"),0.0)</f>
        <v>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1">
    <mergeCell ref="B33:P33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3:P33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45931.0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45931.0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45932.0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45933.0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45934.0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45935.0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45936.0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45937.0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45938.0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45939.0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45940.0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45941.0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45942.0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45943.0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45944.0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45945.0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45946.0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45947.0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45948.0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45949.0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45950.0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45951.0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45952.0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45953.0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45954.0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45955.0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45956.0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45957.0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45958.0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45959.0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45960.0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45961.0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">
        <v>45962.0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45962.0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45963.0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45964.0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45965.0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45966.0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45967.0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45968.0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45969.0</v>
      </c>
      <c r="B9" s="7"/>
      <c r="C9" s="7"/>
      <c r="D9" s="7"/>
      <c r="E9" s="7"/>
      <c r="F9" s="7"/>
      <c r="G9" s="6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45970.0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45971.0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45972.0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45973.0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45974.0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45975.0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45976.0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45977.0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45978.0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45979.0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45980.0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45981.0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45982.0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45983.0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45984.0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45985.0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45986.0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45987.0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45988.0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45989.0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45990.0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45991.0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45992.0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45992.0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45993.0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45994.0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45995.0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45996.0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45997.0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45998.0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45999.0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46000.0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46001.0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46002.0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46003.0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46004.0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46005.0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46006.0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46007.0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46008.0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46009.0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46010.0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46011.0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46012.0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46013.0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46014.0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46015.0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46016.0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46017.0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46018.0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46019.0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46020.0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46021.0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46022.0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46023.0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46023.0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46024.0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46025.0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46026.0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46027.0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46028.0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46029.0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46030.0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46031.0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46032.0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46033.0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46034.0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46035.0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46036.0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46037.0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46038.0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46039.0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46040.0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46041.0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46042.0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46043.0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46044.0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46045.0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46046.0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46047.0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46048.0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46049.0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46050.0</v>
      </c>
      <c r="B29" s="7"/>
      <c r="C29" s="7"/>
      <c r="D29" s="7"/>
      <c r="E29" s="7"/>
      <c r="F29" s="7"/>
      <c r="G29" s="7"/>
      <c r="H29" s="6" t="s">
        <v>30</v>
      </c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"),"⚠️ ERRORE in H29")</f>
        <v>⚠️ ERRORE in H29</v>
      </c>
    </row>
    <row r="30" ht="23.25" customHeight="1">
      <c r="A30" s="5">
        <v>46051.0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46052.0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46053.0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9">
        <v>46054.0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46054.0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46055.0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46056.0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46057.0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46058.0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46059.0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46060.0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46061.0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46062.0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46063.0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46064.0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46065.0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46066.0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46067.0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46068.0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46069.0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46070.0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46071.0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46072.0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46073.0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46074.0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46075.0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46076.0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46077.0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46078.0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46079.0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46080.0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46081.0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/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46082.0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46082.0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46083.0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46084.0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46085.0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46086.0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46087.0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46088.0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46089.0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46090.0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46091.0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46092.0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46093.0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46094.0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46095.0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46096.0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46097.0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46098.0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46099.0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46100.0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46101.0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46102.0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46103.0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46104.0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46105.0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46106.0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46107.0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46108.0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46109.0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46110.0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46111.0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46112.0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">
        <v>46113.0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46113.0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46114.0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46115.0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46116.0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46117.0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46118.0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46119.0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46120.0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46121.0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46122.0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46123.0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46124.0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46125.0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46126.0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46127.0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46128.0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46129.0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46130.0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46131.0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46132.0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46133.0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46134.0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46135.0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46136.0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46137.0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46138.0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46139.0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46140.0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46141.0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46142.0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46143.0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46143.0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46144.0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46145.0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46146.0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46147.0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46148.0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46149.0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46150.0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46151.0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46152.0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46153.0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46154.0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46155.0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46156.0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46157.0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46158.0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46159.0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46160.0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46161.0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46162.0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46163.0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46164.0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46165.0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46166.0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46167.0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46168.0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46169.0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46170.0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46171.0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46172.0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46173.0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">
        <v>46174.0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46174.0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46175.0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46176.0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46177.0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46178.0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46179.0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46180.0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46181.0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46182.0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46183.0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46184.0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46185.0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46186.0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46187.0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46188.0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46189.0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46190.0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46191.0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46192.0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46193.0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46194.0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46195.0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46196.0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46197.0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46198.0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46199.0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46200.0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46201.0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46202.0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46203.0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46204.0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46204.0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46205.0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46206.0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46207.0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46208.0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46209.0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46210.0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46211.0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46212.0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46213.0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46214.0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46215.0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46216.0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46217.0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46218.0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46219.0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46220.0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46221.0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46222.0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46223.0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46224.0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46225.0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46226.0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46227.0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46228.0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46229.0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46230.0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46231.0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46232.0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46233.0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46234.0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15" width="8.71"/>
    <col customWidth="1" min="16" max="16" width="18.29"/>
  </cols>
  <sheetData>
    <row r="1" ht="28.5" customHeight="1">
      <c r="A1" s="17">
        <v>46235.0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</row>
    <row r="2" ht="23.25" customHeight="1">
      <c r="A2" s="5">
        <v>46235.0</v>
      </c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6"/>
      <c r="N2" s="7"/>
      <c r="O2" s="8"/>
      <c r="P2" s="9" t="str">
        <f>IFERROR(__xludf.DUMMYFUNCTION("IF(
  COUNTA(B2:O2) = 0,
  """",
  IF(
    AND(
      OR(B2="""", REGEXMATCH(B2, ""^\d+\s*(B|D|C|F|A|I|S|E|U|V|W|SA|CA)$"")),
      OR(C2="""", REGEXMATCH(C2, ""^\d+\s*(B|D|C|F|A|I|S|E|U|V|W|SA|CA)$"")),
      OR(D2="""", REGEXMATCH(D2, ""^\d+\s*(B|D|C|F|"&amp;"A|I|S|E|U|V|W|SA|CA)$"")),
      OR(E2="""", REGEXMATCH(E2, ""^\d+\s*(B|D|C|F|A|I|S|E|U|V|W|SA|CA)$"")),
      OR(F2="""", REGEXMATCH(F2, ""^\d+\s*(B|D|C|F|A|I|S|E|U|V|W|SA|CA)$"")),
      OR(G2="""", REGEXMATCH(G2, ""^\d+\s*(B|D|C|F|A|I|S|E|U|V|W|SA|CA)$"&amp;""")),
      OR(H2="""", REGEXMATCH(H2, ""^\d+\s*(B|D|C|F|A|I|S|E|U|V|W|SA|CA)$"")),
      OR(I2="""", REGEXMATCH(I2, ""^\d+\s*(B|D|C|F|A|I|S|E|U|V|W|SA|CA)$"")),
      OR(J2="""", REGEXMATCH(J2, ""^\d+\s*(B|D|C|F|A|I|S|E|U|V|W|SA|CA)$"")),
      OR(K2="""&amp;""", REGEXMATCH(K2, ""^\d+\s*(B|D|C|F|A|I|S|E|U|V|W|SA|CA)$"")),
      OR(L2="""", REGEXMATCH(L2, ""^\d+\s*(B|D|C|F|A|I|S|E|U|V|W|SA|CA)$"")),
      OR(M2="""", REGEXMATCH(M2, ""^\d+\s*(B|D|C|F|A|I|S|E|U|V|W|SA|CA)$"")),
      OR(N2="""", REGEXMATCH(N2, """&amp;"^\d+\s*(B|D|C|F|A|I|S|E|U|V|W|SA|CA)$"")),
      OR(O2="""", REGEXMATCH(O2, ""^\d+\s*(B|D|C|F|A|I|S|E|U|V|W|SA|CA)$""))
    ),
    ""✅ OK"",
    ""⚠️ ERRORE in "" &amp;
    TEXTJOIN("", "",
      TRUE,
      IF(NOT(OR(B2="""", REGEXMATCH(B2, ""^\d+\s*(B|D|C|F"&amp;"|A|I|S|E|U|V|W|SA|CA)$""))), ""B"" &amp; ROW(), """"),
      IF(NOT(OR(C2="""", REGEXMATCH(C2, ""^\d+\s*(B|D|C|F|A|I|S|E|U|V|W|SA|CA)$""))), ""C"" &amp; ROW(), """"),
      IF(NOT(OR(D2="""", REGEXMATCH(D2, ""^\d+\s*(B|D|C|F|A|I|S|E|U|V|W|SA|CA)$""))), ""D"" &amp; RO"&amp;"W(), """"),
      IF(NOT(OR(E2="""", REGEXMATCH(E2, ""^\d+\s*(B|D|C|F|A|I|S|E|U|V|W|SA|CA)$""))), ""E"" &amp; ROW(), """"),
      IF(NOT(OR(F2="""", REGEXMATCH(F2, ""^\d+\s*(B|D|C|F|A|I|S|E|U|V|W|SA|CA)$""))), ""F"" &amp; ROW(), """"),
      IF(NOT(OR(G2="""", RE"&amp;"GEXMATCH(G2, ""^\d+\s*(B|D|C|F|A|I|S|E|U|V|W|SA|CA)$""))), ""G"" &amp; ROW(), """"),
      IF(NOT(OR(H2="""", REGEXMATCH(H2, ""^\d+\s*(B|D|C|F|A|I|S|E|U|V|W|SA|CA)$""))), ""H"" &amp; ROW(), """"),
      IF(NOT(OR(I2="""", REGEXMATCH(I2, ""^\d+\s*(B|D|C|F|A|I|S|E|"&amp;"U|V|W|SA|CA)$""))), ""I"" &amp; ROW(), """"),
      IF(NOT(OR(J2="""", REGEXMATCH(J2, ""^\d+\s*(B|D|C|F|A|I|S|E|U|V|W|SA|CA)$""))), ""J"" &amp; ROW(), """"),
      IF(NOT(OR(K2="""", REGEXMATCH(K2, ""^\d+\s*(B|D|C|F|A|I|S|E|U|V|W|SA|CA)$""))), ""K"" &amp; ROW(), """""&amp;"),
      IF(NOT(OR(L2="""", REGEXMATCH(L2, ""^\d+\s*(B|D|C|F|A|I|S|E|U|V|W|SA|CA)$""))), ""L"" &amp; ROW(), """"),
      IF(NOT(OR(M2="""", REGEXMATCH(M2, ""^\d+\s*(B|D|C|F|A|I|S|E|U|V|W|SA|CA)$""))), ""M"" &amp; ROW(), """"),
      IF(NOT(OR(N2="""", REGEXMATCH("&amp;"N2, ""^\d+\s*(B|D|C|F|A|I|S|E|U|V|W|SA|CA)$""))), ""N"" &amp; ROW(), """"),
      IF(NOT(OR(O2="""", REGEXMATCH(O2, ""^\d+\s*(B|D|C|F|A|I|S|E|U|V|W|SA|CA)$""))), ""O"" &amp; ROW(), """")
    )
  )
)
"),"")</f>
        <v/>
      </c>
    </row>
    <row r="3" ht="23.25" customHeight="1">
      <c r="A3" s="5">
        <v>46236.0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7"/>
      <c r="O3" s="8"/>
      <c r="P3" s="9" t="str">
        <f>IFERROR(__xludf.DUMMYFUNCTION("IF(
  COUNTA(B3:O3) = 0,
  """",
  IF(
    AND(
      OR(B3="""", REGEXMATCH(B3, ""^\d+\s*(B|D|C|F|A|I|S|E|U|V|W|SA|CA)$"")),
      OR(C3="""", REGEXMATCH(C3, ""^\d+\s*(B|D|C|F|A|I|S|E|U|V|W|SA|CA)$"")),
      OR(D3="""", REGEXMATCH(D3, ""^\d+\s*(B|D|C|F|"&amp;"A|I|S|E|U|V|W|SA|CA)$"")),
      OR(E3="""", REGEXMATCH(E3, ""^\d+\s*(B|D|C|F|A|I|S|E|U|V|W|SA|CA)$"")),
      OR(F3="""", REGEXMATCH(F3, ""^\d+\s*(B|D|C|F|A|I|S|E|U|V|W|SA|CA)$"")),
      OR(G3="""", REGEXMATCH(G3, ""^\d+\s*(B|D|C|F|A|I|S|E|U|V|W|SA|CA)$"&amp;""")),
      OR(H3="""", REGEXMATCH(H3, ""^\d+\s*(B|D|C|F|A|I|S|E|U|V|W|SA|CA)$"")),
      OR(I3="""", REGEXMATCH(I3, ""^\d+\s*(B|D|C|F|A|I|S|E|U|V|W|SA|CA)$"")),
      OR(J3="""", REGEXMATCH(J3, ""^\d+\s*(B|D|C|F|A|I|S|E|U|V|W|SA|CA)$"")),
      OR(K3="""&amp;""", REGEXMATCH(K3, ""^\d+\s*(B|D|C|F|A|I|S|E|U|V|W|SA|CA)$"")),
      OR(L3="""", REGEXMATCH(L3, ""^\d+\s*(B|D|C|F|A|I|S|E|U|V|W|SA|CA)$"")),
      OR(M3="""", REGEXMATCH(M3, ""^\d+\s*(B|D|C|F|A|I|S|E|U|V|W|SA|CA)$"")),
      OR(N3="""", REGEXMATCH(N3, """&amp;"^\d+\s*(B|D|C|F|A|I|S|E|U|V|W|SA|CA)$"")),
      OR(O3="""", REGEXMATCH(O3, ""^\d+\s*(B|D|C|F|A|I|S|E|U|V|W|SA|CA)$""))
    ),
    ""✅ OK"",
    ""⚠️ ERRORE in "" &amp;
    TEXTJOIN("", "",
      TRUE,
      IF(NOT(OR(B3="""", REGEXMATCH(B3, ""^\d+\s*(B|D|C|F"&amp;"|A|I|S|E|U|V|W|SA|CA)$""))), ""B"" &amp; ROW(), """"),
      IF(NOT(OR(C3="""", REGEXMATCH(C3, ""^\d+\s*(B|D|C|F|A|I|S|E|U|V|W|SA|CA)$""))), ""C"" &amp; ROW(), """"),
      IF(NOT(OR(D3="""", REGEXMATCH(D3, ""^\d+\s*(B|D|C|F|A|I|S|E|U|V|W|SA|CA)$""))), ""D"" &amp; RO"&amp;"W(), """"),
      IF(NOT(OR(E3="""", REGEXMATCH(E3, ""^\d+\s*(B|D|C|F|A|I|S|E|U|V|W|SA|CA)$""))), ""E"" &amp; ROW(), """"),
      IF(NOT(OR(F3="""", REGEXMATCH(F3, ""^\d+\s*(B|D|C|F|A|I|S|E|U|V|W|SA|CA)$""))), ""F"" &amp; ROW(), """"),
      IF(NOT(OR(G3="""", RE"&amp;"GEXMATCH(G3, ""^\d+\s*(B|D|C|F|A|I|S|E|U|V|W|SA|CA)$""))), ""G"" &amp; ROW(), """"),
      IF(NOT(OR(H3="""", REGEXMATCH(H3, ""^\d+\s*(B|D|C|F|A|I|S|E|U|V|W|SA|CA)$""))), ""H"" &amp; ROW(), """"),
      IF(NOT(OR(I3="""", REGEXMATCH(I3, ""^\d+\s*(B|D|C|F|A|I|S|E|"&amp;"U|V|W|SA|CA)$""))), ""I"" &amp; ROW(), """"),
      IF(NOT(OR(J3="""", REGEXMATCH(J3, ""^\d+\s*(B|D|C|F|A|I|S|E|U|V|W|SA|CA)$""))), ""J"" &amp; ROW(), """"),
      IF(NOT(OR(K3="""", REGEXMATCH(K3, ""^\d+\s*(B|D|C|F|A|I|S|E|U|V|W|SA|CA)$""))), ""K"" &amp; ROW(), """""&amp;"),
      IF(NOT(OR(L3="""", REGEXMATCH(L3, ""^\d+\s*(B|D|C|F|A|I|S|E|U|V|W|SA|CA)$""))), ""L"" &amp; ROW(), """"),
      IF(NOT(OR(M3="""", REGEXMATCH(M3, ""^\d+\s*(B|D|C|F|A|I|S|E|U|V|W|SA|CA)$""))), ""M"" &amp; ROW(), """"),
      IF(NOT(OR(N3="""", REGEXMATCH("&amp;"N3, ""^\d+\s*(B|D|C|F|A|I|S|E|U|V|W|SA|CA)$""))), ""N"" &amp; ROW(), """"),
      IF(NOT(OR(O3="""", REGEXMATCH(O3, ""^\d+\s*(B|D|C|F|A|I|S|E|U|V|W|SA|CA)$""))), ""O"" &amp; ROW(), """")
    )
  )
)
"),"")</f>
        <v/>
      </c>
    </row>
    <row r="4" ht="23.25" customHeight="1">
      <c r="A4" s="5">
        <v>46237.0</v>
      </c>
      <c r="B4" s="7"/>
      <c r="C4" s="7"/>
      <c r="D4" s="7"/>
      <c r="E4" s="7"/>
      <c r="F4" s="6"/>
      <c r="G4" s="7"/>
      <c r="H4" s="7"/>
      <c r="I4" s="7"/>
      <c r="J4" s="6"/>
      <c r="K4" s="7"/>
      <c r="L4" s="7"/>
      <c r="M4" s="7"/>
      <c r="N4" s="7"/>
      <c r="O4" s="8"/>
      <c r="P4" s="9" t="str">
        <f>IFERROR(__xludf.DUMMYFUNCTION("IF(
  COUNTA(B4:O4) = 0,
  """",
  IF(
    AND(
      OR(B4="""", REGEXMATCH(B4, ""^\d+\s*(B|D|C|F|A|I|S|E|U|V|W|SA|CA)$"")),
      OR(C4="""", REGEXMATCH(C4, ""^\d+\s*(B|D|C|F|A|I|S|E|U|V|W|SA|CA)$"")),
      OR(D4="""", REGEXMATCH(D4, ""^\d+\s*(B|D|C|F|"&amp;"A|I|S|E|U|V|W|SA|CA)$"")),
      OR(E4="""", REGEXMATCH(E4, ""^\d+\s*(B|D|C|F|A|I|S|E|U|V|W|SA|CA)$"")),
      OR(F4="""", REGEXMATCH(F4, ""^\d+\s*(B|D|C|F|A|I|S|E|U|V|W|SA|CA)$"")),
      OR(G4="""", REGEXMATCH(G4, ""^\d+\s*(B|D|C|F|A|I|S|E|U|V|W|SA|CA)$"&amp;""")),
      OR(H4="""", REGEXMATCH(H4, ""^\d+\s*(B|D|C|F|A|I|S|E|U|V|W|SA|CA)$"")),
      OR(I4="""", REGEXMATCH(I4, ""^\d+\s*(B|D|C|F|A|I|S|E|U|V|W|SA|CA)$"")),
      OR(J4="""", REGEXMATCH(J4, ""^\d+\s*(B|D|C|F|A|I|S|E|U|V|W|SA|CA)$"")),
      OR(K4="""&amp;""", REGEXMATCH(K4, ""^\d+\s*(B|D|C|F|A|I|S|E|U|V|W|SA|CA)$"")),
      OR(L4="""", REGEXMATCH(L4, ""^\d+\s*(B|D|C|F|A|I|S|E|U|V|W|SA|CA)$"")),
      OR(M4="""", REGEXMATCH(M4, ""^\d+\s*(B|D|C|F|A|I|S|E|U|V|W|SA|CA)$"")),
      OR(N4="""", REGEXMATCH(N4, """&amp;"^\d+\s*(B|D|C|F|A|I|S|E|U|V|W|SA|CA)$"")),
      OR(O4="""", REGEXMATCH(O4, ""^\d+\s*(B|D|C|F|A|I|S|E|U|V|W|SA|CA)$""))
    ),
    ""✅ OK"",
    ""⚠️ ERRORE in "" &amp;
    TEXTJOIN("", "",
      TRUE,
      IF(NOT(OR(B4="""", REGEXMATCH(B4, ""^\d+\s*(B|D|C|F"&amp;"|A|I|S|E|U|V|W|SA|CA)$""))), ""B"" &amp; ROW(), """"),
      IF(NOT(OR(C4="""", REGEXMATCH(C4, ""^\d+\s*(B|D|C|F|A|I|S|E|U|V|W|SA|CA)$""))), ""C"" &amp; ROW(), """"),
      IF(NOT(OR(D4="""", REGEXMATCH(D4, ""^\d+\s*(B|D|C|F|A|I|S|E|U|V|W|SA|CA)$""))), ""D"" &amp; RO"&amp;"W(), """"),
      IF(NOT(OR(E4="""", REGEXMATCH(E4, ""^\d+\s*(B|D|C|F|A|I|S|E|U|V|W|SA|CA)$""))), ""E"" &amp; ROW(), """"),
      IF(NOT(OR(F4="""", REGEXMATCH(F4, ""^\d+\s*(B|D|C|F|A|I|S|E|U|V|W|SA|CA)$""))), ""F"" &amp; ROW(), """"),
      IF(NOT(OR(G4="""", RE"&amp;"GEXMATCH(G4, ""^\d+\s*(B|D|C|F|A|I|S|E|U|V|W|SA|CA)$""))), ""G"" &amp; ROW(), """"),
      IF(NOT(OR(H4="""", REGEXMATCH(H4, ""^\d+\s*(B|D|C|F|A|I|S|E|U|V|W|SA|CA)$""))), ""H"" &amp; ROW(), """"),
      IF(NOT(OR(I4="""", REGEXMATCH(I4, ""^\d+\s*(B|D|C|F|A|I|S|E|"&amp;"U|V|W|SA|CA)$""))), ""I"" &amp; ROW(), """"),
      IF(NOT(OR(J4="""", REGEXMATCH(J4, ""^\d+\s*(B|D|C|F|A|I|S|E|U|V|W|SA|CA)$""))), ""J"" &amp; ROW(), """"),
      IF(NOT(OR(K4="""", REGEXMATCH(K4, ""^\d+\s*(B|D|C|F|A|I|S|E|U|V|W|SA|CA)$""))), ""K"" &amp; ROW(), """""&amp;"),
      IF(NOT(OR(L4="""", REGEXMATCH(L4, ""^\d+\s*(B|D|C|F|A|I|S|E|U|V|W|SA|CA)$""))), ""L"" &amp; ROW(), """"),
      IF(NOT(OR(M4="""", REGEXMATCH(M4, ""^\d+\s*(B|D|C|F|A|I|S|E|U|V|W|SA|CA)$""))), ""M"" &amp; ROW(), """"),
      IF(NOT(OR(N4="""", REGEXMATCH("&amp;"N4, ""^\d+\s*(B|D|C|F|A|I|S|E|U|V|W|SA|CA)$""))), ""N"" &amp; ROW(), """"),
      IF(NOT(OR(O4="""", REGEXMATCH(O4, ""^\d+\s*(B|D|C|F|A|I|S|E|U|V|W|SA|CA)$""))), ""O"" &amp; ROW(), """")
    )
  )
)
"),"")</f>
        <v/>
      </c>
    </row>
    <row r="5" ht="23.25" customHeight="1">
      <c r="A5" s="5">
        <v>46238.0</v>
      </c>
      <c r="B5" s="7"/>
      <c r="C5" s="7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8"/>
      <c r="P5" s="9" t="str">
        <f>IFERROR(__xludf.DUMMYFUNCTION("IF(
  COUNTA(B5:O5) = 0,
  """",
  IF(
    AND(
      OR(B5="""", REGEXMATCH(B5, ""^\d+\s*(B|D|C|F|A|I|S|E|U|V|W|SA|CA)$"")),
      OR(C5="""", REGEXMATCH(C5, ""^\d+\s*(B|D|C|F|A|I|S|E|U|V|W|SA|CA)$"")),
      OR(D5="""", REGEXMATCH(D5, ""^\d+\s*(B|D|C|F|"&amp;"A|I|S|E|U|V|W|SA|CA)$"")),
      OR(E5="""", REGEXMATCH(E5, ""^\d+\s*(B|D|C|F|A|I|S|E|U|V|W|SA|CA)$"")),
      OR(F5="""", REGEXMATCH(F5, ""^\d+\s*(B|D|C|F|A|I|S|E|U|V|W|SA|CA)$"")),
      OR(G5="""", REGEXMATCH(G5, ""^\d+\s*(B|D|C|F|A|I|S|E|U|V|W|SA|CA)$"&amp;""")),
      OR(H5="""", REGEXMATCH(H5, ""^\d+\s*(B|D|C|F|A|I|S|E|U|V|W|SA|CA)$"")),
      OR(I5="""", REGEXMATCH(I5, ""^\d+\s*(B|D|C|F|A|I|S|E|U|V|W|SA|CA)$"")),
      OR(J5="""", REGEXMATCH(J5, ""^\d+\s*(B|D|C|F|A|I|S|E|U|V|W|SA|CA)$"")),
      OR(K5="""&amp;""", REGEXMATCH(K5, ""^\d+\s*(B|D|C|F|A|I|S|E|U|V|W|SA|CA)$"")),
      OR(L5="""", REGEXMATCH(L5, ""^\d+\s*(B|D|C|F|A|I|S|E|U|V|W|SA|CA)$"")),
      OR(M5="""", REGEXMATCH(M5, ""^\d+\s*(B|D|C|F|A|I|S|E|U|V|W|SA|CA)$"")),
      OR(N5="""", REGEXMATCH(N5, """&amp;"^\d+\s*(B|D|C|F|A|I|S|E|U|V|W|SA|CA)$"")),
      OR(O5="""", REGEXMATCH(O5, ""^\d+\s*(B|D|C|F|A|I|S|E|U|V|W|SA|CA)$""))
    ),
    ""✅ OK"",
    ""⚠️ ERRORE in "" &amp;
    TEXTJOIN("", "",
      TRUE,
      IF(NOT(OR(B5="""", REGEXMATCH(B5, ""^\d+\s*(B|D|C|F"&amp;"|A|I|S|E|U|V|W|SA|CA)$""))), ""B"" &amp; ROW(), """"),
      IF(NOT(OR(C5="""", REGEXMATCH(C5, ""^\d+\s*(B|D|C|F|A|I|S|E|U|V|W|SA|CA)$""))), ""C"" &amp; ROW(), """"),
      IF(NOT(OR(D5="""", REGEXMATCH(D5, ""^\d+\s*(B|D|C|F|A|I|S|E|U|V|W|SA|CA)$""))), ""D"" &amp; RO"&amp;"W(), """"),
      IF(NOT(OR(E5="""", REGEXMATCH(E5, ""^\d+\s*(B|D|C|F|A|I|S|E|U|V|W|SA|CA)$""))), ""E"" &amp; ROW(), """"),
      IF(NOT(OR(F5="""", REGEXMATCH(F5, ""^\d+\s*(B|D|C|F|A|I|S|E|U|V|W|SA|CA)$""))), ""F"" &amp; ROW(), """"),
      IF(NOT(OR(G5="""", RE"&amp;"GEXMATCH(G5, ""^\d+\s*(B|D|C|F|A|I|S|E|U|V|W|SA|CA)$""))), ""G"" &amp; ROW(), """"),
      IF(NOT(OR(H5="""", REGEXMATCH(H5, ""^\d+\s*(B|D|C|F|A|I|S|E|U|V|W|SA|CA)$""))), ""H"" &amp; ROW(), """"),
      IF(NOT(OR(I5="""", REGEXMATCH(I5, ""^\d+\s*(B|D|C|F|A|I|S|E|"&amp;"U|V|W|SA|CA)$""))), ""I"" &amp; ROW(), """"),
      IF(NOT(OR(J5="""", REGEXMATCH(J5, ""^\d+\s*(B|D|C|F|A|I|S|E|U|V|W|SA|CA)$""))), ""J"" &amp; ROW(), """"),
      IF(NOT(OR(K5="""", REGEXMATCH(K5, ""^\d+\s*(B|D|C|F|A|I|S|E|U|V|W|SA|CA)$""))), ""K"" &amp; ROW(), """""&amp;"),
      IF(NOT(OR(L5="""", REGEXMATCH(L5, ""^\d+\s*(B|D|C|F|A|I|S|E|U|V|W|SA|CA)$""))), ""L"" &amp; ROW(), """"),
      IF(NOT(OR(M5="""", REGEXMATCH(M5, ""^\d+\s*(B|D|C|F|A|I|S|E|U|V|W|SA|CA)$""))), ""M"" &amp; ROW(), """"),
      IF(NOT(OR(N5="""", REGEXMATCH("&amp;"N5, ""^\d+\s*(B|D|C|F|A|I|S|E|U|V|W|SA|CA)$""))), ""N"" &amp; ROW(), """"),
      IF(NOT(OR(O5="""", REGEXMATCH(O5, ""^\d+\s*(B|D|C|F|A|I|S|E|U|V|W|SA|CA)$""))), ""O"" &amp; ROW(), """")
    )
  )
)
"),"")</f>
        <v/>
      </c>
    </row>
    <row r="6" ht="23.25" customHeight="1">
      <c r="A6" s="5">
        <v>46239.0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tr">
        <f>IFERROR(__xludf.DUMMYFUNCTION("IF(
  COUNTA(B6:O6) = 0,
  """",
  IF(
    AND(
      OR(B6="""", REGEXMATCH(B6, ""^\d+\s*(B|D|C|F|A|I|S|E|U|V|W|SA|CA)$"")),
      OR(C6="""", REGEXMATCH(C6, ""^\d+\s*(B|D|C|F|A|I|S|E|U|V|W|SA|CA)$"")),
      OR(D6="""", REGEXMATCH(D6, ""^\d+\s*(B|D|C|F|"&amp;"A|I|S|E|U|V|W|SA|CA)$"")),
      OR(E6="""", REGEXMATCH(E6, ""^\d+\s*(B|D|C|F|A|I|S|E|U|V|W|SA|CA)$"")),
      OR(F6="""", REGEXMATCH(F6, ""^\d+\s*(B|D|C|F|A|I|S|E|U|V|W|SA|CA)$"")),
      OR(G6="""", REGEXMATCH(G6, ""^\d+\s*(B|D|C|F|A|I|S|E|U|V|W|SA|CA)$"&amp;""")),
      OR(H6="""", REGEXMATCH(H6, ""^\d+\s*(B|D|C|F|A|I|S|E|U|V|W|SA|CA)$"")),
      OR(I6="""", REGEXMATCH(I6, ""^\d+\s*(B|D|C|F|A|I|S|E|U|V|W|SA|CA)$"")),
      OR(J6="""", REGEXMATCH(J6, ""^\d+\s*(B|D|C|F|A|I|S|E|U|V|W|SA|CA)$"")),
      OR(K6="""&amp;""", REGEXMATCH(K6, ""^\d+\s*(B|D|C|F|A|I|S|E|U|V|W|SA|CA)$"")),
      OR(L6="""", REGEXMATCH(L6, ""^\d+\s*(B|D|C|F|A|I|S|E|U|V|W|SA|CA)$"")),
      OR(M6="""", REGEXMATCH(M6, ""^\d+\s*(B|D|C|F|A|I|S|E|U|V|W|SA|CA)$"")),
      OR(N6="""", REGEXMATCH(N6, """&amp;"^\d+\s*(B|D|C|F|A|I|S|E|U|V|W|SA|CA)$"")),
      OR(O6="""", REGEXMATCH(O6, ""^\d+\s*(B|D|C|F|A|I|S|E|U|V|W|SA|CA)$""))
    ),
    ""✅ OK"",
    ""⚠️ ERRORE in "" &amp;
    TEXTJOIN("", "",
      TRUE,
      IF(NOT(OR(B6="""", REGEXMATCH(B6, ""^\d+\s*(B|D|C|F"&amp;"|A|I|S|E|U|V|W|SA|CA)$""))), ""B"" &amp; ROW(), """"),
      IF(NOT(OR(C6="""", REGEXMATCH(C6, ""^\d+\s*(B|D|C|F|A|I|S|E|U|V|W|SA|CA)$""))), ""C"" &amp; ROW(), """"),
      IF(NOT(OR(D6="""", REGEXMATCH(D6, ""^\d+\s*(B|D|C|F|A|I|S|E|U|V|W|SA|CA)$""))), ""D"" &amp; RO"&amp;"W(), """"),
      IF(NOT(OR(E6="""", REGEXMATCH(E6, ""^\d+\s*(B|D|C|F|A|I|S|E|U|V|W|SA|CA)$""))), ""E"" &amp; ROW(), """"),
      IF(NOT(OR(F6="""", REGEXMATCH(F6, ""^\d+\s*(B|D|C|F|A|I|S|E|U|V|W|SA|CA)$""))), ""F"" &amp; ROW(), """"),
      IF(NOT(OR(G6="""", RE"&amp;"GEXMATCH(G6, ""^\d+\s*(B|D|C|F|A|I|S|E|U|V|W|SA|CA)$""))), ""G"" &amp; ROW(), """"),
      IF(NOT(OR(H6="""", REGEXMATCH(H6, ""^\d+\s*(B|D|C|F|A|I|S|E|U|V|W|SA|CA)$""))), ""H"" &amp; ROW(), """"),
      IF(NOT(OR(I6="""", REGEXMATCH(I6, ""^\d+\s*(B|D|C|F|A|I|S|E|"&amp;"U|V|W|SA|CA)$""))), ""I"" &amp; ROW(), """"),
      IF(NOT(OR(J6="""", REGEXMATCH(J6, ""^\d+\s*(B|D|C|F|A|I|S|E|U|V|W|SA|CA)$""))), ""J"" &amp; ROW(), """"),
      IF(NOT(OR(K6="""", REGEXMATCH(K6, ""^\d+\s*(B|D|C|F|A|I|S|E|U|V|W|SA|CA)$""))), ""K"" &amp; ROW(), """""&amp;"),
      IF(NOT(OR(L6="""", REGEXMATCH(L6, ""^\d+\s*(B|D|C|F|A|I|S|E|U|V|W|SA|CA)$""))), ""L"" &amp; ROW(), """"),
      IF(NOT(OR(M6="""", REGEXMATCH(M6, ""^\d+\s*(B|D|C|F|A|I|S|E|U|V|W|SA|CA)$""))), ""M"" &amp; ROW(), """"),
      IF(NOT(OR(N6="""", REGEXMATCH("&amp;"N6, ""^\d+\s*(B|D|C|F|A|I|S|E|U|V|W|SA|CA)$""))), ""N"" &amp; ROW(), """"),
      IF(NOT(OR(O6="""", REGEXMATCH(O6, ""^\d+\s*(B|D|C|F|A|I|S|E|U|V|W|SA|CA)$""))), ""O"" &amp; ROW(), """")
    )
  )
)
"),"")</f>
        <v/>
      </c>
    </row>
    <row r="7" ht="23.25" customHeight="1">
      <c r="A7" s="5">
        <v>46240.0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/>
      <c r="N7" s="7"/>
      <c r="O7" s="8"/>
      <c r="P7" s="9" t="str">
        <f>IFERROR(__xludf.DUMMYFUNCTION("IF(
  COUNTA(B7:O7) = 0,
  """",
  IF(
    AND(
      OR(B7="""", REGEXMATCH(B7, ""^\d+\s*(B|D|C|F|A|I|S|E|U|V|W|SA|CA)$"")),
      OR(C7="""", REGEXMATCH(C7, ""^\d+\s*(B|D|C|F|A|I|S|E|U|V|W|SA|CA)$"")),
      OR(D7="""", REGEXMATCH(D7, ""^\d+\s*(B|D|C|F|"&amp;"A|I|S|E|U|V|W|SA|CA)$"")),
      OR(E7="""", REGEXMATCH(E7, ""^\d+\s*(B|D|C|F|A|I|S|E|U|V|W|SA|CA)$"")),
      OR(F7="""", REGEXMATCH(F7, ""^\d+\s*(B|D|C|F|A|I|S|E|U|V|W|SA|CA)$"")),
      OR(G7="""", REGEXMATCH(G7, ""^\d+\s*(B|D|C|F|A|I|S|E|U|V|W|SA|CA)$"&amp;""")),
      OR(H7="""", REGEXMATCH(H7, ""^\d+\s*(B|D|C|F|A|I|S|E|U|V|W|SA|CA)$"")),
      OR(I7="""", REGEXMATCH(I7, ""^\d+\s*(B|D|C|F|A|I|S|E|U|V|W|SA|CA)$"")),
      OR(J7="""", REGEXMATCH(J7, ""^\d+\s*(B|D|C|F|A|I|S|E|U|V|W|SA|CA)$"")),
      OR(K7="""&amp;""", REGEXMATCH(K7, ""^\d+\s*(B|D|C|F|A|I|S|E|U|V|W|SA|CA)$"")),
      OR(L7="""", REGEXMATCH(L7, ""^\d+\s*(B|D|C|F|A|I|S|E|U|V|W|SA|CA)$"")),
      OR(M7="""", REGEXMATCH(M7, ""^\d+\s*(B|D|C|F|A|I|S|E|U|V|W|SA|CA)$"")),
      OR(N7="""", REGEXMATCH(N7, """&amp;"^\d+\s*(B|D|C|F|A|I|S|E|U|V|W|SA|CA)$"")),
      OR(O7="""", REGEXMATCH(O7, ""^\d+\s*(B|D|C|F|A|I|S|E|U|V|W|SA|CA)$""))
    ),
    ""✅ OK"",
    ""⚠️ ERRORE in "" &amp;
    TEXTJOIN("", "",
      TRUE,
      IF(NOT(OR(B7="""", REGEXMATCH(B7, ""^\d+\s*(B|D|C|F"&amp;"|A|I|S|E|U|V|W|SA|CA)$""))), ""B"" &amp; ROW(), """"),
      IF(NOT(OR(C7="""", REGEXMATCH(C7, ""^\d+\s*(B|D|C|F|A|I|S|E|U|V|W|SA|CA)$""))), ""C"" &amp; ROW(), """"),
      IF(NOT(OR(D7="""", REGEXMATCH(D7, ""^\d+\s*(B|D|C|F|A|I|S|E|U|V|W|SA|CA)$""))), ""D"" &amp; RO"&amp;"W(), """"),
      IF(NOT(OR(E7="""", REGEXMATCH(E7, ""^\d+\s*(B|D|C|F|A|I|S|E|U|V|W|SA|CA)$""))), ""E"" &amp; ROW(), """"),
      IF(NOT(OR(F7="""", REGEXMATCH(F7, ""^\d+\s*(B|D|C|F|A|I|S|E|U|V|W|SA|CA)$""))), ""F"" &amp; ROW(), """"),
      IF(NOT(OR(G7="""", RE"&amp;"GEXMATCH(G7, ""^\d+\s*(B|D|C|F|A|I|S|E|U|V|W|SA|CA)$""))), ""G"" &amp; ROW(), """"),
      IF(NOT(OR(H7="""", REGEXMATCH(H7, ""^\d+\s*(B|D|C|F|A|I|S|E|U|V|W|SA|CA)$""))), ""H"" &amp; ROW(), """"),
      IF(NOT(OR(I7="""", REGEXMATCH(I7, ""^\d+\s*(B|D|C|F|A|I|S|E|"&amp;"U|V|W|SA|CA)$""))), ""I"" &amp; ROW(), """"),
      IF(NOT(OR(J7="""", REGEXMATCH(J7, ""^\d+\s*(B|D|C|F|A|I|S|E|U|V|W|SA|CA)$""))), ""J"" &amp; ROW(), """"),
      IF(NOT(OR(K7="""", REGEXMATCH(K7, ""^\d+\s*(B|D|C|F|A|I|S|E|U|V|W|SA|CA)$""))), ""K"" &amp; ROW(), """""&amp;"),
      IF(NOT(OR(L7="""", REGEXMATCH(L7, ""^\d+\s*(B|D|C|F|A|I|S|E|U|V|W|SA|CA)$""))), ""L"" &amp; ROW(), """"),
      IF(NOT(OR(M7="""", REGEXMATCH(M7, ""^\d+\s*(B|D|C|F|A|I|S|E|U|V|W|SA|CA)$""))), ""M"" &amp; ROW(), """"),
      IF(NOT(OR(N7="""", REGEXMATCH("&amp;"N7, ""^\d+\s*(B|D|C|F|A|I|S|E|U|V|W|SA|CA)$""))), ""N"" &amp; ROW(), """"),
      IF(NOT(OR(O7="""", REGEXMATCH(O7, ""^\d+\s*(B|D|C|F|A|I|S|E|U|V|W|SA|CA)$""))), ""O"" &amp; ROW(), """")
    )
  )
)
"),"")</f>
        <v/>
      </c>
    </row>
    <row r="8" ht="23.25" customHeight="1">
      <c r="A8" s="5">
        <v>46241.0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 t="str">
        <f>IFERROR(__xludf.DUMMYFUNCTION("IF(
  COUNTA(B8:O8) = 0,
  """",
  IF(
    AND(
      OR(B8="""", REGEXMATCH(B8, ""^\d+\s*(B|D|C|F|A|I|S|E|U|V|W|SA|CA)$"")),
      OR(C8="""", REGEXMATCH(C8, ""^\d+\s*(B|D|C|F|A|I|S|E|U|V|W|SA|CA)$"")),
      OR(D8="""", REGEXMATCH(D8, ""^\d+\s*(B|D|C|F|"&amp;"A|I|S|E|U|V|W|SA|CA)$"")),
      OR(E8="""", REGEXMATCH(E8, ""^\d+\s*(B|D|C|F|A|I|S|E|U|V|W|SA|CA)$"")),
      OR(F8="""", REGEXMATCH(F8, ""^\d+\s*(B|D|C|F|A|I|S|E|U|V|W|SA|CA)$"")),
      OR(G8="""", REGEXMATCH(G8, ""^\d+\s*(B|D|C|F|A|I|S|E|U|V|W|SA|CA)$"&amp;""")),
      OR(H8="""", REGEXMATCH(H8, ""^\d+\s*(B|D|C|F|A|I|S|E|U|V|W|SA|CA)$"")),
      OR(I8="""", REGEXMATCH(I8, ""^\d+\s*(B|D|C|F|A|I|S|E|U|V|W|SA|CA)$"")),
      OR(J8="""", REGEXMATCH(J8, ""^\d+\s*(B|D|C|F|A|I|S|E|U|V|W|SA|CA)$"")),
      OR(K8="""&amp;""", REGEXMATCH(K8, ""^\d+\s*(B|D|C|F|A|I|S|E|U|V|W|SA|CA)$"")),
      OR(L8="""", REGEXMATCH(L8, ""^\d+\s*(B|D|C|F|A|I|S|E|U|V|W|SA|CA)$"")),
      OR(M8="""", REGEXMATCH(M8, ""^\d+\s*(B|D|C|F|A|I|S|E|U|V|W|SA|CA)$"")),
      OR(N8="""", REGEXMATCH(N8, """&amp;"^\d+\s*(B|D|C|F|A|I|S|E|U|V|W|SA|CA)$"")),
      OR(O8="""", REGEXMATCH(O8, ""^\d+\s*(B|D|C|F|A|I|S|E|U|V|W|SA|CA)$""))
    ),
    ""✅ OK"",
    ""⚠️ ERRORE in "" &amp;
    TEXTJOIN("", "",
      TRUE,
      IF(NOT(OR(B8="""", REGEXMATCH(B8, ""^\d+\s*(B|D|C|F"&amp;"|A|I|S|E|U|V|W|SA|CA)$""))), ""B"" &amp; ROW(), """"),
      IF(NOT(OR(C8="""", REGEXMATCH(C8, ""^\d+\s*(B|D|C|F|A|I|S|E|U|V|W|SA|CA)$""))), ""C"" &amp; ROW(), """"),
      IF(NOT(OR(D8="""", REGEXMATCH(D8, ""^\d+\s*(B|D|C|F|A|I|S|E|U|V|W|SA|CA)$""))), ""D"" &amp; RO"&amp;"W(), """"),
      IF(NOT(OR(E8="""", REGEXMATCH(E8, ""^\d+\s*(B|D|C|F|A|I|S|E|U|V|W|SA|CA)$""))), ""E"" &amp; ROW(), """"),
      IF(NOT(OR(F8="""", REGEXMATCH(F8, ""^\d+\s*(B|D|C|F|A|I|S|E|U|V|W|SA|CA)$""))), ""F"" &amp; ROW(), """"),
      IF(NOT(OR(G8="""", RE"&amp;"GEXMATCH(G8, ""^\d+\s*(B|D|C|F|A|I|S|E|U|V|W|SA|CA)$""))), ""G"" &amp; ROW(), """"),
      IF(NOT(OR(H8="""", REGEXMATCH(H8, ""^\d+\s*(B|D|C|F|A|I|S|E|U|V|W|SA|CA)$""))), ""H"" &amp; ROW(), """"),
      IF(NOT(OR(I8="""", REGEXMATCH(I8, ""^\d+\s*(B|D|C|F|A|I|S|E|"&amp;"U|V|W|SA|CA)$""))), ""I"" &amp; ROW(), """"),
      IF(NOT(OR(J8="""", REGEXMATCH(J8, ""^\d+\s*(B|D|C|F|A|I|S|E|U|V|W|SA|CA)$""))), ""J"" &amp; ROW(), """"),
      IF(NOT(OR(K8="""", REGEXMATCH(K8, ""^\d+\s*(B|D|C|F|A|I|S|E|U|V|W|SA|CA)$""))), ""K"" &amp; ROW(), """""&amp;"),
      IF(NOT(OR(L8="""", REGEXMATCH(L8, ""^\d+\s*(B|D|C|F|A|I|S|E|U|V|W|SA|CA)$""))), ""L"" &amp; ROW(), """"),
      IF(NOT(OR(M8="""", REGEXMATCH(M8, ""^\d+\s*(B|D|C|F|A|I|S|E|U|V|W|SA|CA)$""))), ""M"" &amp; ROW(), """"),
      IF(NOT(OR(N8="""", REGEXMATCH("&amp;"N8, ""^\d+\s*(B|D|C|F|A|I|S|E|U|V|W|SA|CA)$""))), ""N"" &amp; ROW(), """"),
      IF(NOT(OR(O8="""", REGEXMATCH(O8, ""^\d+\s*(B|D|C|F|A|I|S|E|U|V|W|SA|CA)$""))), ""O"" &amp; ROW(), """")
    )
  )
)
"),"")</f>
        <v/>
      </c>
    </row>
    <row r="9" ht="23.25" customHeight="1">
      <c r="A9" s="5">
        <v>46242.0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 t="str">
        <f>IFERROR(__xludf.DUMMYFUNCTION("IF(
  COUNTA(B9:O9) = 0,
  """",
  IF(
    AND(
      OR(B9="""", REGEXMATCH(B9, ""^\d+\s*(B|D|C|F|A|I|S|E|U|V|W|SA|CA)$"")),
      OR(C9="""", REGEXMATCH(C9, ""^\d+\s*(B|D|C|F|A|I|S|E|U|V|W|SA|CA)$"")),
      OR(D9="""", REGEXMATCH(D9, ""^\d+\s*(B|D|C|F|"&amp;"A|I|S|E|U|V|W|SA|CA)$"")),
      OR(E9="""", REGEXMATCH(E9, ""^\d+\s*(B|D|C|F|A|I|S|E|U|V|W|SA|CA)$"")),
      OR(F9="""", REGEXMATCH(F9, ""^\d+\s*(B|D|C|F|A|I|S|E|U|V|W|SA|CA)$"")),
      OR(G9="""", REGEXMATCH(G9, ""^\d+\s*(B|D|C|F|A|I|S|E|U|V|W|SA|CA)$"&amp;""")),
      OR(H9="""", REGEXMATCH(H9, ""^\d+\s*(B|D|C|F|A|I|S|E|U|V|W|SA|CA)$"")),
      OR(I9="""", REGEXMATCH(I9, ""^\d+\s*(B|D|C|F|A|I|S|E|U|V|W|SA|CA)$"")),
      OR(J9="""", REGEXMATCH(J9, ""^\d+\s*(B|D|C|F|A|I|S|E|U|V|W|SA|CA)$"")),
      OR(K9="""&amp;""", REGEXMATCH(K9, ""^\d+\s*(B|D|C|F|A|I|S|E|U|V|W|SA|CA)$"")),
      OR(L9="""", REGEXMATCH(L9, ""^\d+\s*(B|D|C|F|A|I|S|E|U|V|W|SA|CA)$"")),
      OR(M9="""", REGEXMATCH(M9, ""^\d+\s*(B|D|C|F|A|I|S|E|U|V|W|SA|CA)$"")),
      OR(N9="""", REGEXMATCH(N9, """&amp;"^\d+\s*(B|D|C|F|A|I|S|E|U|V|W|SA|CA)$"")),
      OR(O9="""", REGEXMATCH(O9, ""^\d+\s*(B|D|C|F|A|I|S|E|U|V|W|SA|CA)$""))
    ),
    ""✅ OK"",
    ""⚠️ ERRORE in "" &amp;
    TEXTJOIN("", "",
      TRUE,
      IF(NOT(OR(B9="""", REGEXMATCH(B9, ""^\d+\s*(B|D|C|F"&amp;"|A|I|S|E|U|V|W|SA|CA)$""))), ""B"" &amp; ROW(), """"),
      IF(NOT(OR(C9="""", REGEXMATCH(C9, ""^\d+\s*(B|D|C|F|A|I|S|E|U|V|W|SA|CA)$""))), ""C"" &amp; ROW(), """"),
      IF(NOT(OR(D9="""", REGEXMATCH(D9, ""^\d+\s*(B|D|C|F|A|I|S|E|U|V|W|SA|CA)$""))), ""D"" &amp; RO"&amp;"W(), """"),
      IF(NOT(OR(E9="""", REGEXMATCH(E9, ""^\d+\s*(B|D|C|F|A|I|S|E|U|V|W|SA|CA)$""))), ""E"" &amp; ROW(), """"),
      IF(NOT(OR(F9="""", REGEXMATCH(F9, ""^\d+\s*(B|D|C|F|A|I|S|E|U|V|W|SA|CA)$""))), ""F"" &amp; ROW(), """"),
      IF(NOT(OR(G9="""", RE"&amp;"GEXMATCH(G9, ""^\d+\s*(B|D|C|F|A|I|S|E|U|V|W|SA|CA)$""))), ""G"" &amp; ROW(), """"),
      IF(NOT(OR(H9="""", REGEXMATCH(H9, ""^\d+\s*(B|D|C|F|A|I|S|E|U|V|W|SA|CA)$""))), ""H"" &amp; ROW(), """"),
      IF(NOT(OR(I9="""", REGEXMATCH(I9, ""^\d+\s*(B|D|C|F|A|I|S|E|"&amp;"U|V|W|SA|CA)$""))), ""I"" &amp; ROW(), """"),
      IF(NOT(OR(J9="""", REGEXMATCH(J9, ""^\d+\s*(B|D|C|F|A|I|S|E|U|V|W|SA|CA)$""))), ""J"" &amp; ROW(), """"),
      IF(NOT(OR(K9="""", REGEXMATCH(K9, ""^\d+\s*(B|D|C|F|A|I|S|E|U|V|W|SA|CA)$""))), ""K"" &amp; ROW(), """""&amp;"),
      IF(NOT(OR(L9="""", REGEXMATCH(L9, ""^\d+\s*(B|D|C|F|A|I|S|E|U|V|W|SA|CA)$""))), ""L"" &amp; ROW(), """"),
      IF(NOT(OR(M9="""", REGEXMATCH(M9, ""^\d+\s*(B|D|C|F|A|I|S|E|U|V|W|SA|CA)$""))), ""M"" &amp; ROW(), """"),
      IF(NOT(OR(N9="""", REGEXMATCH("&amp;"N9, ""^\d+\s*(B|D|C|F|A|I|S|E|U|V|W|SA|CA)$""))), ""N"" &amp; ROW(), """"),
      IF(NOT(OR(O9="""", REGEXMATCH(O9, ""^\d+\s*(B|D|C|F|A|I|S|E|U|V|W|SA|CA)$""))), ""O"" &amp; ROW(), """")
    )
  )
)
"),"")</f>
        <v/>
      </c>
    </row>
    <row r="10" ht="23.25" customHeight="1">
      <c r="A10" s="5">
        <v>46243.0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tr">
        <f>IFERROR(__xludf.DUMMYFUNCTION("IF(
  COUNTA(B10:O10) = 0,
  """",
  IF(
    AND(
      OR(B10="""", REGEXMATCH(B10, ""^\d+\s*(B|D|C|F|A|I|S|E|U|V|W|SA|CA)$"")),
      OR(C10="""", REGEXMATCH(C10, ""^\d+\s*(B|D|C|F|A|I|S|E|U|V|W|SA|CA)$"")),
      OR(D10="""", REGEXMATCH(D10, ""^\d+\s*("&amp;"B|D|C|F|A|I|S|E|U|V|W|SA|CA)$"")),
      OR(E10="""", REGEXMATCH(E10, ""^\d+\s*(B|D|C|F|A|I|S|E|U|V|W|SA|CA)$"")),
      OR(F10="""", REGEXMATCH(F10, ""^\d+\s*(B|D|C|F|A|I|S|E|U|V|W|SA|CA)$"")),
      OR(G10="""", REGEXMATCH(G10, ""^\d+\s*(B|D|C|F|A|I|S|E"&amp;"|U|V|W|SA|CA)$"")),
      OR(H10="""", REGEXMATCH(H10, ""^\d+\s*(B|D|C|F|A|I|S|E|U|V|W|SA|CA)$"")),
      OR(I10="""", REGEXMATCH(I10, ""^\d+\s*(B|D|C|F|A|I|S|E|U|V|W|SA|CA)$"")),
      OR(J10="""", REGEXMATCH(J10, ""^\d+\s*(B|D|C|F|A|I|S|E|U|V|W|SA|CA)$"&amp;""")),
      OR(K10="""", REGEXMATCH(K10, ""^\d+\s*(B|D|C|F|A|I|S|E|U|V|W|SA|CA)$"")),
      OR(L10="""", REGEXMATCH(L10, ""^\d+\s*(B|D|C|F|A|I|S|E|U|V|W|SA|CA)$"")),
      OR(M10="""", REGEXMATCH(M10, ""^\d+\s*(B|D|C|F|A|I|S|E|U|V|W|SA|CA)$"")),
      OR("&amp;"N10="""", REGEXMATCH(N10, ""^\d+\s*(B|D|C|F|A|I|S|E|U|V|W|SA|CA)$"")),
      OR(O10="""", REGEXMATCH(O10, ""^\d+\s*(B|D|C|F|A|I|S|E|U|V|W|SA|CA)$""))
    ),
    ""✅ OK"",
    ""⚠️ ERRORE in "" &amp;
    TEXTJOIN("", "",
      TRUE,
      IF(NOT(OR(B10="""", R"&amp;"EGEXMATCH(B10, ""^\d+\s*(B|D|C|F|A|I|S|E|U|V|W|SA|CA)$""))), ""B"" &amp; ROW(), """"),
      IF(NOT(OR(C10="""", REGEXMATCH(C10, ""^\d+\s*(B|D|C|F|A|I|S|E|U|V|W|SA|CA)$""))), ""C"" &amp; ROW(), """"),
      IF(NOT(OR(D10="""", REGEXMATCH(D10, ""^\d+\s*(B|D|C|F|A|"&amp;"I|S|E|U|V|W|SA|CA)$""))), ""D"" &amp; ROW(), """"),
      IF(NOT(OR(E10="""", REGEXMATCH(E10, ""^\d+\s*(B|D|C|F|A|I|S|E|U|V|W|SA|CA)$""))), ""E"" &amp; ROW(), """"),
      IF(NOT(OR(F10="""", REGEXMATCH(F10, ""^\d+\s*(B|D|C|F|A|I|S|E|U|V|W|SA|CA)$""))), ""F"" &amp; R"&amp;"OW(), """"),
      IF(NOT(OR(G10="""", REGEXMATCH(G10, ""^\d+\s*(B|D|C|F|A|I|S|E|U|V|W|SA|CA)$""))), ""G"" &amp; ROW(), """"),
      IF(NOT(OR(H10="""", REGEXMATCH(H10, ""^\d+\s*(B|D|C|F|A|I|S|E|U|V|W|SA|CA)$""))), ""H"" &amp; ROW(), """"),
      IF(NOT(OR(I10="""&amp;""", REGEXMATCH(I10, ""^\d+\s*(B|D|C|F|A|I|S|E|U|V|W|SA|CA)$""))), ""I"" &amp; ROW(), """"),
      IF(NOT(OR(J10="""", REGEXMATCH(J10, ""^\d+\s*(B|D|C|F|A|I|S|E|U|V|W|SA|CA)$""))), ""J"" &amp; ROW(), """"),
      IF(NOT(OR(K10="""", REGEXMATCH(K10, ""^\d+\s*(B|D|C"&amp;"|F|A|I|S|E|U|V|W|SA|CA)$""))), ""K"" &amp; ROW(), """"),
      IF(NOT(OR(L10="""", REGEXMATCH(L10, ""^\d+\s*(B|D|C|F|A|I|S|E|U|V|W|SA|CA)$""))), ""L"" &amp; ROW(), """"),
      IF(NOT(OR(M10="""", REGEXMATCH(M10, ""^\d+\s*(B|D|C|F|A|I|S|E|U|V|W|SA|CA)$""))), ""M"&amp;""" &amp; ROW(), """"),
      IF(NOT(OR(N10="""", REGEXMATCH(N10, ""^\d+\s*(B|D|C|F|A|I|S|E|U|V|W|SA|CA)$""))), ""N"" &amp; ROW(), """"),
      IF(NOT(OR(O10="""", REGEXMATCH(O10, ""^\d+\s*(B|D|C|F|A|I|S|E|U|V|W|SA|CA)$""))), ""O"" &amp; ROW(), """")
    )
  )
)
"),"")</f>
        <v/>
      </c>
    </row>
    <row r="11" ht="23.25" customHeight="1">
      <c r="A11" s="5">
        <v>46244.0</v>
      </c>
      <c r="B11" s="7"/>
      <c r="C11" s="7"/>
      <c r="D11" s="7"/>
      <c r="E11" s="7"/>
      <c r="F11" s="6"/>
      <c r="G11" s="7"/>
      <c r="H11" s="7"/>
      <c r="I11" s="7"/>
      <c r="J11" s="6"/>
      <c r="K11" s="7"/>
      <c r="L11" s="7"/>
      <c r="M11" s="7"/>
      <c r="N11" s="7"/>
      <c r="O11" s="8"/>
      <c r="P11" s="9" t="str">
        <f>IFERROR(__xludf.DUMMYFUNCTION("IF(
  COUNTA(B11:O11) = 0,
  """",
  IF(
    AND(
      OR(B11="""", REGEXMATCH(B11, ""^\d+\s*(B|D|C|F|A|I|S|E|U|V|W|SA|CA)$"")),
      OR(C11="""", REGEXMATCH(C11, ""^\d+\s*(B|D|C|F|A|I|S|E|U|V|W|SA|CA)$"")),
      OR(D11="""", REGEXMATCH(D11, ""^\d+\s*("&amp;"B|D|C|F|A|I|S|E|U|V|W|SA|CA)$"")),
      OR(E11="""", REGEXMATCH(E11, ""^\d+\s*(B|D|C|F|A|I|S|E|U|V|W|SA|CA)$"")),
      OR(F11="""", REGEXMATCH(F11, ""^\d+\s*(B|D|C|F|A|I|S|E|U|V|W|SA|CA)$"")),
      OR(G11="""", REGEXMATCH(G11, ""^\d+\s*(B|D|C|F|A|I|S|E"&amp;"|U|V|W|SA|CA)$"")),
      OR(H11="""", REGEXMATCH(H11, ""^\d+\s*(B|D|C|F|A|I|S|E|U|V|W|SA|CA)$"")),
      OR(I11="""", REGEXMATCH(I11, ""^\d+\s*(B|D|C|F|A|I|S|E|U|V|W|SA|CA)$"")),
      OR(J11="""", REGEXMATCH(J11, ""^\d+\s*(B|D|C|F|A|I|S|E|U|V|W|SA|CA)$"&amp;""")),
      OR(K11="""", REGEXMATCH(K11, ""^\d+\s*(B|D|C|F|A|I|S|E|U|V|W|SA|CA)$"")),
      OR(L11="""", REGEXMATCH(L11, ""^\d+\s*(B|D|C|F|A|I|S|E|U|V|W|SA|CA)$"")),
      OR(M11="""", REGEXMATCH(M11, ""^\d+\s*(B|D|C|F|A|I|S|E|U|V|W|SA|CA)$"")),
      OR("&amp;"N11="""", REGEXMATCH(N11, ""^\d+\s*(B|D|C|F|A|I|S|E|U|V|W|SA|CA)$"")),
      OR(O11="""", REGEXMATCH(O11, ""^\d+\s*(B|D|C|F|A|I|S|E|U|V|W|SA|CA)$""))
    ),
    ""✅ OK"",
    ""⚠️ ERRORE in "" &amp;
    TEXTJOIN("", "",
      TRUE,
      IF(NOT(OR(B11="""", R"&amp;"EGEXMATCH(B11, ""^\d+\s*(B|D|C|F|A|I|S|E|U|V|W|SA|CA)$""))), ""B"" &amp; ROW(), """"),
      IF(NOT(OR(C11="""", REGEXMATCH(C11, ""^\d+\s*(B|D|C|F|A|I|S|E|U|V|W|SA|CA)$""))), ""C"" &amp; ROW(), """"),
      IF(NOT(OR(D11="""", REGEXMATCH(D11, ""^\d+\s*(B|D|C|F|A|"&amp;"I|S|E|U|V|W|SA|CA)$""))), ""D"" &amp; ROW(), """"),
      IF(NOT(OR(E11="""", REGEXMATCH(E11, ""^\d+\s*(B|D|C|F|A|I|S|E|U|V|W|SA|CA)$""))), ""E"" &amp; ROW(), """"),
      IF(NOT(OR(F11="""", REGEXMATCH(F11, ""^\d+\s*(B|D|C|F|A|I|S|E|U|V|W|SA|CA)$""))), ""F"" &amp; R"&amp;"OW(), """"),
      IF(NOT(OR(G11="""", REGEXMATCH(G11, ""^\d+\s*(B|D|C|F|A|I|S|E|U|V|W|SA|CA)$""))), ""G"" &amp; ROW(), """"),
      IF(NOT(OR(H11="""", REGEXMATCH(H11, ""^\d+\s*(B|D|C|F|A|I|S|E|U|V|W|SA|CA)$""))), ""H"" &amp; ROW(), """"),
      IF(NOT(OR(I11="""&amp;""", REGEXMATCH(I11, ""^\d+\s*(B|D|C|F|A|I|S|E|U|V|W|SA|CA)$""))), ""I"" &amp; ROW(), """"),
      IF(NOT(OR(J11="""", REGEXMATCH(J11, ""^\d+\s*(B|D|C|F|A|I|S|E|U|V|W|SA|CA)$""))), ""J"" &amp; ROW(), """"),
      IF(NOT(OR(K11="""", REGEXMATCH(K11, ""^\d+\s*(B|D|C"&amp;"|F|A|I|S|E|U|V|W|SA|CA)$""))), ""K"" &amp; ROW(), """"),
      IF(NOT(OR(L11="""", REGEXMATCH(L11, ""^\d+\s*(B|D|C|F|A|I|S|E|U|V|W|SA|CA)$""))), ""L"" &amp; ROW(), """"),
      IF(NOT(OR(M11="""", REGEXMATCH(M11, ""^\d+\s*(B|D|C|F|A|I|S|E|U|V|W|SA|CA)$""))), ""M"&amp;""" &amp; ROW(), """"),
      IF(NOT(OR(N11="""", REGEXMATCH(N11, ""^\d+\s*(B|D|C|F|A|I|S|E|U|V|W|SA|CA)$""))), ""N"" &amp; ROW(), """"),
      IF(NOT(OR(O11="""", REGEXMATCH(O11, ""^\d+\s*(B|D|C|F|A|I|S|E|U|V|W|SA|CA)$""))), ""O"" &amp; ROW(), """")
    )
  )
)
"),"")</f>
        <v/>
      </c>
    </row>
    <row r="12" ht="23.25" customHeight="1">
      <c r="A12" s="5">
        <v>46245.0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9" t="str">
        <f>IFERROR(__xludf.DUMMYFUNCTION("IF(
  COUNTA(B12:O12) = 0,
  """",
  IF(
    AND(
      OR(B12="""", REGEXMATCH(B12, ""^\d+\s*(B|D|C|F|A|I|S|E|U|V|W|SA|CA)$"")),
      OR(C12="""", REGEXMATCH(C12, ""^\d+\s*(B|D|C|F|A|I|S|E|U|V|W|SA|CA)$"")),
      OR(D12="""", REGEXMATCH(D12, ""^\d+\s*("&amp;"B|D|C|F|A|I|S|E|U|V|W|SA|CA)$"")),
      OR(E12="""", REGEXMATCH(E12, ""^\d+\s*(B|D|C|F|A|I|S|E|U|V|W|SA|CA)$"")),
      OR(F12="""", REGEXMATCH(F12, ""^\d+\s*(B|D|C|F|A|I|S|E|U|V|W|SA|CA)$"")),
      OR(G12="""", REGEXMATCH(G12, ""^\d+\s*(B|D|C|F|A|I|S|E"&amp;"|U|V|W|SA|CA)$"")),
      OR(H12="""", REGEXMATCH(H12, ""^\d+\s*(B|D|C|F|A|I|S|E|U|V|W|SA|CA)$"")),
      OR(I12="""", REGEXMATCH(I12, ""^\d+\s*(B|D|C|F|A|I|S|E|U|V|W|SA|CA)$"")),
      OR(J12="""", REGEXMATCH(J12, ""^\d+\s*(B|D|C|F|A|I|S|E|U|V|W|SA|CA)$"&amp;""")),
      OR(K12="""", REGEXMATCH(K12, ""^\d+\s*(B|D|C|F|A|I|S|E|U|V|W|SA|CA)$"")),
      OR(L12="""", REGEXMATCH(L12, ""^\d+\s*(B|D|C|F|A|I|S|E|U|V|W|SA|CA)$"")),
      OR(M12="""", REGEXMATCH(M12, ""^\d+\s*(B|D|C|F|A|I|S|E|U|V|W|SA|CA)$"")),
      OR("&amp;"N12="""", REGEXMATCH(N12, ""^\d+\s*(B|D|C|F|A|I|S|E|U|V|W|SA|CA)$"")),
      OR(O12="""", REGEXMATCH(O12, ""^\d+\s*(B|D|C|F|A|I|S|E|U|V|W|SA|CA)$""))
    ),
    ""✅ OK"",
    ""⚠️ ERRORE in "" &amp;
    TEXTJOIN("", "",
      TRUE,
      IF(NOT(OR(B12="""", R"&amp;"EGEXMATCH(B12, ""^\d+\s*(B|D|C|F|A|I|S|E|U|V|W|SA|CA)$""))), ""B"" &amp; ROW(), """"),
      IF(NOT(OR(C12="""", REGEXMATCH(C12, ""^\d+\s*(B|D|C|F|A|I|S|E|U|V|W|SA|CA)$""))), ""C"" &amp; ROW(), """"),
      IF(NOT(OR(D12="""", REGEXMATCH(D12, ""^\d+\s*(B|D|C|F|A|"&amp;"I|S|E|U|V|W|SA|CA)$""))), ""D"" &amp; ROW(), """"),
      IF(NOT(OR(E12="""", REGEXMATCH(E12, ""^\d+\s*(B|D|C|F|A|I|S|E|U|V|W|SA|CA)$""))), ""E"" &amp; ROW(), """"),
      IF(NOT(OR(F12="""", REGEXMATCH(F12, ""^\d+\s*(B|D|C|F|A|I|S|E|U|V|W|SA|CA)$""))), ""F"" &amp; R"&amp;"OW(), """"),
      IF(NOT(OR(G12="""", REGEXMATCH(G12, ""^\d+\s*(B|D|C|F|A|I|S|E|U|V|W|SA|CA)$""))), ""G"" &amp; ROW(), """"),
      IF(NOT(OR(H12="""", REGEXMATCH(H12, ""^\d+\s*(B|D|C|F|A|I|S|E|U|V|W|SA|CA)$""))), ""H"" &amp; ROW(), """"),
      IF(NOT(OR(I12="""&amp;""", REGEXMATCH(I12, ""^\d+\s*(B|D|C|F|A|I|S|E|U|V|W|SA|CA)$""))), ""I"" &amp; ROW(), """"),
      IF(NOT(OR(J12="""", REGEXMATCH(J12, ""^\d+\s*(B|D|C|F|A|I|S|E|U|V|W|SA|CA)$""))), ""J"" &amp; ROW(), """"),
      IF(NOT(OR(K12="""", REGEXMATCH(K12, ""^\d+\s*(B|D|C"&amp;"|F|A|I|S|E|U|V|W|SA|CA)$""))), ""K"" &amp; ROW(), """"),
      IF(NOT(OR(L12="""", REGEXMATCH(L12, ""^\d+\s*(B|D|C|F|A|I|S|E|U|V|W|SA|CA)$""))), ""L"" &amp; ROW(), """"),
      IF(NOT(OR(M12="""", REGEXMATCH(M12, ""^\d+\s*(B|D|C|F|A|I|S|E|U|V|W|SA|CA)$""))), ""M"&amp;""" &amp; ROW(), """"),
      IF(NOT(OR(N12="""", REGEXMATCH(N12, ""^\d+\s*(B|D|C|F|A|I|S|E|U|V|W|SA|CA)$""))), ""N"" &amp; ROW(), """"),
      IF(NOT(OR(O12="""", REGEXMATCH(O12, ""^\d+\s*(B|D|C|F|A|I|S|E|U|V|W|SA|CA)$""))), ""O"" &amp; ROW(), """")
    )
  )
)
"),"")</f>
        <v/>
      </c>
    </row>
    <row r="13" ht="23.25" customHeight="1">
      <c r="A13" s="5">
        <v>46246.0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9" t="str">
        <f>IFERROR(__xludf.DUMMYFUNCTION("IF(
  COUNTA(B13:O13) = 0,
  """",
  IF(
    AND(
      OR(B13="""", REGEXMATCH(B13, ""^\d+\s*(B|D|C|F|A|I|S|E|U|V|W|SA|CA)$"")),
      OR(C13="""", REGEXMATCH(C13, ""^\d+\s*(B|D|C|F|A|I|S|E|U|V|W|SA|CA)$"")),
      OR(D13="""", REGEXMATCH(D13, ""^\d+\s*("&amp;"B|D|C|F|A|I|S|E|U|V|W|SA|CA)$"")),
      OR(E13="""", REGEXMATCH(E13, ""^\d+\s*(B|D|C|F|A|I|S|E|U|V|W|SA|CA)$"")),
      OR(F13="""", REGEXMATCH(F13, ""^\d+\s*(B|D|C|F|A|I|S|E|U|V|W|SA|CA)$"")),
      OR(G13="""", REGEXMATCH(G13, ""^\d+\s*(B|D|C|F|A|I|S|E"&amp;"|U|V|W|SA|CA)$"")),
      OR(H13="""", REGEXMATCH(H13, ""^\d+\s*(B|D|C|F|A|I|S|E|U|V|W|SA|CA)$"")),
      OR(I13="""", REGEXMATCH(I13, ""^\d+\s*(B|D|C|F|A|I|S|E|U|V|W|SA|CA)$"")),
      OR(J13="""", REGEXMATCH(J13, ""^\d+\s*(B|D|C|F|A|I|S|E|U|V|W|SA|CA)$"&amp;""")),
      OR(K13="""", REGEXMATCH(K13, ""^\d+\s*(B|D|C|F|A|I|S|E|U|V|W|SA|CA)$"")),
      OR(L13="""", REGEXMATCH(L13, ""^\d+\s*(B|D|C|F|A|I|S|E|U|V|W|SA|CA)$"")),
      OR(M13="""", REGEXMATCH(M13, ""^\d+\s*(B|D|C|F|A|I|S|E|U|V|W|SA|CA)$"")),
      OR("&amp;"N13="""", REGEXMATCH(N13, ""^\d+\s*(B|D|C|F|A|I|S|E|U|V|W|SA|CA)$"")),
      OR(O13="""", REGEXMATCH(O13, ""^\d+\s*(B|D|C|F|A|I|S|E|U|V|W|SA|CA)$""))
    ),
    ""✅ OK"",
    ""⚠️ ERRORE in "" &amp;
    TEXTJOIN("", "",
      TRUE,
      IF(NOT(OR(B13="""", R"&amp;"EGEXMATCH(B13, ""^\d+\s*(B|D|C|F|A|I|S|E|U|V|W|SA|CA)$""))), ""B"" &amp; ROW(), """"),
      IF(NOT(OR(C13="""", REGEXMATCH(C13, ""^\d+\s*(B|D|C|F|A|I|S|E|U|V|W|SA|CA)$""))), ""C"" &amp; ROW(), """"),
      IF(NOT(OR(D13="""", REGEXMATCH(D13, ""^\d+\s*(B|D|C|F|A|"&amp;"I|S|E|U|V|W|SA|CA)$""))), ""D"" &amp; ROW(), """"),
      IF(NOT(OR(E13="""", REGEXMATCH(E13, ""^\d+\s*(B|D|C|F|A|I|S|E|U|V|W|SA|CA)$""))), ""E"" &amp; ROW(), """"),
      IF(NOT(OR(F13="""", REGEXMATCH(F13, ""^\d+\s*(B|D|C|F|A|I|S|E|U|V|W|SA|CA)$""))), ""F"" &amp; R"&amp;"OW(), """"),
      IF(NOT(OR(G13="""", REGEXMATCH(G13, ""^\d+\s*(B|D|C|F|A|I|S|E|U|V|W|SA|CA)$""))), ""G"" &amp; ROW(), """"),
      IF(NOT(OR(H13="""", REGEXMATCH(H13, ""^\d+\s*(B|D|C|F|A|I|S|E|U|V|W|SA|CA)$""))), ""H"" &amp; ROW(), """"),
      IF(NOT(OR(I13="""&amp;""", REGEXMATCH(I13, ""^\d+\s*(B|D|C|F|A|I|S|E|U|V|W|SA|CA)$""))), ""I"" &amp; ROW(), """"),
      IF(NOT(OR(J13="""", REGEXMATCH(J13, ""^\d+\s*(B|D|C|F|A|I|S|E|U|V|W|SA|CA)$""))), ""J"" &amp; ROW(), """"),
      IF(NOT(OR(K13="""", REGEXMATCH(K13, ""^\d+\s*(B|D|C"&amp;"|F|A|I|S|E|U|V|W|SA|CA)$""))), ""K"" &amp; ROW(), """"),
      IF(NOT(OR(L13="""", REGEXMATCH(L13, ""^\d+\s*(B|D|C|F|A|I|S|E|U|V|W|SA|CA)$""))), ""L"" &amp; ROW(), """"),
      IF(NOT(OR(M13="""", REGEXMATCH(M13, ""^\d+\s*(B|D|C|F|A|I|S|E|U|V|W|SA|CA)$""))), ""M"&amp;""" &amp; ROW(), """"),
      IF(NOT(OR(N13="""", REGEXMATCH(N13, ""^\d+\s*(B|D|C|F|A|I|S|E|U|V|W|SA|CA)$""))), ""N"" &amp; ROW(), """"),
      IF(NOT(OR(O13="""", REGEXMATCH(O13, ""^\d+\s*(B|D|C|F|A|I|S|E|U|V|W|SA|CA)$""))), ""O"" &amp; ROW(), """")
    )
  )
)
"),"")</f>
        <v/>
      </c>
    </row>
    <row r="14" ht="23.25" customHeight="1">
      <c r="A14" s="5">
        <v>46247.0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9" t="str">
        <f>IFERROR(__xludf.DUMMYFUNCTION("IF(
  COUNTA(B14:O14) = 0,
  """",
  IF(
    AND(
      OR(B14="""", REGEXMATCH(B14, ""^\d+\s*(B|D|C|F|A|I|S|E|U|V|W|SA|CA)$"")),
      OR(C14="""", REGEXMATCH(C14, ""^\d+\s*(B|D|C|F|A|I|S|E|U|V|W|SA|CA)$"")),
      OR(D14="""", REGEXMATCH(D14, ""^\d+\s*("&amp;"B|D|C|F|A|I|S|E|U|V|W|SA|CA)$"")),
      OR(E14="""", REGEXMATCH(E14, ""^\d+\s*(B|D|C|F|A|I|S|E|U|V|W|SA|CA)$"")),
      OR(F14="""", REGEXMATCH(F14, ""^\d+\s*(B|D|C|F|A|I|S|E|U|V|W|SA|CA)$"")),
      OR(G14="""", REGEXMATCH(G14, ""^\d+\s*(B|D|C|F|A|I|S|E"&amp;"|U|V|W|SA|CA)$"")),
      OR(H14="""", REGEXMATCH(H14, ""^\d+\s*(B|D|C|F|A|I|S|E|U|V|W|SA|CA)$"")),
      OR(I14="""", REGEXMATCH(I14, ""^\d+\s*(B|D|C|F|A|I|S|E|U|V|W|SA|CA)$"")),
      OR(J14="""", REGEXMATCH(J14, ""^\d+\s*(B|D|C|F|A|I|S|E|U|V|W|SA|CA)$"&amp;""")),
      OR(K14="""", REGEXMATCH(K14, ""^\d+\s*(B|D|C|F|A|I|S|E|U|V|W|SA|CA)$"")),
      OR(L14="""", REGEXMATCH(L14, ""^\d+\s*(B|D|C|F|A|I|S|E|U|V|W|SA|CA)$"")),
      OR(M14="""", REGEXMATCH(M14, ""^\d+\s*(B|D|C|F|A|I|S|E|U|V|W|SA|CA)$"")),
      OR("&amp;"N14="""", REGEXMATCH(N14, ""^\d+\s*(B|D|C|F|A|I|S|E|U|V|W|SA|CA)$"")),
      OR(O14="""", REGEXMATCH(O14, ""^\d+\s*(B|D|C|F|A|I|S|E|U|V|W|SA|CA)$""))
    ),
    ""✅ OK"",
    ""⚠️ ERRORE in "" &amp;
    TEXTJOIN("", "",
      TRUE,
      IF(NOT(OR(B14="""", R"&amp;"EGEXMATCH(B14, ""^\d+\s*(B|D|C|F|A|I|S|E|U|V|W|SA|CA)$""))), ""B"" &amp; ROW(), """"),
      IF(NOT(OR(C14="""", REGEXMATCH(C14, ""^\d+\s*(B|D|C|F|A|I|S|E|U|V|W|SA|CA)$""))), ""C"" &amp; ROW(), """"),
      IF(NOT(OR(D14="""", REGEXMATCH(D14, ""^\d+\s*(B|D|C|F|A|"&amp;"I|S|E|U|V|W|SA|CA)$""))), ""D"" &amp; ROW(), """"),
      IF(NOT(OR(E14="""", REGEXMATCH(E14, ""^\d+\s*(B|D|C|F|A|I|S|E|U|V|W|SA|CA)$""))), ""E"" &amp; ROW(), """"),
      IF(NOT(OR(F14="""", REGEXMATCH(F14, ""^\d+\s*(B|D|C|F|A|I|S|E|U|V|W|SA|CA)$""))), ""F"" &amp; R"&amp;"OW(), """"),
      IF(NOT(OR(G14="""", REGEXMATCH(G14, ""^\d+\s*(B|D|C|F|A|I|S|E|U|V|W|SA|CA)$""))), ""G"" &amp; ROW(), """"),
      IF(NOT(OR(H14="""", REGEXMATCH(H14, ""^\d+\s*(B|D|C|F|A|I|S|E|U|V|W|SA|CA)$""))), ""H"" &amp; ROW(), """"),
      IF(NOT(OR(I14="""&amp;""", REGEXMATCH(I14, ""^\d+\s*(B|D|C|F|A|I|S|E|U|V|W|SA|CA)$""))), ""I"" &amp; ROW(), """"),
      IF(NOT(OR(J14="""", REGEXMATCH(J14, ""^\d+\s*(B|D|C|F|A|I|S|E|U|V|W|SA|CA)$""))), ""J"" &amp; ROW(), """"),
      IF(NOT(OR(K14="""", REGEXMATCH(K14, ""^\d+\s*(B|D|C"&amp;"|F|A|I|S|E|U|V|W|SA|CA)$""))), ""K"" &amp; ROW(), """"),
      IF(NOT(OR(L14="""", REGEXMATCH(L14, ""^\d+\s*(B|D|C|F|A|I|S|E|U|V|W|SA|CA)$""))), ""L"" &amp; ROW(), """"),
      IF(NOT(OR(M14="""", REGEXMATCH(M14, ""^\d+\s*(B|D|C|F|A|I|S|E|U|V|W|SA|CA)$""))), ""M"&amp;""" &amp; ROW(), """"),
      IF(NOT(OR(N14="""", REGEXMATCH(N14, ""^\d+\s*(B|D|C|F|A|I|S|E|U|V|W|SA|CA)$""))), ""N"" &amp; ROW(), """"),
      IF(NOT(OR(O14="""", REGEXMATCH(O14, ""^\d+\s*(B|D|C|F|A|I|S|E|U|V|W|SA|CA)$""))), ""O"" &amp; ROW(), """")
    )
  )
)
"),"")</f>
        <v/>
      </c>
    </row>
    <row r="15" ht="23.25" customHeight="1">
      <c r="A15" s="5">
        <v>46248.0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0"/>
      <c r="P15" s="9" t="str">
        <f>IFERROR(__xludf.DUMMYFUNCTION("IF(
  COUNTA(B15:O15) = 0,
  """",
  IF(
    AND(
      OR(B15="""", REGEXMATCH(B15, ""^\d+\s*(B|D|C|F|A|I|S|E|U|V|W|SA|CA)$"")),
      OR(C15="""", REGEXMATCH(C15, ""^\d+\s*(B|D|C|F|A|I|S|E|U|V|W|SA|CA)$"")),
      OR(D15="""", REGEXMATCH(D15, ""^\d+\s*("&amp;"B|D|C|F|A|I|S|E|U|V|W|SA|CA)$"")),
      OR(E15="""", REGEXMATCH(E15, ""^\d+\s*(B|D|C|F|A|I|S|E|U|V|W|SA|CA)$"")),
      OR(F15="""", REGEXMATCH(F15, ""^\d+\s*(B|D|C|F|A|I|S|E|U|V|W|SA|CA)$"")),
      OR(G15="""", REGEXMATCH(G15, ""^\d+\s*(B|D|C|F|A|I|S|E"&amp;"|U|V|W|SA|CA)$"")),
      OR(H15="""", REGEXMATCH(H15, ""^\d+\s*(B|D|C|F|A|I|S|E|U|V|W|SA|CA)$"")),
      OR(I15="""", REGEXMATCH(I15, ""^\d+\s*(B|D|C|F|A|I|S|E|U|V|W|SA|CA)$"")),
      OR(J15="""", REGEXMATCH(J15, ""^\d+\s*(B|D|C|F|A|I|S|E|U|V|W|SA|CA)$"&amp;""")),
      OR(K15="""", REGEXMATCH(K15, ""^\d+\s*(B|D|C|F|A|I|S|E|U|V|W|SA|CA)$"")),
      OR(L15="""", REGEXMATCH(L15, ""^\d+\s*(B|D|C|F|A|I|S|E|U|V|W|SA|CA)$"")),
      OR(M15="""", REGEXMATCH(M15, ""^\d+\s*(B|D|C|F|A|I|S|E|U|V|W|SA|CA)$"")),
      OR("&amp;"N15="""", REGEXMATCH(N15, ""^\d+\s*(B|D|C|F|A|I|S|E|U|V|W|SA|CA)$"")),
      OR(O15="""", REGEXMATCH(O15, ""^\d+\s*(B|D|C|F|A|I|S|E|U|V|W|SA|CA)$""))
    ),
    ""✅ OK"",
    ""⚠️ ERRORE in "" &amp;
    TEXTJOIN("", "",
      TRUE,
      IF(NOT(OR(B15="""", R"&amp;"EGEXMATCH(B15, ""^\d+\s*(B|D|C|F|A|I|S|E|U|V|W|SA|CA)$""))), ""B"" &amp; ROW(), """"),
      IF(NOT(OR(C15="""", REGEXMATCH(C15, ""^\d+\s*(B|D|C|F|A|I|S|E|U|V|W|SA|CA)$""))), ""C"" &amp; ROW(), """"),
      IF(NOT(OR(D15="""", REGEXMATCH(D15, ""^\d+\s*(B|D|C|F|A|"&amp;"I|S|E|U|V|W|SA|CA)$""))), ""D"" &amp; ROW(), """"),
      IF(NOT(OR(E15="""", REGEXMATCH(E15, ""^\d+\s*(B|D|C|F|A|I|S|E|U|V|W|SA|CA)$""))), ""E"" &amp; ROW(), """"),
      IF(NOT(OR(F15="""", REGEXMATCH(F15, ""^\d+\s*(B|D|C|F|A|I|S|E|U|V|W|SA|CA)$""))), ""F"" &amp; R"&amp;"OW(), """"),
      IF(NOT(OR(G15="""", REGEXMATCH(G15, ""^\d+\s*(B|D|C|F|A|I|S|E|U|V|W|SA|CA)$""))), ""G"" &amp; ROW(), """"),
      IF(NOT(OR(H15="""", REGEXMATCH(H15, ""^\d+\s*(B|D|C|F|A|I|S|E|U|V|W|SA|CA)$""))), ""H"" &amp; ROW(), """"),
      IF(NOT(OR(I15="""&amp;""", REGEXMATCH(I15, ""^\d+\s*(B|D|C|F|A|I|S|E|U|V|W|SA|CA)$""))), ""I"" &amp; ROW(), """"),
      IF(NOT(OR(J15="""", REGEXMATCH(J15, ""^\d+\s*(B|D|C|F|A|I|S|E|U|V|W|SA|CA)$""))), ""J"" &amp; ROW(), """"),
      IF(NOT(OR(K15="""", REGEXMATCH(K15, ""^\d+\s*(B|D|C"&amp;"|F|A|I|S|E|U|V|W|SA|CA)$""))), ""K"" &amp; ROW(), """"),
      IF(NOT(OR(L15="""", REGEXMATCH(L15, ""^\d+\s*(B|D|C|F|A|I|S|E|U|V|W|SA|CA)$""))), ""L"" &amp; ROW(), """"),
      IF(NOT(OR(M15="""", REGEXMATCH(M15, ""^\d+\s*(B|D|C|F|A|I|S|E|U|V|W|SA|CA)$""))), ""M"&amp;""" &amp; ROW(), """"),
      IF(NOT(OR(N15="""", REGEXMATCH(N15, ""^\d+\s*(B|D|C|F|A|I|S|E|U|V|W|SA|CA)$""))), ""N"" &amp; ROW(), """"),
      IF(NOT(OR(O15="""", REGEXMATCH(O15, ""^\d+\s*(B|D|C|F|A|I|S|E|U|V|W|SA|CA)$""))), ""O"" &amp; ROW(), """")
    )
  )
)
"),"")</f>
        <v/>
      </c>
    </row>
    <row r="16" ht="23.25" customHeight="1">
      <c r="A16" s="5">
        <v>46249.0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9" t="str">
        <f>IFERROR(__xludf.DUMMYFUNCTION("IF(
  COUNTA(B16:O16) = 0,
  """",
  IF(
    AND(
      OR(B16="""", REGEXMATCH(B16, ""^\d+\s*(B|D|C|F|A|I|S|E|U|V|W|SA|CA)$"")),
      OR(C16="""", REGEXMATCH(C16, ""^\d+\s*(B|D|C|F|A|I|S|E|U|V|W|SA|CA)$"")),
      OR(D16="""", REGEXMATCH(D16, ""^\d+\s*("&amp;"B|D|C|F|A|I|S|E|U|V|W|SA|CA)$"")),
      OR(E16="""", REGEXMATCH(E16, ""^\d+\s*(B|D|C|F|A|I|S|E|U|V|W|SA|CA)$"")),
      OR(F16="""", REGEXMATCH(F16, ""^\d+\s*(B|D|C|F|A|I|S|E|U|V|W|SA|CA)$"")),
      OR(G16="""", REGEXMATCH(G16, ""^\d+\s*(B|D|C|F|A|I|S|E"&amp;"|U|V|W|SA|CA)$"")),
      OR(H16="""", REGEXMATCH(H16, ""^\d+\s*(B|D|C|F|A|I|S|E|U|V|W|SA|CA)$"")),
      OR(I16="""", REGEXMATCH(I16, ""^\d+\s*(B|D|C|F|A|I|S|E|U|V|W|SA|CA)$"")),
      OR(J16="""", REGEXMATCH(J16, ""^\d+\s*(B|D|C|F|A|I|S|E|U|V|W|SA|CA)$"&amp;""")),
      OR(K16="""", REGEXMATCH(K16, ""^\d+\s*(B|D|C|F|A|I|S|E|U|V|W|SA|CA)$"")),
      OR(L16="""", REGEXMATCH(L16, ""^\d+\s*(B|D|C|F|A|I|S|E|U|V|W|SA|CA)$"")),
      OR(M16="""", REGEXMATCH(M16, ""^\d+\s*(B|D|C|F|A|I|S|E|U|V|W|SA|CA)$"")),
      OR("&amp;"N16="""", REGEXMATCH(N16, ""^\d+\s*(B|D|C|F|A|I|S|E|U|V|W|SA|CA)$"")),
      OR(O16="""", REGEXMATCH(O16, ""^\d+\s*(B|D|C|F|A|I|S|E|U|V|W|SA|CA)$""))
    ),
    ""✅ OK"",
    ""⚠️ ERRORE in "" &amp;
    TEXTJOIN("", "",
      TRUE,
      IF(NOT(OR(B16="""", R"&amp;"EGEXMATCH(B16, ""^\d+\s*(B|D|C|F|A|I|S|E|U|V|W|SA|CA)$""))), ""B"" &amp; ROW(), """"),
      IF(NOT(OR(C16="""", REGEXMATCH(C16, ""^\d+\s*(B|D|C|F|A|I|S|E|U|V|W|SA|CA)$""))), ""C"" &amp; ROW(), """"),
      IF(NOT(OR(D16="""", REGEXMATCH(D16, ""^\d+\s*(B|D|C|F|A|"&amp;"I|S|E|U|V|W|SA|CA)$""))), ""D"" &amp; ROW(), """"),
      IF(NOT(OR(E16="""", REGEXMATCH(E16, ""^\d+\s*(B|D|C|F|A|I|S|E|U|V|W|SA|CA)$""))), ""E"" &amp; ROW(), """"),
      IF(NOT(OR(F16="""", REGEXMATCH(F16, ""^\d+\s*(B|D|C|F|A|I|S|E|U|V|W|SA|CA)$""))), ""F"" &amp; R"&amp;"OW(), """"),
      IF(NOT(OR(G16="""", REGEXMATCH(G16, ""^\d+\s*(B|D|C|F|A|I|S|E|U|V|W|SA|CA)$""))), ""G"" &amp; ROW(), """"),
      IF(NOT(OR(H16="""", REGEXMATCH(H16, ""^\d+\s*(B|D|C|F|A|I|S|E|U|V|W|SA|CA)$""))), ""H"" &amp; ROW(), """"),
      IF(NOT(OR(I16="""&amp;""", REGEXMATCH(I16, ""^\d+\s*(B|D|C|F|A|I|S|E|U|V|W|SA|CA)$""))), ""I"" &amp; ROW(), """"),
      IF(NOT(OR(J16="""", REGEXMATCH(J16, ""^\d+\s*(B|D|C|F|A|I|S|E|U|V|W|SA|CA)$""))), ""J"" &amp; ROW(), """"),
      IF(NOT(OR(K16="""", REGEXMATCH(K16, ""^\d+\s*(B|D|C"&amp;"|F|A|I|S|E|U|V|W|SA|CA)$""))), ""K"" &amp; ROW(), """"),
      IF(NOT(OR(L16="""", REGEXMATCH(L16, ""^\d+\s*(B|D|C|F|A|I|S|E|U|V|W|SA|CA)$""))), ""L"" &amp; ROW(), """"),
      IF(NOT(OR(M16="""", REGEXMATCH(M16, ""^\d+\s*(B|D|C|F|A|I|S|E|U|V|W|SA|CA)$""))), ""M"&amp;""" &amp; ROW(), """"),
      IF(NOT(OR(N16="""", REGEXMATCH(N16, ""^\d+\s*(B|D|C|F|A|I|S|E|U|V|W|SA|CA)$""))), ""N"" &amp; ROW(), """"),
      IF(NOT(OR(O16="""", REGEXMATCH(O16, ""^\d+\s*(B|D|C|F|A|I|S|E|U|V|W|SA|CA)$""))), ""O"" &amp; ROW(), """")
    )
  )
)
"),"")</f>
        <v/>
      </c>
    </row>
    <row r="17" ht="23.25" customHeight="1">
      <c r="A17" s="5">
        <v>46250.0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tr">
        <f>IFERROR(__xludf.DUMMYFUNCTION("IF(
  COUNTA(B17:O17) = 0,
  """",
  IF(
    AND(
      OR(B17="""", REGEXMATCH(B17, ""^\d+\s*(B|D|C|F|A|I|S|E|U|V|W|SA|CA)$"")),
      OR(C17="""", REGEXMATCH(C17, ""^\d+\s*(B|D|C|F|A|I|S|E|U|V|W|SA|CA)$"")),
      OR(D17="""", REGEXMATCH(D17, ""^\d+\s*("&amp;"B|D|C|F|A|I|S|E|U|V|W|SA|CA)$"")),
      OR(E17="""", REGEXMATCH(E17, ""^\d+\s*(B|D|C|F|A|I|S|E|U|V|W|SA|CA)$"")),
      OR(F17="""", REGEXMATCH(F17, ""^\d+\s*(B|D|C|F|A|I|S|E|U|V|W|SA|CA)$"")),
      OR(G17="""", REGEXMATCH(G17, ""^\d+\s*(B|D|C|F|A|I|S|E"&amp;"|U|V|W|SA|CA)$"")),
      OR(H17="""", REGEXMATCH(H17, ""^\d+\s*(B|D|C|F|A|I|S|E|U|V|W|SA|CA)$"")),
      OR(I17="""", REGEXMATCH(I17, ""^\d+\s*(B|D|C|F|A|I|S|E|U|V|W|SA|CA)$"")),
      OR(J17="""", REGEXMATCH(J17, ""^\d+\s*(B|D|C|F|A|I|S|E|U|V|W|SA|CA)$"&amp;""")),
      OR(K17="""", REGEXMATCH(K17, ""^\d+\s*(B|D|C|F|A|I|S|E|U|V|W|SA|CA)$"")),
      OR(L17="""", REGEXMATCH(L17, ""^\d+\s*(B|D|C|F|A|I|S|E|U|V|W|SA|CA)$"")),
      OR(M17="""", REGEXMATCH(M17, ""^\d+\s*(B|D|C|F|A|I|S|E|U|V|W|SA|CA)$"")),
      OR("&amp;"N17="""", REGEXMATCH(N17, ""^\d+\s*(B|D|C|F|A|I|S|E|U|V|W|SA|CA)$"")),
      OR(O17="""", REGEXMATCH(O17, ""^\d+\s*(B|D|C|F|A|I|S|E|U|V|W|SA|CA)$""))
    ),
    ""✅ OK"",
    ""⚠️ ERRORE in "" &amp;
    TEXTJOIN("", "",
      TRUE,
      IF(NOT(OR(B17="""", R"&amp;"EGEXMATCH(B17, ""^\d+\s*(B|D|C|F|A|I|S|E|U|V|W|SA|CA)$""))), ""B"" &amp; ROW(), """"),
      IF(NOT(OR(C17="""", REGEXMATCH(C17, ""^\d+\s*(B|D|C|F|A|I|S|E|U|V|W|SA|CA)$""))), ""C"" &amp; ROW(), """"),
      IF(NOT(OR(D17="""", REGEXMATCH(D17, ""^\d+\s*(B|D|C|F|A|"&amp;"I|S|E|U|V|W|SA|CA)$""))), ""D"" &amp; ROW(), """"),
      IF(NOT(OR(E17="""", REGEXMATCH(E17, ""^\d+\s*(B|D|C|F|A|I|S|E|U|V|W|SA|CA)$""))), ""E"" &amp; ROW(), """"),
      IF(NOT(OR(F17="""", REGEXMATCH(F17, ""^\d+\s*(B|D|C|F|A|I|S|E|U|V|W|SA|CA)$""))), ""F"" &amp; R"&amp;"OW(), """"),
      IF(NOT(OR(G17="""", REGEXMATCH(G17, ""^\d+\s*(B|D|C|F|A|I|S|E|U|V|W|SA|CA)$""))), ""G"" &amp; ROW(), """"),
      IF(NOT(OR(H17="""", REGEXMATCH(H17, ""^\d+\s*(B|D|C|F|A|I|S|E|U|V|W|SA|CA)$""))), ""H"" &amp; ROW(), """"),
      IF(NOT(OR(I17="""&amp;""", REGEXMATCH(I17, ""^\d+\s*(B|D|C|F|A|I|S|E|U|V|W|SA|CA)$""))), ""I"" &amp; ROW(), """"),
      IF(NOT(OR(J17="""", REGEXMATCH(J17, ""^\d+\s*(B|D|C|F|A|I|S|E|U|V|W|SA|CA)$""))), ""J"" &amp; ROW(), """"),
      IF(NOT(OR(K17="""", REGEXMATCH(K17, ""^\d+\s*(B|D|C"&amp;"|F|A|I|S|E|U|V|W|SA|CA)$""))), ""K"" &amp; ROW(), """"),
      IF(NOT(OR(L17="""", REGEXMATCH(L17, ""^\d+\s*(B|D|C|F|A|I|S|E|U|V|W|SA|CA)$""))), ""L"" &amp; ROW(), """"),
      IF(NOT(OR(M17="""", REGEXMATCH(M17, ""^\d+\s*(B|D|C|F|A|I|S|E|U|V|W|SA|CA)$""))), ""M"&amp;""" &amp; ROW(), """"),
      IF(NOT(OR(N17="""", REGEXMATCH(N17, ""^\d+\s*(B|D|C|F|A|I|S|E|U|V|W|SA|CA)$""))), ""N"" &amp; ROW(), """"),
      IF(NOT(OR(O17="""", REGEXMATCH(O17, ""^\d+\s*(B|D|C|F|A|I|S|E|U|V|W|SA|CA)$""))), ""O"" &amp; ROW(), """")
    )
  )
)
"),"")</f>
        <v/>
      </c>
    </row>
    <row r="18" ht="23.25" customHeight="1">
      <c r="A18" s="5">
        <v>46251.0</v>
      </c>
      <c r="B18" s="7"/>
      <c r="C18" s="7"/>
      <c r="D18" s="7"/>
      <c r="E18" s="7"/>
      <c r="F18" s="6"/>
      <c r="G18" s="7"/>
      <c r="H18" s="7"/>
      <c r="I18" s="7"/>
      <c r="J18" s="6"/>
      <c r="K18" s="7"/>
      <c r="L18" s="7"/>
      <c r="M18" s="7"/>
      <c r="N18" s="7"/>
      <c r="O18" s="8"/>
      <c r="P18" s="9" t="str">
        <f>IFERROR(__xludf.DUMMYFUNCTION("IF(
  COUNTA(B18:O18) = 0,
  """",
  IF(
    AND(
      OR(B18="""", REGEXMATCH(B18, ""^\d+\s*(B|D|C|F|A|I|S|E|U|V|W|SA|CA)$"")),
      OR(C18="""", REGEXMATCH(C18, ""^\d+\s*(B|D|C|F|A|I|S|E|U|V|W|SA|CA)$"")),
      OR(D18="""", REGEXMATCH(D18, ""^\d+\s*("&amp;"B|D|C|F|A|I|S|E|U|V|W|SA|CA)$"")),
      OR(E18="""", REGEXMATCH(E18, ""^\d+\s*(B|D|C|F|A|I|S|E|U|V|W|SA|CA)$"")),
      OR(F18="""", REGEXMATCH(F18, ""^\d+\s*(B|D|C|F|A|I|S|E|U|V|W|SA|CA)$"")),
      OR(G18="""", REGEXMATCH(G18, ""^\d+\s*(B|D|C|F|A|I|S|E"&amp;"|U|V|W|SA|CA)$"")),
      OR(H18="""", REGEXMATCH(H18, ""^\d+\s*(B|D|C|F|A|I|S|E|U|V|W|SA|CA)$"")),
      OR(I18="""", REGEXMATCH(I18, ""^\d+\s*(B|D|C|F|A|I|S|E|U|V|W|SA|CA)$"")),
      OR(J18="""", REGEXMATCH(J18, ""^\d+\s*(B|D|C|F|A|I|S|E|U|V|W|SA|CA)$"&amp;""")),
      OR(K18="""", REGEXMATCH(K18, ""^\d+\s*(B|D|C|F|A|I|S|E|U|V|W|SA|CA)$"")),
      OR(L18="""", REGEXMATCH(L18, ""^\d+\s*(B|D|C|F|A|I|S|E|U|V|W|SA|CA)$"")),
      OR(M18="""", REGEXMATCH(M18, ""^\d+\s*(B|D|C|F|A|I|S|E|U|V|W|SA|CA)$"")),
      OR("&amp;"N18="""", REGEXMATCH(N18, ""^\d+\s*(B|D|C|F|A|I|S|E|U|V|W|SA|CA)$"")),
      OR(O18="""", REGEXMATCH(O18, ""^\d+\s*(B|D|C|F|A|I|S|E|U|V|W|SA|CA)$""))
    ),
    ""✅ OK"",
    ""⚠️ ERRORE in "" &amp;
    TEXTJOIN("", "",
      TRUE,
      IF(NOT(OR(B18="""", R"&amp;"EGEXMATCH(B18, ""^\d+\s*(B|D|C|F|A|I|S|E|U|V|W|SA|CA)$""))), ""B"" &amp; ROW(), """"),
      IF(NOT(OR(C18="""", REGEXMATCH(C18, ""^\d+\s*(B|D|C|F|A|I|S|E|U|V|W|SA|CA)$""))), ""C"" &amp; ROW(), """"),
      IF(NOT(OR(D18="""", REGEXMATCH(D18, ""^\d+\s*(B|D|C|F|A|"&amp;"I|S|E|U|V|W|SA|CA)$""))), ""D"" &amp; ROW(), """"),
      IF(NOT(OR(E18="""", REGEXMATCH(E18, ""^\d+\s*(B|D|C|F|A|I|S|E|U|V|W|SA|CA)$""))), ""E"" &amp; ROW(), """"),
      IF(NOT(OR(F18="""", REGEXMATCH(F18, ""^\d+\s*(B|D|C|F|A|I|S|E|U|V|W|SA|CA)$""))), ""F"" &amp; R"&amp;"OW(), """"),
      IF(NOT(OR(G18="""", REGEXMATCH(G18, ""^\d+\s*(B|D|C|F|A|I|S|E|U|V|W|SA|CA)$""))), ""G"" &amp; ROW(), """"),
      IF(NOT(OR(H18="""", REGEXMATCH(H18, ""^\d+\s*(B|D|C|F|A|I|S|E|U|V|W|SA|CA)$""))), ""H"" &amp; ROW(), """"),
      IF(NOT(OR(I18="""&amp;""", REGEXMATCH(I18, ""^\d+\s*(B|D|C|F|A|I|S|E|U|V|W|SA|CA)$""))), ""I"" &amp; ROW(), """"),
      IF(NOT(OR(J18="""", REGEXMATCH(J18, ""^\d+\s*(B|D|C|F|A|I|S|E|U|V|W|SA|CA)$""))), ""J"" &amp; ROW(), """"),
      IF(NOT(OR(K18="""", REGEXMATCH(K18, ""^\d+\s*(B|D|C"&amp;"|F|A|I|S|E|U|V|W|SA|CA)$""))), ""K"" &amp; ROW(), """"),
      IF(NOT(OR(L18="""", REGEXMATCH(L18, ""^\d+\s*(B|D|C|F|A|I|S|E|U|V|W|SA|CA)$""))), ""L"" &amp; ROW(), """"),
      IF(NOT(OR(M18="""", REGEXMATCH(M18, ""^\d+\s*(B|D|C|F|A|I|S|E|U|V|W|SA|CA)$""))), ""M"&amp;""" &amp; ROW(), """"),
      IF(NOT(OR(N18="""", REGEXMATCH(N18, ""^\d+\s*(B|D|C|F|A|I|S|E|U|V|W|SA|CA)$""))), ""N"" &amp; ROW(), """"),
      IF(NOT(OR(O18="""", REGEXMATCH(O18, ""^\d+\s*(B|D|C|F|A|I|S|E|U|V|W|SA|CA)$""))), ""O"" &amp; ROW(), """")
    )
  )
)
"),"")</f>
        <v/>
      </c>
    </row>
    <row r="19" ht="23.25" customHeight="1">
      <c r="A19" s="5">
        <v>46252.0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9" t="str">
        <f>IFERROR(__xludf.DUMMYFUNCTION("IF(
  COUNTA(B19:O19) = 0,
  """",
  IF(
    AND(
      OR(B19="""", REGEXMATCH(B19, ""^\d+\s*(B|D|C|F|A|I|S|E|U|V|W|SA|CA)$"")),
      OR(C19="""", REGEXMATCH(C19, ""^\d+\s*(B|D|C|F|A|I|S|E|U|V|W|SA|CA)$"")),
      OR(D19="""", REGEXMATCH(D19, ""^\d+\s*("&amp;"B|D|C|F|A|I|S|E|U|V|W|SA|CA)$"")),
      OR(E19="""", REGEXMATCH(E19, ""^\d+\s*(B|D|C|F|A|I|S|E|U|V|W|SA|CA)$"")),
      OR(F19="""", REGEXMATCH(F19, ""^\d+\s*(B|D|C|F|A|I|S|E|U|V|W|SA|CA)$"")),
      OR(G19="""", REGEXMATCH(G19, ""^\d+\s*(B|D|C|F|A|I|S|E"&amp;"|U|V|W|SA|CA)$"")),
      OR(H19="""", REGEXMATCH(H19, ""^\d+\s*(B|D|C|F|A|I|S|E|U|V|W|SA|CA)$"")),
      OR(I19="""", REGEXMATCH(I19, ""^\d+\s*(B|D|C|F|A|I|S|E|U|V|W|SA|CA)$"")),
      OR(J19="""", REGEXMATCH(J19, ""^\d+\s*(B|D|C|F|A|I|S|E|U|V|W|SA|CA)$"&amp;""")),
      OR(K19="""", REGEXMATCH(K19, ""^\d+\s*(B|D|C|F|A|I|S|E|U|V|W|SA|CA)$"")),
      OR(L19="""", REGEXMATCH(L19, ""^\d+\s*(B|D|C|F|A|I|S|E|U|V|W|SA|CA)$"")),
      OR(M19="""", REGEXMATCH(M19, ""^\d+\s*(B|D|C|F|A|I|S|E|U|V|W|SA|CA)$"")),
      OR("&amp;"N19="""", REGEXMATCH(N19, ""^\d+\s*(B|D|C|F|A|I|S|E|U|V|W|SA|CA)$"")),
      OR(O19="""", REGEXMATCH(O19, ""^\d+\s*(B|D|C|F|A|I|S|E|U|V|W|SA|CA)$""))
    ),
    ""✅ OK"",
    ""⚠️ ERRORE in "" &amp;
    TEXTJOIN("", "",
      TRUE,
      IF(NOT(OR(B19="""", R"&amp;"EGEXMATCH(B19, ""^\d+\s*(B|D|C|F|A|I|S|E|U|V|W|SA|CA)$""))), ""B"" &amp; ROW(), """"),
      IF(NOT(OR(C19="""", REGEXMATCH(C19, ""^\d+\s*(B|D|C|F|A|I|S|E|U|V|W|SA|CA)$""))), ""C"" &amp; ROW(), """"),
      IF(NOT(OR(D19="""", REGEXMATCH(D19, ""^\d+\s*(B|D|C|F|A|"&amp;"I|S|E|U|V|W|SA|CA)$""))), ""D"" &amp; ROW(), """"),
      IF(NOT(OR(E19="""", REGEXMATCH(E19, ""^\d+\s*(B|D|C|F|A|I|S|E|U|V|W|SA|CA)$""))), ""E"" &amp; ROW(), """"),
      IF(NOT(OR(F19="""", REGEXMATCH(F19, ""^\d+\s*(B|D|C|F|A|I|S|E|U|V|W|SA|CA)$""))), ""F"" &amp; R"&amp;"OW(), """"),
      IF(NOT(OR(G19="""", REGEXMATCH(G19, ""^\d+\s*(B|D|C|F|A|I|S|E|U|V|W|SA|CA)$""))), ""G"" &amp; ROW(), """"),
      IF(NOT(OR(H19="""", REGEXMATCH(H19, ""^\d+\s*(B|D|C|F|A|I|S|E|U|V|W|SA|CA)$""))), ""H"" &amp; ROW(), """"),
      IF(NOT(OR(I19="""&amp;""", REGEXMATCH(I19, ""^\d+\s*(B|D|C|F|A|I|S|E|U|V|W|SA|CA)$""))), ""I"" &amp; ROW(), """"),
      IF(NOT(OR(J19="""", REGEXMATCH(J19, ""^\d+\s*(B|D|C|F|A|I|S|E|U|V|W|SA|CA)$""))), ""J"" &amp; ROW(), """"),
      IF(NOT(OR(K19="""", REGEXMATCH(K19, ""^\d+\s*(B|D|C"&amp;"|F|A|I|S|E|U|V|W|SA|CA)$""))), ""K"" &amp; ROW(), """"),
      IF(NOT(OR(L19="""", REGEXMATCH(L19, ""^\d+\s*(B|D|C|F|A|I|S|E|U|V|W|SA|CA)$""))), ""L"" &amp; ROW(), """"),
      IF(NOT(OR(M19="""", REGEXMATCH(M19, ""^\d+\s*(B|D|C|F|A|I|S|E|U|V|W|SA|CA)$""))), ""M"&amp;""" &amp; ROW(), """"),
      IF(NOT(OR(N19="""", REGEXMATCH(N19, ""^\d+\s*(B|D|C|F|A|I|S|E|U|V|W|SA|CA)$""))), ""N"" &amp; ROW(), """"),
      IF(NOT(OR(O19="""", REGEXMATCH(O19, ""^\d+\s*(B|D|C|F|A|I|S|E|U|V|W|SA|CA)$""))), ""O"" &amp; ROW(), """")
    )
  )
)
"),"")</f>
        <v/>
      </c>
    </row>
    <row r="20" ht="23.25" customHeight="1">
      <c r="A20" s="5">
        <v>46253.0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9" t="str">
        <f>IFERROR(__xludf.DUMMYFUNCTION("IF(
  COUNTA(B20:O20) = 0,
  """",
  IF(
    AND(
      OR(B20="""", REGEXMATCH(B20, ""^\d+\s*(B|D|C|F|A|I|S|E|U|V|W|SA|CA)$"")),
      OR(C20="""", REGEXMATCH(C20, ""^\d+\s*(B|D|C|F|A|I|S|E|U|V|W|SA|CA)$"")),
      OR(D20="""", REGEXMATCH(D20, ""^\d+\s*("&amp;"B|D|C|F|A|I|S|E|U|V|W|SA|CA)$"")),
      OR(E20="""", REGEXMATCH(E20, ""^\d+\s*(B|D|C|F|A|I|S|E|U|V|W|SA|CA)$"")),
      OR(F20="""", REGEXMATCH(F20, ""^\d+\s*(B|D|C|F|A|I|S|E|U|V|W|SA|CA)$"")),
      OR(G20="""", REGEXMATCH(G20, ""^\d+\s*(B|D|C|F|A|I|S|E"&amp;"|U|V|W|SA|CA)$"")),
      OR(H20="""", REGEXMATCH(H20, ""^\d+\s*(B|D|C|F|A|I|S|E|U|V|W|SA|CA)$"")),
      OR(I20="""", REGEXMATCH(I20, ""^\d+\s*(B|D|C|F|A|I|S|E|U|V|W|SA|CA)$"")),
      OR(J20="""", REGEXMATCH(J20, ""^\d+\s*(B|D|C|F|A|I|S|E|U|V|W|SA|CA)$"&amp;""")),
      OR(K20="""", REGEXMATCH(K20, ""^\d+\s*(B|D|C|F|A|I|S|E|U|V|W|SA|CA)$"")),
      OR(L20="""", REGEXMATCH(L20, ""^\d+\s*(B|D|C|F|A|I|S|E|U|V|W|SA|CA)$"")),
      OR(M20="""", REGEXMATCH(M20, ""^\d+\s*(B|D|C|F|A|I|S|E|U|V|W|SA|CA)$"")),
      OR("&amp;"N20="""", REGEXMATCH(N20, ""^\d+\s*(B|D|C|F|A|I|S|E|U|V|W|SA|CA)$"")),
      OR(O20="""", REGEXMATCH(O20, ""^\d+\s*(B|D|C|F|A|I|S|E|U|V|W|SA|CA)$""))
    ),
    ""✅ OK"",
    ""⚠️ ERRORE in "" &amp;
    TEXTJOIN("", "",
      TRUE,
      IF(NOT(OR(B20="""", R"&amp;"EGEXMATCH(B20, ""^\d+\s*(B|D|C|F|A|I|S|E|U|V|W|SA|CA)$""))), ""B"" &amp; ROW(), """"),
      IF(NOT(OR(C20="""", REGEXMATCH(C20, ""^\d+\s*(B|D|C|F|A|I|S|E|U|V|W|SA|CA)$""))), ""C"" &amp; ROW(), """"),
      IF(NOT(OR(D20="""", REGEXMATCH(D20, ""^\d+\s*(B|D|C|F|A|"&amp;"I|S|E|U|V|W|SA|CA)$""))), ""D"" &amp; ROW(), """"),
      IF(NOT(OR(E20="""", REGEXMATCH(E20, ""^\d+\s*(B|D|C|F|A|I|S|E|U|V|W|SA|CA)$""))), ""E"" &amp; ROW(), """"),
      IF(NOT(OR(F20="""", REGEXMATCH(F20, ""^\d+\s*(B|D|C|F|A|I|S|E|U|V|W|SA|CA)$""))), ""F"" &amp; R"&amp;"OW(), """"),
      IF(NOT(OR(G20="""", REGEXMATCH(G20, ""^\d+\s*(B|D|C|F|A|I|S|E|U|V|W|SA|CA)$""))), ""G"" &amp; ROW(), """"),
      IF(NOT(OR(H20="""", REGEXMATCH(H20, ""^\d+\s*(B|D|C|F|A|I|S|E|U|V|W|SA|CA)$""))), ""H"" &amp; ROW(), """"),
      IF(NOT(OR(I20="""&amp;""", REGEXMATCH(I20, ""^\d+\s*(B|D|C|F|A|I|S|E|U|V|W|SA|CA)$""))), ""I"" &amp; ROW(), """"),
      IF(NOT(OR(J20="""", REGEXMATCH(J20, ""^\d+\s*(B|D|C|F|A|I|S|E|U|V|W|SA|CA)$""))), ""J"" &amp; ROW(), """"),
      IF(NOT(OR(K20="""", REGEXMATCH(K20, ""^\d+\s*(B|D|C"&amp;"|F|A|I|S|E|U|V|W|SA|CA)$""))), ""K"" &amp; ROW(), """"),
      IF(NOT(OR(L20="""", REGEXMATCH(L20, ""^\d+\s*(B|D|C|F|A|I|S|E|U|V|W|SA|CA)$""))), ""L"" &amp; ROW(), """"),
      IF(NOT(OR(M20="""", REGEXMATCH(M20, ""^\d+\s*(B|D|C|F|A|I|S|E|U|V|W|SA|CA)$""))), ""M"&amp;""" &amp; ROW(), """"),
      IF(NOT(OR(N20="""", REGEXMATCH(N20, ""^\d+\s*(B|D|C|F|A|I|S|E|U|V|W|SA|CA)$""))), ""N"" &amp; ROW(), """"),
      IF(NOT(OR(O20="""", REGEXMATCH(O20, ""^\d+\s*(B|D|C|F|A|I|S|E|U|V|W|SA|CA)$""))), ""O"" &amp; ROW(), """")
    )
  )
)
"),"")</f>
        <v/>
      </c>
    </row>
    <row r="21" ht="23.25" customHeight="1">
      <c r="A21" s="5">
        <v>46254.0</v>
      </c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8"/>
      <c r="P21" s="9" t="str">
        <f>IFERROR(__xludf.DUMMYFUNCTION("IF(
  COUNTA(B21:O21) = 0,
  """",
  IF(
    AND(
      OR(B21="""", REGEXMATCH(B21, ""^\d+\s*(B|D|C|F|A|I|S|E|U|V|W|SA|CA)$"")),
      OR(C21="""", REGEXMATCH(C21, ""^\d+\s*(B|D|C|F|A|I|S|E|U|V|W|SA|CA)$"")),
      OR(D21="""", REGEXMATCH(D21, ""^\d+\s*("&amp;"B|D|C|F|A|I|S|E|U|V|W|SA|CA)$"")),
      OR(E21="""", REGEXMATCH(E21, ""^\d+\s*(B|D|C|F|A|I|S|E|U|V|W|SA|CA)$"")),
      OR(F21="""", REGEXMATCH(F21, ""^\d+\s*(B|D|C|F|A|I|S|E|U|V|W|SA|CA)$"")),
      OR(G21="""", REGEXMATCH(G21, ""^\d+\s*(B|D|C|F|A|I|S|E"&amp;"|U|V|W|SA|CA)$"")),
      OR(H21="""", REGEXMATCH(H21, ""^\d+\s*(B|D|C|F|A|I|S|E|U|V|W|SA|CA)$"")),
      OR(I21="""", REGEXMATCH(I21, ""^\d+\s*(B|D|C|F|A|I|S|E|U|V|W|SA|CA)$"")),
      OR(J21="""", REGEXMATCH(J21, ""^\d+\s*(B|D|C|F|A|I|S|E|U|V|W|SA|CA)$"&amp;""")),
      OR(K21="""", REGEXMATCH(K21, ""^\d+\s*(B|D|C|F|A|I|S|E|U|V|W|SA|CA)$"")),
      OR(L21="""", REGEXMATCH(L21, ""^\d+\s*(B|D|C|F|A|I|S|E|U|V|W|SA|CA)$"")),
      OR(M21="""", REGEXMATCH(M21, ""^\d+\s*(B|D|C|F|A|I|S|E|U|V|W|SA|CA)$"")),
      OR("&amp;"N21="""", REGEXMATCH(N21, ""^\d+\s*(B|D|C|F|A|I|S|E|U|V|W|SA|CA)$"")),
      OR(O21="""", REGEXMATCH(O21, ""^\d+\s*(B|D|C|F|A|I|S|E|U|V|W|SA|CA)$""))
    ),
    ""✅ OK"",
    ""⚠️ ERRORE in "" &amp;
    TEXTJOIN("", "",
      TRUE,
      IF(NOT(OR(B21="""", R"&amp;"EGEXMATCH(B21, ""^\d+\s*(B|D|C|F|A|I|S|E|U|V|W|SA|CA)$""))), ""B"" &amp; ROW(), """"),
      IF(NOT(OR(C21="""", REGEXMATCH(C21, ""^\d+\s*(B|D|C|F|A|I|S|E|U|V|W|SA|CA)$""))), ""C"" &amp; ROW(), """"),
      IF(NOT(OR(D21="""", REGEXMATCH(D21, ""^\d+\s*(B|D|C|F|A|"&amp;"I|S|E|U|V|W|SA|CA)$""))), ""D"" &amp; ROW(), """"),
      IF(NOT(OR(E21="""", REGEXMATCH(E21, ""^\d+\s*(B|D|C|F|A|I|S|E|U|V|W|SA|CA)$""))), ""E"" &amp; ROW(), """"),
      IF(NOT(OR(F21="""", REGEXMATCH(F21, ""^\d+\s*(B|D|C|F|A|I|S|E|U|V|W|SA|CA)$""))), ""F"" &amp; R"&amp;"OW(), """"),
      IF(NOT(OR(G21="""", REGEXMATCH(G21, ""^\d+\s*(B|D|C|F|A|I|S|E|U|V|W|SA|CA)$""))), ""G"" &amp; ROW(), """"),
      IF(NOT(OR(H21="""", REGEXMATCH(H21, ""^\d+\s*(B|D|C|F|A|I|S|E|U|V|W|SA|CA)$""))), ""H"" &amp; ROW(), """"),
      IF(NOT(OR(I21="""&amp;""", REGEXMATCH(I21, ""^\d+\s*(B|D|C|F|A|I|S|E|U|V|W|SA|CA)$""))), ""I"" &amp; ROW(), """"),
      IF(NOT(OR(J21="""", REGEXMATCH(J21, ""^\d+\s*(B|D|C|F|A|I|S|E|U|V|W|SA|CA)$""))), ""J"" &amp; ROW(), """"),
      IF(NOT(OR(K21="""", REGEXMATCH(K21, ""^\d+\s*(B|D|C"&amp;"|F|A|I|S|E|U|V|W|SA|CA)$""))), ""K"" &amp; ROW(), """"),
      IF(NOT(OR(L21="""", REGEXMATCH(L21, ""^\d+\s*(B|D|C|F|A|I|S|E|U|V|W|SA|CA)$""))), ""L"" &amp; ROW(), """"),
      IF(NOT(OR(M21="""", REGEXMATCH(M21, ""^\d+\s*(B|D|C|F|A|I|S|E|U|V|W|SA|CA)$""))), ""M"&amp;""" &amp; ROW(), """"),
      IF(NOT(OR(N21="""", REGEXMATCH(N21, ""^\d+\s*(B|D|C|F|A|I|S|E|U|V|W|SA|CA)$""))), ""N"" &amp; ROW(), """"),
      IF(NOT(OR(O21="""", REGEXMATCH(O21, ""^\d+\s*(B|D|C|F|A|I|S|E|U|V|W|SA|CA)$""))), ""O"" &amp; ROW(), """")
    )
  )
)
"),"")</f>
        <v/>
      </c>
    </row>
    <row r="22" ht="23.25" customHeight="1">
      <c r="A22" s="5">
        <v>46255.0</v>
      </c>
      <c r="B22" s="7"/>
      <c r="C22" s="7"/>
      <c r="D22" s="7"/>
      <c r="E22" s="7"/>
      <c r="F22" s="7"/>
      <c r="G22" s="6"/>
      <c r="H22" s="7"/>
      <c r="I22" s="7"/>
      <c r="J22" s="7"/>
      <c r="K22" s="7"/>
      <c r="L22" s="7"/>
      <c r="M22" s="7"/>
      <c r="N22" s="7"/>
      <c r="O22" s="8"/>
      <c r="P22" s="9" t="str">
        <f>IFERROR(__xludf.DUMMYFUNCTION("IF(
  COUNTA(B22:O22) = 0,
  """",
  IF(
    AND(
      OR(B22="""", REGEXMATCH(B22, ""^\d+\s*(B|D|C|F|A|I|S|E|U|V|W|SA|CA)$"")),
      OR(C22="""", REGEXMATCH(C22, ""^\d+\s*(B|D|C|F|A|I|S|E|U|V|W|SA|CA)$"")),
      OR(D22="""", REGEXMATCH(D22, ""^\d+\s*("&amp;"B|D|C|F|A|I|S|E|U|V|W|SA|CA)$"")),
      OR(E22="""", REGEXMATCH(E22, ""^\d+\s*(B|D|C|F|A|I|S|E|U|V|W|SA|CA)$"")),
      OR(F22="""", REGEXMATCH(F22, ""^\d+\s*(B|D|C|F|A|I|S|E|U|V|W|SA|CA)$"")),
      OR(G22="""", REGEXMATCH(G22, ""^\d+\s*(B|D|C|F|A|I|S|E"&amp;"|U|V|W|SA|CA)$"")),
      OR(H22="""", REGEXMATCH(H22, ""^\d+\s*(B|D|C|F|A|I|S|E|U|V|W|SA|CA)$"")),
      OR(I22="""", REGEXMATCH(I22, ""^\d+\s*(B|D|C|F|A|I|S|E|U|V|W|SA|CA)$"")),
      OR(J22="""", REGEXMATCH(J22, ""^\d+\s*(B|D|C|F|A|I|S|E|U|V|W|SA|CA)$"&amp;""")),
      OR(K22="""", REGEXMATCH(K22, ""^\d+\s*(B|D|C|F|A|I|S|E|U|V|W|SA|CA)$"")),
      OR(L22="""", REGEXMATCH(L22, ""^\d+\s*(B|D|C|F|A|I|S|E|U|V|W|SA|CA)$"")),
      OR(M22="""", REGEXMATCH(M22, ""^\d+\s*(B|D|C|F|A|I|S|E|U|V|W|SA|CA)$"")),
      OR("&amp;"N22="""", REGEXMATCH(N22, ""^\d+\s*(B|D|C|F|A|I|S|E|U|V|W|SA|CA)$"")),
      OR(O22="""", REGEXMATCH(O22, ""^\d+\s*(B|D|C|F|A|I|S|E|U|V|W|SA|CA)$""))
    ),
    ""✅ OK"",
    ""⚠️ ERRORE in "" &amp;
    TEXTJOIN("", "",
      TRUE,
      IF(NOT(OR(B22="""", R"&amp;"EGEXMATCH(B22, ""^\d+\s*(B|D|C|F|A|I|S|E|U|V|W|SA|CA)$""))), ""B"" &amp; ROW(), """"),
      IF(NOT(OR(C22="""", REGEXMATCH(C22, ""^\d+\s*(B|D|C|F|A|I|S|E|U|V|W|SA|CA)$""))), ""C"" &amp; ROW(), """"),
      IF(NOT(OR(D22="""", REGEXMATCH(D22, ""^\d+\s*(B|D|C|F|A|"&amp;"I|S|E|U|V|W|SA|CA)$""))), ""D"" &amp; ROW(), """"),
      IF(NOT(OR(E22="""", REGEXMATCH(E22, ""^\d+\s*(B|D|C|F|A|I|S|E|U|V|W|SA|CA)$""))), ""E"" &amp; ROW(), """"),
      IF(NOT(OR(F22="""", REGEXMATCH(F22, ""^\d+\s*(B|D|C|F|A|I|S|E|U|V|W|SA|CA)$""))), ""F"" &amp; R"&amp;"OW(), """"),
      IF(NOT(OR(G22="""", REGEXMATCH(G22, ""^\d+\s*(B|D|C|F|A|I|S|E|U|V|W|SA|CA)$""))), ""G"" &amp; ROW(), """"),
      IF(NOT(OR(H22="""", REGEXMATCH(H22, ""^\d+\s*(B|D|C|F|A|I|S|E|U|V|W|SA|CA)$""))), ""H"" &amp; ROW(), """"),
      IF(NOT(OR(I22="""&amp;""", REGEXMATCH(I22, ""^\d+\s*(B|D|C|F|A|I|S|E|U|V|W|SA|CA)$""))), ""I"" &amp; ROW(), """"),
      IF(NOT(OR(J22="""", REGEXMATCH(J22, ""^\d+\s*(B|D|C|F|A|I|S|E|U|V|W|SA|CA)$""))), ""J"" &amp; ROW(), """"),
      IF(NOT(OR(K22="""", REGEXMATCH(K22, ""^\d+\s*(B|D|C"&amp;"|F|A|I|S|E|U|V|W|SA|CA)$""))), ""K"" &amp; ROW(), """"),
      IF(NOT(OR(L22="""", REGEXMATCH(L22, ""^\d+\s*(B|D|C|F|A|I|S|E|U|V|W|SA|CA)$""))), ""L"" &amp; ROW(), """"),
      IF(NOT(OR(M22="""", REGEXMATCH(M22, ""^\d+\s*(B|D|C|F|A|I|S|E|U|V|W|SA|CA)$""))), ""M"&amp;""" &amp; ROW(), """"),
      IF(NOT(OR(N22="""", REGEXMATCH(N22, ""^\d+\s*(B|D|C|F|A|I|S|E|U|V|W|SA|CA)$""))), ""N"" &amp; ROW(), """"),
      IF(NOT(OR(O22="""", REGEXMATCH(O22, ""^\d+\s*(B|D|C|F|A|I|S|E|U|V|W|SA|CA)$""))), ""O"" &amp; ROW(), """")
    )
  )
)
"),"")</f>
        <v/>
      </c>
    </row>
    <row r="23" ht="23.25" customHeight="1">
      <c r="A23" s="5">
        <v>46256.0</v>
      </c>
      <c r="B23" s="7"/>
      <c r="C23" s="7"/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8"/>
      <c r="P23" s="9" t="str">
        <f>IFERROR(__xludf.DUMMYFUNCTION("IF(
  COUNTA(B23:O23) = 0,
  """",
  IF(
    AND(
      OR(B23="""", REGEXMATCH(B23, ""^\d+\s*(B|D|C|F|A|I|S|E|U|V|W|SA|CA)$"")),
      OR(C23="""", REGEXMATCH(C23, ""^\d+\s*(B|D|C|F|A|I|S|E|U|V|W|SA|CA)$"")),
      OR(D23="""", REGEXMATCH(D23, ""^\d+\s*("&amp;"B|D|C|F|A|I|S|E|U|V|W|SA|CA)$"")),
      OR(E23="""", REGEXMATCH(E23, ""^\d+\s*(B|D|C|F|A|I|S|E|U|V|W|SA|CA)$"")),
      OR(F23="""", REGEXMATCH(F23, ""^\d+\s*(B|D|C|F|A|I|S|E|U|V|W|SA|CA)$"")),
      OR(G23="""", REGEXMATCH(G23, ""^\d+\s*(B|D|C|F|A|I|S|E"&amp;"|U|V|W|SA|CA)$"")),
      OR(H23="""", REGEXMATCH(H23, ""^\d+\s*(B|D|C|F|A|I|S|E|U|V|W|SA|CA)$"")),
      OR(I23="""", REGEXMATCH(I23, ""^\d+\s*(B|D|C|F|A|I|S|E|U|V|W|SA|CA)$"")),
      OR(J23="""", REGEXMATCH(J23, ""^\d+\s*(B|D|C|F|A|I|S|E|U|V|W|SA|CA)$"&amp;""")),
      OR(K23="""", REGEXMATCH(K23, ""^\d+\s*(B|D|C|F|A|I|S|E|U|V|W|SA|CA)$"")),
      OR(L23="""", REGEXMATCH(L23, ""^\d+\s*(B|D|C|F|A|I|S|E|U|V|W|SA|CA)$"")),
      OR(M23="""", REGEXMATCH(M23, ""^\d+\s*(B|D|C|F|A|I|S|E|U|V|W|SA|CA)$"")),
      OR("&amp;"N23="""", REGEXMATCH(N23, ""^\d+\s*(B|D|C|F|A|I|S|E|U|V|W|SA|CA)$"")),
      OR(O23="""", REGEXMATCH(O23, ""^\d+\s*(B|D|C|F|A|I|S|E|U|V|W|SA|CA)$""))
    ),
    ""✅ OK"",
    ""⚠️ ERRORE in "" &amp;
    TEXTJOIN("", "",
      TRUE,
      IF(NOT(OR(B23="""", R"&amp;"EGEXMATCH(B23, ""^\d+\s*(B|D|C|F|A|I|S|E|U|V|W|SA|CA)$""))), ""B"" &amp; ROW(), """"),
      IF(NOT(OR(C23="""", REGEXMATCH(C23, ""^\d+\s*(B|D|C|F|A|I|S|E|U|V|W|SA|CA)$""))), ""C"" &amp; ROW(), """"),
      IF(NOT(OR(D23="""", REGEXMATCH(D23, ""^\d+\s*(B|D|C|F|A|"&amp;"I|S|E|U|V|W|SA|CA)$""))), ""D"" &amp; ROW(), """"),
      IF(NOT(OR(E23="""", REGEXMATCH(E23, ""^\d+\s*(B|D|C|F|A|I|S|E|U|V|W|SA|CA)$""))), ""E"" &amp; ROW(), """"),
      IF(NOT(OR(F23="""", REGEXMATCH(F23, ""^\d+\s*(B|D|C|F|A|I|S|E|U|V|W|SA|CA)$""))), ""F"" &amp; R"&amp;"OW(), """"),
      IF(NOT(OR(G23="""", REGEXMATCH(G23, ""^\d+\s*(B|D|C|F|A|I|S|E|U|V|W|SA|CA)$""))), ""G"" &amp; ROW(), """"),
      IF(NOT(OR(H23="""", REGEXMATCH(H23, ""^\d+\s*(B|D|C|F|A|I|S|E|U|V|W|SA|CA)$""))), ""H"" &amp; ROW(), """"),
      IF(NOT(OR(I23="""&amp;""", REGEXMATCH(I23, ""^\d+\s*(B|D|C|F|A|I|S|E|U|V|W|SA|CA)$""))), ""I"" &amp; ROW(), """"),
      IF(NOT(OR(J23="""", REGEXMATCH(J23, ""^\d+\s*(B|D|C|F|A|I|S|E|U|V|W|SA|CA)$""))), ""J"" &amp; ROW(), """"),
      IF(NOT(OR(K23="""", REGEXMATCH(K23, ""^\d+\s*(B|D|C"&amp;"|F|A|I|S|E|U|V|W|SA|CA)$""))), ""K"" &amp; ROW(), """"),
      IF(NOT(OR(L23="""", REGEXMATCH(L23, ""^\d+\s*(B|D|C|F|A|I|S|E|U|V|W|SA|CA)$""))), ""L"" &amp; ROW(), """"),
      IF(NOT(OR(M23="""", REGEXMATCH(M23, ""^\d+\s*(B|D|C|F|A|I|S|E|U|V|W|SA|CA)$""))), ""M"&amp;""" &amp; ROW(), """"),
      IF(NOT(OR(N23="""", REGEXMATCH(N23, ""^\d+\s*(B|D|C|F|A|I|S|E|U|V|W|SA|CA)$""))), ""N"" &amp; ROW(), """"),
      IF(NOT(OR(O23="""", REGEXMATCH(O23, ""^\d+\s*(B|D|C|F|A|I|S|E|U|V|W|SA|CA)$""))), ""O"" &amp; ROW(), """")
    )
  )
)
"),"")</f>
        <v/>
      </c>
    </row>
    <row r="24" ht="23.25" customHeight="1">
      <c r="A24" s="5">
        <v>46257.0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9" t="str">
        <f>IFERROR(__xludf.DUMMYFUNCTION("IF(
  COUNTA(B24:O24) = 0,
  """",
  IF(
    AND(
      OR(B24="""", REGEXMATCH(B24, ""^\d+\s*(B|D|C|F|A|I|S|E|U|V|W|SA|CA)$"")),
      OR(C24="""", REGEXMATCH(C24, ""^\d+\s*(B|D|C|F|A|I|S|E|U|V|W|SA|CA)$"")),
      OR(D24="""", REGEXMATCH(D24, ""^\d+\s*("&amp;"B|D|C|F|A|I|S|E|U|V|W|SA|CA)$"")),
      OR(E24="""", REGEXMATCH(E24, ""^\d+\s*(B|D|C|F|A|I|S|E|U|V|W|SA|CA)$"")),
      OR(F24="""", REGEXMATCH(F24, ""^\d+\s*(B|D|C|F|A|I|S|E|U|V|W|SA|CA)$"")),
      OR(G24="""", REGEXMATCH(G24, ""^\d+\s*(B|D|C|F|A|I|S|E"&amp;"|U|V|W|SA|CA)$"")),
      OR(H24="""", REGEXMATCH(H24, ""^\d+\s*(B|D|C|F|A|I|S|E|U|V|W|SA|CA)$"")),
      OR(I24="""", REGEXMATCH(I24, ""^\d+\s*(B|D|C|F|A|I|S|E|U|V|W|SA|CA)$"")),
      OR(J24="""", REGEXMATCH(J24, ""^\d+\s*(B|D|C|F|A|I|S|E|U|V|W|SA|CA)$"&amp;""")),
      OR(K24="""", REGEXMATCH(K24, ""^\d+\s*(B|D|C|F|A|I|S|E|U|V|W|SA|CA)$"")),
      OR(L24="""", REGEXMATCH(L24, ""^\d+\s*(B|D|C|F|A|I|S|E|U|V|W|SA|CA)$"")),
      OR(M24="""", REGEXMATCH(M24, ""^\d+\s*(B|D|C|F|A|I|S|E|U|V|W|SA|CA)$"")),
      OR("&amp;"N24="""", REGEXMATCH(N24, ""^\d+\s*(B|D|C|F|A|I|S|E|U|V|W|SA|CA)$"")),
      OR(O24="""", REGEXMATCH(O24, ""^\d+\s*(B|D|C|F|A|I|S|E|U|V|W|SA|CA)$""))
    ),
    ""✅ OK"",
    ""⚠️ ERRORE in "" &amp;
    TEXTJOIN("", "",
      TRUE,
      IF(NOT(OR(B24="""", R"&amp;"EGEXMATCH(B24, ""^\d+\s*(B|D|C|F|A|I|S|E|U|V|W|SA|CA)$""))), ""B"" &amp; ROW(), """"),
      IF(NOT(OR(C24="""", REGEXMATCH(C24, ""^\d+\s*(B|D|C|F|A|I|S|E|U|V|W|SA|CA)$""))), ""C"" &amp; ROW(), """"),
      IF(NOT(OR(D24="""", REGEXMATCH(D24, ""^\d+\s*(B|D|C|F|A|"&amp;"I|S|E|U|V|W|SA|CA)$""))), ""D"" &amp; ROW(), """"),
      IF(NOT(OR(E24="""", REGEXMATCH(E24, ""^\d+\s*(B|D|C|F|A|I|S|E|U|V|W|SA|CA)$""))), ""E"" &amp; ROW(), """"),
      IF(NOT(OR(F24="""", REGEXMATCH(F24, ""^\d+\s*(B|D|C|F|A|I|S|E|U|V|W|SA|CA)$""))), ""F"" &amp; R"&amp;"OW(), """"),
      IF(NOT(OR(G24="""", REGEXMATCH(G24, ""^\d+\s*(B|D|C|F|A|I|S|E|U|V|W|SA|CA)$""))), ""G"" &amp; ROW(), """"),
      IF(NOT(OR(H24="""", REGEXMATCH(H24, ""^\d+\s*(B|D|C|F|A|I|S|E|U|V|W|SA|CA)$""))), ""H"" &amp; ROW(), """"),
      IF(NOT(OR(I24="""&amp;""", REGEXMATCH(I24, ""^\d+\s*(B|D|C|F|A|I|S|E|U|V|W|SA|CA)$""))), ""I"" &amp; ROW(), """"),
      IF(NOT(OR(J24="""", REGEXMATCH(J24, ""^\d+\s*(B|D|C|F|A|I|S|E|U|V|W|SA|CA)$""))), ""J"" &amp; ROW(), """"),
      IF(NOT(OR(K24="""", REGEXMATCH(K24, ""^\d+\s*(B|D|C"&amp;"|F|A|I|S|E|U|V|W|SA|CA)$""))), ""K"" &amp; ROW(), """"),
      IF(NOT(OR(L24="""", REGEXMATCH(L24, ""^\d+\s*(B|D|C|F|A|I|S|E|U|V|W|SA|CA)$""))), ""L"" &amp; ROW(), """"),
      IF(NOT(OR(M24="""", REGEXMATCH(M24, ""^\d+\s*(B|D|C|F|A|I|S|E|U|V|W|SA|CA)$""))), ""M"&amp;""" &amp; ROW(), """"),
      IF(NOT(OR(N24="""", REGEXMATCH(N24, ""^\d+\s*(B|D|C|F|A|I|S|E|U|V|W|SA|CA)$""))), ""N"" &amp; ROW(), """"),
      IF(NOT(OR(O24="""", REGEXMATCH(O24, ""^\d+\s*(B|D|C|F|A|I|S|E|U|V|W|SA|CA)$""))), ""O"" &amp; ROW(), """")
    )
  )
)
"),"")</f>
        <v/>
      </c>
    </row>
    <row r="25" ht="23.25" customHeight="1">
      <c r="A25" s="5">
        <v>46258.0</v>
      </c>
      <c r="B25" s="7"/>
      <c r="C25" s="7"/>
      <c r="D25" s="7"/>
      <c r="E25" s="7"/>
      <c r="F25" s="6"/>
      <c r="G25" s="7"/>
      <c r="H25" s="7"/>
      <c r="I25" s="7"/>
      <c r="J25" s="6"/>
      <c r="K25" s="7"/>
      <c r="L25" s="7"/>
      <c r="M25" s="7"/>
      <c r="N25" s="7"/>
      <c r="O25" s="8"/>
      <c r="P25" s="9" t="str">
        <f>IFERROR(__xludf.DUMMYFUNCTION("IF(
  COUNTA(B25:O25) = 0,
  """",
  IF(
    AND(
      OR(B25="""", REGEXMATCH(B25, ""^\d+\s*(B|D|C|F|A|I|S|E|U|V|W|SA|CA)$"")),
      OR(C25="""", REGEXMATCH(C25, ""^\d+\s*(B|D|C|F|A|I|S|E|U|V|W|SA|CA)$"")),
      OR(D25="""", REGEXMATCH(D25, ""^\d+\s*("&amp;"B|D|C|F|A|I|S|E|U|V|W|SA|CA)$"")),
      OR(E25="""", REGEXMATCH(E25, ""^\d+\s*(B|D|C|F|A|I|S|E|U|V|W|SA|CA)$"")),
      OR(F25="""", REGEXMATCH(F25, ""^\d+\s*(B|D|C|F|A|I|S|E|U|V|W|SA|CA)$"")),
      OR(G25="""", REGEXMATCH(G25, ""^\d+\s*(B|D|C|F|A|I|S|E"&amp;"|U|V|W|SA|CA)$"")),
      OR(H25="""", REGEXMATCH(H25, ""^\d+\s*(B|D|C|F|A|I|S|E|U|V|W|SA|CA)$"")),
      OR(I25="""", REGEXMATCH(I25, ""^\d+\s*(B|D|C|F|A|I|S|E|U|V|W|SA|CA)$"")),
      OR(J25="""", REGEXMATCH(J25, ""^\d+\s*(B|D|C|F|A|I|S|E|U|V|W|SA|CA)$"&amp;""")),
      OR(K25="""", REGEXMATCH(K25, ""^\d+\s*(B|D|C|F|A|I|S|E|U|V|W|SA|CA)$"")),
      OR(L25="""", REGEXMATCH(L25, ""^\d+\s*(B|D|C|F|A|I|S|E|U|V|W|SA|CA)$"")),
      OR(M25="""", REGEXMATCH(M25, ""^\d+\s*(B|D|C|F|A|I|S|E|U|V|W|SA|CA)$"")),
      OR("&amp;"N25="""", REGEXMATCH(N25, ""^\d+\s*(B|D|C|F|A|I|S|E|U|V|W|SA|CA)$"")),
      OR(O25="""", REGEXMATCH(O25, ""^\d+\s*(B|D|C|F|A|I|S|E|U|V|W|SA|CA)$""))
    ),
    ""✅ OK"",
    ""⚠️ ERRORE in "" &amp;
    TEXTJOIN("", "",
      TRUE,
      IF(NOT(OR(B25="""", R"&amp;"EGEXMATCH(B25, ""^\d+\s*(B|D|C|F|A|I|S|E|U|V|W|SA|CA)$""))), ""B"" &amp; ROW(), """"),
      IF(NOT(OR(C25="""", REGEXMATCH(C25, ""^\d+\s*(B|D|C|F|A|I|S|E|U|V|W|SA|CA)$""))), ""C"" &amp; ROW(), """"),
      IF(NOT(OR(D25="""", REGEXMATCH(D25, ""^\d+\s*(B|D|C|F|A|"&amp;"I|S|E|U|V|W|SA|CA)$""))), ""D"" &amp; ROW(), """"),
      IF(NOT(OR(E25="""", REGEXMATCH(E25, ""^\d+\s*(B|D|C|F|A|I|S|E|U|V|W|SA|CA)$""))), ""E"" &amp; ROW(), """"),
      IF(NOT(OR(F25="""", REGEXMATCH(F25, ""^\d+\s*(B|D|C|F|A|I|S|E|U|V|W|SA|CA)$""))), ""F"" &amp; R"&amp;"OW(), """"),
      IF(NOT(OR(G25="""", REGEXMATCH(G25, ""^\d+\s*(B|D|C|F|A|I|S|E|U|V|W|SA|CA)$""))), ""G"" &amp; ROW(), """"),
      IF(NOT(OR(H25="""", REGEXMATCH(H25, ""^\d+\s*(B|D|C|F|A|I|S|E|U|V|W|SA|CA)$""))), ""H"" &amp; ROW(), """"),
      IF(NOT(OR(I25="""&amp;""", REGEXMATCH(I25, ""^\d+\s*(B|D|C|F|A|I|S|E|U|V|W|SA|CA)$""))), ""I"" &amp; ROW(), """"),
      IF(NOT(OR(J25="""", REGEXMATCH(J25, ""^\d+\s*(B|D|C|F|A|I|S|E|U|V|W|SA|CA)$""))), ""J"" &amp; ROW(), """"),
      IF(NOT(OR(K25="""", REGEXMATCH(K25, ""^\d+\s*(B|D|C"&amp;"|F|A|I|S|E|U|V|W|SA|CA)$""))), ""K"" &amp; ROW(), """"),
      IF(NOT(OR(L25="""", REGEXMATCH(L25, ""^\d+\s*(B|D|C|F|A|I|S|E|U|V|W|SA|CA)$""))), ""L"" &amp; ROW(), """"),
      IF(NOT(OR(M25="""", REGEXMATCH(M25, ""^\d+\s*(B|D|C|F|A|I|S|E|U|V|W|SA|CA)$""))), ""M"&amp;""" &amp; ROW(), """"),
      IF(NOT(OR(N25="""", REGEXMATCH(N25, ""^\d+\s*(B|D|C|F|A|I|S|E|U|V|W|SA|CA)$""))), ""N"" &amp; ROW(), """"),
      IF(NOT(OR(O25="""", REGEXMATCH(O25, ""^\d+\s*(B|D|C|F|A|I|S|E|U|V|W|SA|CA)$""))), ""O"" &amp; ROW(), """")
    )
  )
)
"),"")</f>
        <v/>
      </c>
    </row>
    <row r="26" ht="23.25" customHeight="1">
      <c r="A26" s="5">
        <v>46259.0</v>
      </c>
      <c r="B26" s="7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8"/>
      <c r="P26" s="9" t="str">
        <f>IFERROR(__xludf.DUMMYFUNCTION("IF(
  COUNTA(B26:O26) = 0,
  """",
  IF(
    AND(
      OR(B26="""", REGEXMATCH(B26, ""^\d+\s*(B|D|C|F|A|I|S|E|U|V|W|SA|CA)$"")),
      OR(C26="""", REGEXMATCH(C26, ""^\d+\s*(B|D|C|F|A|I|S|E|U|V|W|SA|CA)$"")),
      OR(D26="""", REGEXMATCH(D26, ""^\d+\s*("&amp;"B|D|C|F|A|I|S|E|U|V|W|SA|CA)$"")),
      OR(E26="""", REGEXMATCH(E26, ""^\d+\s*(B|D|C|F|A|I|S|E|U|V|W|SA|CA)$"")),
      OR(F26="""", REGEXMATCH(F26, ""^\d+\s*(B|D|C|F|A|I|S|E|U|V|W|SA|CA)$"")),
      OR(G26="""", REGEXMATCH(G26, ""^\d+\s*(B|D|C|F|A|I|S|E"&amp;"|U|V|W|SA|CA)$"")),
      OR(H26="""", REGEXMATCH(H26, ""^\d+\s*(B|D|C|F|A|I|S|E|U|V|W|SA|CA)$"")),
      OR(I26="""", REGEXMATCH(I26, ""^\d+\s*(B|D|C|F|A|I|S|E|U|V|W|SA|CA)$"")),
      OR(J26="""", REGEXMATCH(J26, ""^\d+\s*(B|D|C|F|A|I|S|E|U|V|W|SA|CA)$"&amp;""")),
      OR(K26="""", REGEXMATCH(K26, ""^\d+\s*(B|D|C|F|A|I|S|E|U|V|W|SA|CA)$"")),
      OR(L26="""", REGEXMATCH(L26, ""^\d+\s*(B|D|C|F|A|I|S|E|U|V|W|SA|CA)$"")),
      OR(M26="""", REGEXMATCH(M26, ""^\d+\s*(B|D|C|F|A|I|S|E|U|V|W|SA|CA)$"")),
      OR("&amp;"N26="""", REGEXMATCH(N26, ""^\d+\s*(B|D|C|F|A|I|S|E|U|V|W|SA|CA)$"")),
      OR(O26="""", REGEXMATCH(O26, ""^\d+\s*(B|D|C|F|A|I|S|E|U|V|W|SA|CA)$""))
    ),
    ""✅ OK"",
    ""⚠️ ERRORE in "" &amp;
    TEXTJOIN("", "",
      TRUE,
      IF(NOT(OR(B26="""", R"&amp;"EGEXMATCH(B26, ""^\d+\s*(B|D|C|F|A|I|S|E|U|V|W|SA|CA)$""))), ""B"" &amp; ROW(), """"),
      IF(NOT(OR(C26="""", REGEXMATCH(C26, ""^\d+\s*(B|D|C|F|A|I|S|E|U|V|W|SA|CA)$""))), ""C"" &amp; ROW(), """"),
      IF(NOT(OR(D26="""", REGEXMATCH(D26, ""^\d+\s*(B|D|C|F|A|"&amp;"I|S|E|U|V|W|SA|CA)$""))), ""D"" &amp; ROW(), """"),
      IF(NOT(OR(E26="""", REGEXMATCH(E26, ""^\d+\s*(B|D|C|F|A|I|S|E|U|V|W|SA|CA)$""))), ""E"" &amp; ROW(), """"),
      IF(NOT(OR(F26="""", REGEXMATCH(F26, ""^\d+\s*(B|D|C|F|A|I|S|E|U|V|W|SA|CA)$""))), ""F"" &amp; R"&amp;"OW(), """"),
      IF(NOT(OR(G26="""", REGEXMATCH(G26, ""^\d+\s*(B|D|C|F|A|I|S|E|U|V|W|SA|CA)$""))), ""G"" &amp; ROW(), """"),
      IF(NOT(OR(H26="""", REGEXMATCH(H26, ""^\d+\s*(B|D|C|F|A|I|S|E|U|V|W|SA|CA)$""))), ""H"" &amp; ROW(), """"),
      IF(NOT(OR(I26="""&amp;""", REGEXMATCH(I26, ""^\d+\s*(B|D|C|F|A|I|S|E|U|V|W|SA|CA)$""))), ""I"" &amp; ROW(), """"),
      IF(NOT(OR(J26="""", REGEXMATCH(J26, ""^\d+\s*(B|D|C|F|A|I|S|E|U|V|W|SA|CA)$""))), ""J"" &amp; ROW(), """"),
      IF(NOT(OR(K26="""", REGEXMATCH(K26, ""^\d+\s*(B|D|C"&amp;"|F|A|I|S|E|U|V|W|SA|CA)$""))), ""K"" &amp; ROW(), """"),
      IF(NOT(OR(L26="""", REGEXMATCH(L26, ""^\d+\s*(B|D|C|F|A|I|S|E|U|V|W|SA|CA)$""))), ""L"" &amp; ROW(), """"),
      IF(NOT(OR(M26="""", REGEXMATCH(M26, ""^\d+\s*(B|D|C|F|A|I|S|E|U|V|W|SA|CA)$""))), ""M"&amp;""" &amp; ROW(), """"),
      IF(NOT(OR(N26="""", REGEXMATCH(N26, ""^\d+\s*(B|D|C|F|A|I|S|E|U|V|W|SA|CA)$""))), ""N"" &amp; ROW(), """"),
      IF(NOT(OR(O26="""", REGEXMATCH(O26, ""^\d+\s*(B|D|C|F|A|I|S|E|U|V|W|SA|CA)$""))), ""O"" &amp; ROW(), """")
    )
  )
)
"),"")</f>
        <v/>
      </c>
    </row>
    <row r="27" ht="23.25" customHeight="1">
      <c r="A27" s="5">
        <v>46260.0</v>
      </c>
      <c r="B27" s="7"/>
      <c r="C27" s="7"/>
      <c r="D27" s="7"/>
      <c r="E27" s="7"/>
      <c r="F27" s="7"/>
      <c r="G27" s="7"/>
      <c r="H27" s="7"/>
      <c r="I27" s="7"/>
      <c r="J27" s="6"/>
      <c r="K27" s="7"/>
      <c r="L27" s="7"/>
      <c r="M27" s="7"/>
      <c r="N27" s="7"/>
      <c r="O27" s="8"/>
      <c r="P27" s="9" t="str">
        <f>IFERROR(__xludf.DUMMYFUNCTION("IF(
  COUNTA(B27:O27) = 0,
  """",
  IF(
    AND(
      OR(B27="""", REGEXMATCH(B27, ""^\d+\s*(B|D|C|F|A|I|S|E|U|V|W|SA|CA)$"")),
      OR(C27="""", REGEXMATCH(C27, ""^\d+\s*(B|D|C|F|A|I|S|E|U|V|W|SA|CA)$"")),
      OR(D27="""", REGEXMATCH(D27, ""^\d+\s*("&amp;"B|D|C|F|A|I|S|E|U|V|W|SA|CA)$"")),
      OR(E27="""", REGEXMATCH(E27, ""^\d+\s*(B|D|C|F|A|I|S|E|U|V|W|SA|CA)$"")),
      OR(F27="""", REGEXMATCH(F27, ""^\d+\s*(B|D|C|F|A|I|S|E|U|V|W|SA|CA)$"")),
      OR(G27="""", REGEXMATCH(G27, ""^\d+\s*(B|D|C|F|A|I|S|E"&amp;"|U|V|W|SA|CA)$"")),
      OR(H27="""", REGEXMATCH(H27, ""^\d+\s*(B|D|C|F|A|I|S|E|U|V|W|SA|CA)$"")),
      OR(I27="""", REGEXMATCH(I27, ""^\d+\s*(B|D|C|F|A|I|S|E|U|V|W|SA|CA)$"")),
      OR(J27="""", REGEXMATCH(J27, ""^\d+\s*(B|D|C|F|A|I|S|E|U|V|W|SA|CA)$"&amp;""")),
      OR(K27="""", REGEXMATCH(K27, ""^\d+\s*(B|D|C|F|A|I|S|E|U|V|W|SA|CA)$"")),
      OR(L27="""", REGEXMATCH(L27, ""^\d+\s*(B|D|C|F|A|I|S|E|U|V|W|SA|CA)$"")),
      OR(M27="""", REGEXMATCH(M27, ""^\d+\s*(B|D|C|F|A|I|S|E|U|V|W|SA|CA)$"")),
      OR("&amp;"N27="""", REGEXMATCH(N27, ""^\d+\s*(B|D|C|F|A|I|S|E|U|V|W|SA|CA)$"")),
      OR(O27="""", REGEXMATCH(O27, ""^\d+\s*(B|D|C|F|A|I|S|E|U|V|W|SA|CA)$""))
    ),
    ""✅ OK"",
    ""⚠️ ERRORE in "" &amp;
    TEXTJOIN("", "",
      TRUE,
      IF(NOT(OR(B27="""", R"&amp;"EGEXMATCH(B27, ""^\d+\s*(B|D|C|F|A|I|S|E|U|V|W|SA|CA)$""))), ""B"" &amp; ROW(), """"),
      IF(NOT(OR(C27="""", REGEXMATCH(C27, ""^\d+\s*(B|D|C|F|A|I|S|E|U|V|W|SA|CA)$""))), ""C"" &amp; ROW(), """"),
      IF(NOT(OR(D27="""", REGEXMATCH(D27, ""^\d+\s*(B|D|C|F|A|"&amp;"I|S|E|U|V|W|SA|CA)$""))), ""D"" &amp; ROW(), """"),
      IF(NOT(OR(E27="""", REGEXMATCH(E27, ""^\d+\s*(B|D|C|F|A|I|S|E|U|V|W|SA|CA)$""))), ""E"" &amp; ROW(), """"),
      IF(NOT(OR(F27="""", REGEXMATCH(F27, ""^\d+\s*(B|D|C|F|A|I|S|E|U|V|W|SA|CA)$""))), ""F"" &amp; R"&amp;"OW(), """"),
      IF(NOT(OR(G27="""", REGEXMATCH(G27, ""^\d+\s*(B|D|C|F|A|I|S|E|U|V|W|SA|CA)$""))), ""G"" &amp; ROW(), """"),
      IF(NOT(OR(H27="""", REGEXMATCH(H27, ""^\d+\s*(B|D|C|F|A|I|S|E|U|V|W|SA|CA)$""))), ""H"" &amp; ROW(), """"),
      IF(NOT(OR(I27="""&amp;""", REGEXMATCH(I27, ""^\d+\s*(B|D|C|F|A|I|S|E|U|V|W|SA|CA)$""))), ""I"" &amp; ROW(), """"),
      IF(NOT(OR(J27="""", REGEXMATCH(J27, ""^\d+\s*(B|D|C|F|A|I|S|E|U|V|W|SA|CA)$""))), ""J"" &amp; ROW(), """"),
      IF(NOT(OR(K27="""", REGEXMATCH(K27, ""^\d+\s*(B|D|C"&amp;"|F|A|I|S|E|U|V|W|SA|CA)$""))), ""K"" &amp; ROW(), """"),
      IF(NOT(OR(L27="""", REGEXMATCH(L27, ""^\d+\s*(B|D|C|F|A|I|S|E|U|V|W|SA|CA)$""))), ""L"" &amp; ROW(), """"),
      IF(NOT(OR(M27="""", REGEXMATCH(M27, ""^\d+\s*(B|D|C|F|A|I|S|E|U|V|W|SA|CA)$""))), ""M"&amp;""" &amp; ROW(), """"),
      IF(NOT(OR(N27="""", REGEXMATCH(N27, ""^\d+\s*(B|D|C|F|A|I|S|E|U|V|W|SA|CA)$""))), ""N"" &amp; ROW(), """"),
      IF(NOT(OR(O27="""", REGEXMATCH(O27, ""^\d+\s*(B|D|C|F|A|I|S|E|U|V|W|SA|CA)$""))), ""O"" &amp; ROW(), """")
    )
  )
)
"),"")</f>
        <v/>
      </c>
    </row>
    <row r="28" ht="23.25" customHeight="1">
      <c r="A28" s="5">
        <v>46261.0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6"/>
      <c r="M28" s="7"/>
      <c r="N28" s="7"/>
      <c r="O28" s="8"/>
      <c r="P28" s="9" t="str">
        <f>IFERROR(__xludf.DUMMYFUNCTION("IF(
  COUNTA(B28:O28) = 0,
  """",
  IF(
    AND(
      OR(B28="""", REGEXMATCH(B28, ""^\d+\s*(B|D|C|F|A|I|S|E|U|V|W|SA|CA)$"")),
      OR(C28="""", REGEXMATCH(C28, ""^\d+\s*(B|D|C|F|A|I|S|E|U|V|W|SA|CA)$"")),
      OR(D28="""", REGEXMATCH(D28, ""^\d+\s*("&amp;"B|D|C|F|A|I|S|E|U|V|W|SA|CA)$"")),
      OR(E28="""", REGEXMATCH(E28, ""^\d+\s*(B|D|C|F|A|I|S|E|U|V|W|SA|CA)$"")),
      OR(F28="""", REGEXMATCH(F28, ""^\d+\s*(B|D|C|F|A|I|S|E|U|V|W|SA|CA)$"")),
      OR(G28="""", REGEXMATCH(G28, ""^\d+\s*(B|D|C|F|A|I|S|E"&amp;"|U|V|W|SA|CA)$"")),
      OR(H28="""", REGEXMATCH(H28, ""^\d+\s*(B|D|C|F|A|I|S|E|U|V|W|SA|CA)$"")),
      OR(I28="""", REGEXMATCH(I28, ""^\d+\s*(B|D|C|F|A|I|S|E|U|V|W|SA|CA)$"")),
      OR(J28="""", REGEXMATCH(J28, ""^\d+\s*(B|D|C|F|A|I|S|E|U|V|W|SA|CA)$"&amp;""")),
      OR(K28="""", REGEXMATCH(K28, ""^\d+\s*(B|D|C|F|A|I|S|E|U|V|W|SA|CA)$"")),
      OR(L28="""", REGEXMATCH(L28, ""^\d+\s*(B|D|C|F|A|I|S|E|U|V|W|SA|CA)$"")),
      OR(M28="""", REGEXMATCH(M28, ""^\d+\s*(B|D|C|F|A|I|S|E|U|V|W|SA|CA)$"")),
      OR("&amp;"N28="""", REGEXMATCH(N28, ""^\d+\s*(B|D|C|F|A|I|S|E|U|V|W|SA|CA)$"")),
      OR(O28="""", REGEXMATCH(O28, ""^\d+\s*(B|D|C|F|A|I|S|E|U|V|W|SA|CA)$""))
    ),
    ""✅ OK"",
    ""⚠️ ERRORE in "" &amp;
    TEXTJOIN("", "",
      TRUE,
      IF(NOT(OR(B28="""", R"&amp;"EGEXMATCH(B28, ""^\d+\s*(B|D|C|F|A|I|S|E|U|V|W|SA|CA)$""))), ""B"" &amp; ROW(), """"),
      IF(NOT(OR(C28="""", REGEXMATCH(C28, ""^\d+\s*(B|D|C|F|A|I|S|E|U|V|W|SA|CA)$""))), ""C"" &amp; ROW(), """"),
      IF(NOT(OR(D28="""", REGEXMATCH(D28, ""^\d+\s*(B|D|C|F|A|"&amp;"I|S|E|U|V|W|SA|CA)$""))), ""D"" &amp; ROW(), """"),
      IF(NOT(OR(E28="""", REGEXMATCH(E28, ""^\d+\s*(B|D|C|F|A|I|S|E|U|V|W|SA|CA)$""))), ""E"" &amp; ROW(), """"),
      IF(NOT(OR(F28="""", REGEXMATCH(F28, ""^\d+\s*(B|D|C|F|A|I|S|E|U|V|W|SA|CA)$""))), ""F"" &amp; R"&amp;"OW(), """"),
      IF(NOT(OR(G28="""", REGEXMATCH(G28, ""^\d+\s*(B|D|C|F|A|I|S|E|U|V|W|SA|CA)$""))), ""G"" &amp; ROW(), """"),
      IF(NOT(OR(H28="""", REGEXMATCH(H28, ""^\d+\s*(B|D|C|F|A|I|S|E|U|V|W|SA|CA)$""))), ""H"" &amp; ROW(), """"),
      IF(NOT(OR(I28="""&amp;""", REGEXMATCH(I28, ""^\d+\s*(B|D|C|F|A|I|S|E|U|V|W|SA|CA)$""))), ""I"" &amp; ROW(), """"),
      IF(NOT(OR(J28="""", REGEXMATCH(J28, ""^\d+\s*(B|D|C|F|A|I|S|E|U|V|W|SA|CA)$""))), ""J"" &amp; ROW(), """"),
      IF(NOT(OR(K28="""", REGEXMATCH(K28, ""^\d+\s*(B|D|C"&amp;"|F|A|I|S|E|U|V|W|SA|CA)$""))), ""K"" &amp; ROW(), """"),
      IF(NOT(OR(L28="""", REGEXMATCH(L28, ""^\d+\s*(B|D|C|F|A|I|S|E|U|V|W|SA|CA)$""))), ""L"" &amp; ROW(), """"),
      IF(NOT(OR(M28="""", REGEXMATCH(M28, ""^\d+\s*(B|D|C|F|A|I|S|E|U|V|W|SA|CA)$""))), ""M"&amp;""" &amp; ROW(), """"),
      IF(NOT(OR(N28="""", REGEXMATCH(N28, ""^\d+\s*(B|D|C|F|A|I|S|E|U|V|W|SA|CA)$""))), ""N"" &amp; ROW(), """"),
      IF(NOT(OR(O28="""", REGEXMATCH(O28, ""^\d+\s*(B|D|C|F|A|I|S|E|U|V|W|SA|CA)$""))), ""O"" &amp; ROW(), """")
    )
  )
)
"),"")</f>
        <v/>
      </c>
    </row>
    <row r="29" ht="23.25" customHeight="1">
      <c r="A29" s="5">
        <v>46262.0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tr">
        <f>IFERROR(__xludf.DUMMYFUNCTION("IF(
  COUNTA(B29:O29) = 0,
  """",
  IF(
    AND(
      OR(B29="""", REGEXMATCH(B29, ""^\d+\s*(B|D|C|F|A|I|S|E|U|V|W|SA|CA)$"")),
      OR(C29="""", REGEXMATCH(C29, ""^\d+\s*(B|D|C|F|A|I|S|E|U|V|W|SA|CA)$"")),
      OR(D29="""", REGEXMATCH(D29, ""^\d+\s*("&amp;"B|D|C|F|A|I|S|E|U|V|W|SA|CA)$"")),
      OR(E29="""", REGEXMATCH(E29, ""^\d+\s*(B|D|C|F|A|I|S|E|U|V|W|SA|CA)$"")),
      OR(F29="""", REGEXMATCH(F29, ""^\d+\s*(B|D|C|F|A|I|S|E|U|V|W|SA|CA)$"")),
      OR(G29="""", REGEXMATCH(G29, ""^\d+\s*(B|D|C|F|A|I|S|E"&amp;"|U|V|W|SA|CA)$"")),
      OR(H29="""", REGEXMATCH(H29, ""^\d+\s*(B|D|C|F|A|I|S|E|U|V|W|SA|CA)$"")),
      OR(I29="""", REGEXMATCH(I29, ""^\d+\s*(B|D|C|F|A|I|S|E|U|V|W|SA|CA)$"")),
      OR(J29="""", REGEXMATCH(J29, ""^\d+\s*(B|D|C|F|A|I|S|E|U|V|W|SA|CA)$"&amp;""")),
      OR(K29="""", REGEXMATCH(K29, ""^\d+\s*(B|D|C|F|A|I|S|E|U|V|W|SA|CA)$"")),
      OR(L29="""", REGEXMATCH(L29, ""^\d+\s*(B|D|C|F|A|I|S|E|U|V|W|SA|CA)$"")),
      OR(M29="""", REGEXMATCH(M29, ""^\d+\s*(B|D|C|F|A|I|S|E|U|V|W|SA|CA)$"")),
      OR("&amp;"N29="""", REGEXMATCH(N29, ""^\d+\s*(B|D|C|F|A|I|S|E|U|V|W|SA|CA)$"")),
      OR(O29="""", REGEXMATCH(O29, ""^\d+\s*(B|D|C|F|A|I|S|E|U|V|W|SA|CA)$""))
    ),
    ""✅ OK"",
    ""⚠️ ERRORE in "" &amp;
    TEXTJOIN("", "",
      TRUE,
      IF(NOT(OR(B29="""", R"&amp;"EGEXMATCH(B29, ""^\d+\s*(B|D|C|F|A|I|S|E|U|V|W|SA|CA)$""))), ""B"" &amp; ROW(), """"),
      IF(NOT(OR(C29="""", REGEXMATCH(C29, ""^\d+\s*(B|D|C|F|A|I|S|E|U|V|W|SA|CA)$""))), ""C"" &amp; ROW(), """"),
      IF(NOT(OR(D29="""", REGEXMATCH(D29, ""^\d+\s*(B|D|C|F|A|"&amp;"I|S|E|U|V|W|SA|CA)$""))), ""D"" &amp; ROW(), """"),
      IF(NOT(OR(E29="""", REGEXMATCH(E29, ""^\d+\s*(B|D|C|F|A|I|S|E|U|V|W|SA|CA)$""))), ""E"" &amp; ROW(), """"),
      IF(NOT(OR(F29="""", REGEXMATCH(F29, ""^\d+\s*(B|D|C|F|A|I|S|E|U|V|W|SA|CA)$""))), ""F"" &amp; R"&amp;"OW(), """"),
      IF(NOT(OR(G29="""", REGEXMATCH(G29, ""^\d+\s*(B|D|C|F|A|I|S|E|U|V|W|SA|CA)$""))), ""G"" &amp; ROW(), """"),
      IF(NOT(OR(H29="""", REGEXMATCH(H29, ""^\d+\s*(B|D|C|F|A|I|S|E|U|V|W|SA|CA)$""))), ""H"" &amp; ROW(), """"),
      IF(NOT(OR(I29="""&amp;""", REGEXMATCH(I29, ""^\d+\s*(B|D|C|F|A|I|S|E|U|V|W|SA|CA)$""))), ""I"" &amp; ROW(), """"),
      IF(NOT(OR(J29="""", REGEXMATCH(J29, ""^\d+\s*(B|D|C|F|A|I|S|E|U|V|W|SA|CA)$""))), ""J"" &amp; ROW(), """"),
      IF(NOT(OR(K29="""", REGEXMATCH(K29, ""^\d+\s*(B|D|C"&amp;"|F|A|I|S|E|U|V|W|SA|CA)$""))), ""K"" &amp; ROW(), """"),
      IF(NOT(OR(L29="""", REGEXMATCH(L29, ""^\d+\s*(B|D|C|F|A|I|S|E|U|V|W|SA|CA)$""))), ""L"" &amp; ROW(), """"),
      IF(NOT(OR(M29="""", REGEXMATCH(M29, ""^\d+\s*(B|D|C|F|A|I|S|E|U|V|W|SA|CA)$""))), ""M"&amp;""" &amp; ROW(), """"),
      IF(NOT(OR(N29="""", REGEXMATCH(N29, ""^\d+\s*(B|D|C|F|A|I|S|E|U|V|W|SA|CA)$""))), ""N"" &amp; ROW(), """"),
      IF(NOT(OR(O29="""", REGEXMATCH(O29, ""^\d+\s*(B|D|C|F|A|I|S|E|U|V|W|SA|CA)$""))), ""O"" &amp; ROW(), """")
    )
  )
)
"),"")</f>
        <v/>
      </c>
    </row>
    <row r="30" ht="23.25" customHeight="1">
      <c r="A30" s="5">
        <v>46263.0</v>
      </c>
      <c r="B30" s="7"/>
      <c r="C30" s="7"/>
      <c r="D30" s="7"/>
      <c r="E30" s="6"/>
      <c r="F30" s="7"/>
      <c r="G30" s="7"/>
      <c r="H30" s="7"/>
      <c r="I30" s="7"/>
      <c r="J30" s="6"/>
      <c r="K30" s="7"/>
      <c r="L30" s="6"/>
      <c r="M30" s="6"/>
      <c r="N30" s="7"/>
      <c r="O30" s="8"/>
      <c r="P30" s="9" t="str">
        <f>IFERROR(__xludf.DUMMYFUNCTION("IF(
  COUNTA(B30:O30) = 0,
  """",
  IF(
    AND(
      OR(B30="""", REGEXMATCH(B30, ""^\d+\s*(B|D|C|F|A|I|S|E|U|V|W|SA|CA)$"")),
      OR(C30="""", REGEXMATCH(C30, ""^\d+\s*(B|D|C|F|A|I|S|E|U|V|W|SA|CA)$"")),
      OR(D30="""", REGEXMATCH(D30, ""^\d+\s*("&amp;"B|D|C|F|A|I|S|E|U|V|W|SA|CA)$"")),
      OR(E30="""", REGEXMATCH(E30, ""^\d+\s*(B|D|C|F|A|I|S|E|U|V|W|SA|CA)$"")),
      OR(F30="""", REGEXMATCH(F30, ""^\d+\s*(B|D|C|F|A|I|S|E|U|V|W|SA|CA)$"")),
      OR(G30="""", REGEXMATCH(G30, ""^\d+\s*(B|D|C|F|A|I|S|E"&amp;"|U|V|W|SA|CA)$"")),
      OR(H30="""", REGEXMATCH(H30, ""^\d+\s*(B|D|C|F|A|I|S|E|U|V|W|SA|CA)$"")),
      OR(I30="""", REGEXMATCH(I30, ""^\d+\s*(B|D|C|F|A|I|S|E|U|V|W|SA|CA)$"")),
      OR(J30="""", REGEXMATCH(J30, ""^\d+\s*(B|D|C|F|A|I|S|E|U|V|W|SA|CA)$"&amp;""")),
      OR(K30="""", REGEXMATCH(K30, ""^\d+\s*(B|D|C|F|A|I|S|E|U|V|W|SA|CA)$"")),
      OR(L30="""", REGEXMATCH(L30, ""^\d+\s*(B|D|C|F|A|I|S|E|U|V|W|SA|CA)$"")),
      OR(M30="""", REGEXMATCH(M30, ""^\d+\s*(B|D|C|F|A|I|S|E|U|V|W|SA|CA)$"")),
      OR("&amp;"N30="""", REGEXMATCH(N30, ""^\d+\s*(B|D|C|F|A|I|S|E|U|V|W|SA|CA)$"")),
      OR(O30="""", REGEXMATCH(O30, ""^\d+\s*(B|D|C|F|A|I|S|E|U|V|W|SA|CA)$""))
    ),
    ""✅ OK"",
    ""⚠️ ERRORE in "" &amp;
    TEXTJOIN("", "",
      TRUE,
      IF(NOT(OR(B30="""", R"&amp;"EGEXMATCH(B30, ""^\d+\s*(B|D|C|F|A|I|S|E|U|V|W|SA|CA)$""))), ""B"" &amp; ROW(), """"),
      IF(NOT(OR(C30="""", REGEXMATCH(C30, ""^\d+\s*(B|D|C|F|A|I|S|E|U|V|W|SA|CA)$""))), ""C"" &amp; ROW(), """"),
      IF(NOT(OR(D30="""", REGEXMATCH(D30, ""^\d+\s*(B|D|C|F|A|"&amp;"I|S|E|U|V|W|SA|CA)$""))), ""D"" &amp; ROW(), """"),
      IF(NOT(OR(E30="""", REGEXMATCH(E30, ""^\d+\s*(B|D|C|F|A|I|S|E|U|V|W|SA|CA)$""))), ""E"" &amp; ROW(), """"),
      IF(NOT(OR(F30="""", REGEXMATCH(F30, ""^\d+\s*(B|D|C|F|A|I|S|E|U|V|W|SA|CA)$""))), ""F"" &amp; R"&amp;"OW(), """"),
      IF(NOT(OR(G30="""", REGEXMATCH(G30, ""^\d+\s*(B|D|C|F|A|I|S|E|U|V|W|SA|CA)$""))), ""G"" &amp; ROW(), """"),
      IF(NOT(OR(H30="""", REGEXMATCH(H30, ""^\d+\s*(B|D|C|F|A|I|S|E|U|V|W|SA|CA)$""))), ""H"" &amp; ROW(), """"),
      IF(NOT(OR(I30="""&amp;""", REGEXMATCH(I30, ""^\d+\s*(B|D|C|F|A|I|S|E|U|V|W|SA|CA)$""))), ""I"" &amp; ROW(), """"),
      IF(NOT(OR(J30="""", REGEXMATCH(J30, ""^\d+\s*(B|D|C|F|A|I|S|E|U|V|W|SA|CA)$""))), ""J"" &amp; ROW(), """"),
      IF(NOT(OR(K30="""", REGEXMATCH(K30, ""^\d+\s*(B|D|C"&amp;"|F|A|I|S|E|U|V|W|SA|CA)$""))), ""K"" &amp; ROW(), """"),
      IF(NOT(OR(L30="""", REGEXMATCH(L30, ""^\d+\s*(B|D|C|F|A|I|S|E|U|V|W|SA|CA)$""))), ""L"" &amp; ROW(), """"),
      IF(NOT(OR(M30="""", REGEXMATCH(M30, ""^\d+\s*(B|D|C|F|A|I|S|E|U|V|W|SA|CA)$""))), ""M"&amp;""" &amp; ROW(), """"),
      IF(NOT(OR(N30="""", REGEXMATCH(N30, ""^\d+\s*(B|D|C|F|A|I|S|E|U|V|W|SA|CA)$""))), ""N"" &amp; ROW(), """"),
      IF(NOT(OR(O30="""", REGEXMATCH(O30, ""^\d+\s*(B|D|C|F|A|I|S|E|U|V|W|SA|CA)$""))), ""O"" &amp; ROW(), """")
    )
  )
)
"),"")</f>
        <v/>
      </c>
    </row>
    <row r="31" ht="23.25" customHeight="1">
      <c r="A31" s="5">
        <v>46264.0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10"/>
      <c r="P31" s="9" t="str">
        <f>IFERROR(__xludf.DUMMYFUNCTION("IF(
  COUNTA(B31:O31) = 0,
  """",
  IF(
    AND(
      OR(B31="""", REGEXMATCH(B31, ""^\d+\s*(B|D|C|F|A|I|S|E|U|V|W|SA|CA)$"")),
      OR(C31="""", REGEXMATCH(C31, ""^\d+\s*(B|D|C|F|A|I|S|E|U|V|W|SA|CA)$"")),
      OR(D31="""", REGEXMATCH(D31, ""^\d+\s*("&amp;"B|D|C|F|A|I|S|E|U|V|W|SA|CA)$"")),
      OR(E31="""", REGEXMATCH(E31, ""^\d+\s*(B|D|C|F|A|I|S|E|U|V|W|SA|CA)$"")),
      OR(F31="""", REGEXMATCH(F31, ""^\d+\s*(B|D|C|F|A|I|S|E|U|V|W|SA|CA)$"")),
      OR(G31="""", REGEXMATCH(G31, ""^\d+\s*(B|D|C|F|A|I|S|E"&amp;"|U|V|W|SA|CA)$"")),
      OR(H31="""", REGEXMATCH(H31, ""^\d+\s*(B|D|C|F|A|I|S|E|U|V|W|SA|CA)$"")),
      OR(I31="""", REGEXMATCH(I31, ""^\d+\s*(B|D|C|F|A|I|S|E|U|V|W|SA|CA)$"")),
      OR(J31="""", REGEXMATCH(J31, ""^\d+\s*(B|D|C|F|A|I|S|E|U|V|W|SA|CA)$"&amp;""")),
      OR(K31="""", REGEXMATCH(K31, ""^\d+\s*(B|D|C|F|A|I|S|E|U|V|W|SA|CA)$"")),
      OR(L31="""", REGEXMATCH(L31, ""^\d+\s*(B|D|C|F|A|I|S|E|U|V|W|SA|CA)$"")),
      OR(M31="""", REGEXMATCH(M31, ""^\d+\s*(B|D|C|F|A|I|S|E|U|V|W|SA|CA)$"")),
      OR("&amp;"N31="""", REGEXMATCH(N31, ""^\d+\s*(B|D|C|F|A|I|S|E|U|V|W|SA|CA)$"")),
      OR(O31="""", REGEXMATCH(O31, ""^\d+\s*(B|D|C|F|A|I|S|E|U|V|W|SA|CA)$""))
    ),
    ""✅ OK"",
    ""⚠️ ERRORE in "" &amp;
    TEXTJOIN("", "",
      TRUE,
      IF(NOT(OR(B31="""", R"&amp;"EGEXMATCH(B31, ""^\d+\s*(B|D|C|F|A|I|S|E|U|V|W|SA|CA)$""))), ""B"" &amp; ROW(), """"),
      IF(NOT(OR(C31="""", REGEXMATCH(C31, ""^\d+\s*(B|D|C|F|A|I|S|E|U|V|W|SA|CA)$""))), ""C"" &amp; ROW(), """"),
      IF(NOT(OR(D31="""", REGEXMATCH(D31, ""^\d+\s*(B|D|C|F|A|"&amp;"I|S|E|U|V|W|SA|CA)$""))), ""D"" &amp; ROW(), """"),
      IF(NOT(OR(E31="""", REGEXMATCH(E31, ""^\d+\s*(B|D|C|F|A|I|S|E|U|V|W|SA|CA)$""))), ""E"" &amp; ROW(), """"),
      IF(NOT(OR(F31="""", REGEXMATCH(F31, ""^\d+\s*(B|D|C|F|A|I|S|E|U|V|W|SA|CA)$""))), ""F"" &amp; R"&amp;"OW(), """"),
      IF(NOT(OR(G31="""", REGEXMATCH(G31, ""^\d+\s*(B|D|C|F|A|I|S|E|U|V|W|SA|CA)$""))), ""G"" &amp; ROW(), """"),
      IF(NOT(OR(H31="""", REGEXMATCH(H31, ""^\d+\s*(B|D|C|F|A|I|S|E|U|V|W|SA|CA)$""))), ""H"" &amp; ROW(), """"),
      IF(NOT(OR(I31="""&amp;""", REGEXMATCH(I31, ""^\d+\s*(B|D|C|F|A|I|S|E|U|V|W|SA|CA)$""))), ""I"" &amp; ROW(), """"),
      IF(NOT(OR(J31="""", REGEXMATCH(J31, ""^\d+\s*(B|D|C|F|A|I|S|E|U|V|W|SA|CA)$""))), ""J"" &amp; ROW(), """"),
      IF(NOT(OR(K31="""", REGEXMATCH(K31, ""^\d+\s*(B|D|C"&amp;"|F|A|I|S|E|U|V|W|SA|CA)$""))), ""K"" &amp; ROW(), """"),
      IF(NOT(OR(L31="""", REGEXMATCH(L31, ""^\d+\s*(B|D|C|F|A|I|S|E|U|V|W|SA|CA)$""))), ""L"" &amp; ROW(), """"),
      IF(NOT(OR(M31="""", REGEXMATCH(M31, ""^\d+\s*(B|D|C|F|A|I|S|E|U|V|W|SA|CA)$""))), ""M"&amp;""" &amp; ROW(), """"),
      IF(NOT(OR(N31="""", REGEXMATCH(N31, ""^\d+\s*(B|D|C|F|A|I|S|E|U|V|W|SA|CA)$""))), ""N"" &amp; ROW(), """"),
      IF(NOT(OR(O31="""", REGEXMATCH(O31, ""^\d+\s*(B|D|C|F|A|I|S|E|U|V|W|SA|CA)$""))), ""O"" &amp; ROW(), """")
    )
  )
)
"),"")</f>
        <v/>
      </c>
    </row>
    <row r="32" ht="23.25" customHeight="1">
      <c r="A32" s="5">
        <v>46265.0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9" t="str">
        <f>IFERROR(__xludf.DUMMYFUNCTION("IF(
  COUNTA(B32:O32) = 0,
  """",
  IF(
    AND(
      OR(B32="""", REGEXMATCH(B32, ""^\d+\s*(B|D|C|F|A|I|S|E|U|V|W|SA|CA)$"")),
      OR(C32="""", REGEXMATCH(C32, ""^\d+\s*(B|D|C|F|A|I|S|E|U|V|W|SA|CA)$"")),
      OR(D32="""", REGEXMATCH(D32, ""^\d+\s*("&amp;"B|D|C|F|A|I|S|E|U|V|W|SA|CA)$"")),
      OR(E32="""", REGEXMATCH(E32, ""^\d+\s*(B|D|C|F|A|I|S|E|U|V|W|SA|CA)$"")),
      OR(F32="""", REGEXMATCH(F32, ""^\d+\s*(B|D|C|F|A|I|S|E|U|V|W|SA|CA)$"")),
      OR(G32="""", REGEXMATCH(G32, ""^\d+\s*(B|D|C|F|A|I|S|E"&amp;"|U|V|W|SA|CA)$"")),
      OR(H32="""", REGEXMATCH(H32, ""^\d+\s*(B|D|C|F|A|I|S|E|U|V|W|SA|CA)$"")),
      OR(I32="""", REGEXMATCH(I32, ""^\d+\s*(B|D|C|F|A|I|S|E|U|V|W|SA|CA)$"")),
      OR(J32="""", REGEXMATCH(J32, ""^\d+\s*(B|D|C|F|A|I|S|E|U|V|W|SA|CA)$"&amp;""")),
      OR(K32="""", REGEXMATCH(K32, ""^\d+\s*(B|D|C|F|A|I|S|E|U|V|W|SA|CA)$"")),
      OR(L32="""", REGEXMATCH(L32, ""^\d+\s*(B|D|C|F|A|I|S|E|U|V|W|SA|CA)$"")),
      OR(M32="""", REGEXMATCH(M32, ""^\d+\s*(B|D|C|F|A|I|S|E|U|V|W|SA|CA)$"")),
      OR("&amp;"N32="""", REGEXMATCH(N32, ""^\d+\s*(B|D|C|F|A|I|S|E|U|V|W|SA|CA)$"")),
      OR(O32="""", REGEXMATCH(O32, ""^\d+\s*(B|D|C|F|A|I|S|E|U|V|W|SA|CA)$""))
    ),
    ""✅ OK"",
    ""⚠️ ERRORE in "" &amp;
    TEXTJOIN("", "",
      TRUE,
      IF(NOT(OR(B32="""", R"&amp;"EGEXMATCH(B32, ""^\d+\s*(B|D|C|F|A|I|S|E|U|V|W|SA|CA)$""))), ""B"" &amp; ROW(), """"),
      IF(NOT(OR(C32="""", REGEXMATCH(C32, ""^\d+\s*(B|D|C|F|A|I|S|E|U|V|W|SA|CA)$""))), ""C"" &amp; ROW(), """"),
      IF(NOT(OR(D32="""", REGEXMATCH(D32, ""^\d+\s*(B|D|C|F|A|"&amp;"I|S|E|U|V|W|SA|CA)$""))), ""D"" &amp; ROW(), """"),
      IF(NOT(OR(E32="""", REGEXMATCH(E32, ""^\d+\s*(B|D|C|F|A|I|S|E|U|V|W|SA|CA)$""))), ""E"" &amp; ROW(), """"),
      IF(NOT(OR(F32="""", REGEXMATCH(F32, ""^\d+\s*(B|D|C|F|A|I|S|E|U|V|W|SA|CA)$""))), ""F"" &amp; R"&amp;"OW(), """"),
      IF(NOT(OR(G32="""", REGEXMATCH(G32, ""^\d+\s*(B|D|C|F|A|I|S|E|U|V|W|SA|CA)$""))), ""G"" &amp; ROW(), """"),
      IF(NOT(OR(H32="""", REGEXMATCH(H32, ""^\d+\s*(B|D|C|F|A|I|S|E|U|V|W|SA|CA)$""))), ""H"" &amp; ROW(), """"),
      IF(NOT(OR(I32="""&amp;""", REGEXMATCH(I32, ""^\d+\s*(B|D|C|F|A|I|S|E|U|V|W|SA|CA)$""))), ""I"" &amp; ROW(), """"),
      IF(NOT(OR(J32="""", REGEXMATCH(J32, ""^\d+\s*(B|D|C|F|A|I|S|E|U|V|W|SA|CA)$""))), ""J"" &amp; ROW(), """"),
      IF(NOT(OR(K32="""", REGEXMATCH(K32, ""^\d+\s*(B|D|C"&amp;"|F|A|I|S|E|U|V|W|SA|CA)$""))), ""K"" &amp; ROW(), """"),
      IF(NOT(OR(L32="""", REGEXMATCH(L32, ""^\d+\s*(B|D|C|F|A|I|S|E|U|V|W|SA|CA)$""))), ""L"" &amp; ROW(), """"),
      IF(NOT(OR(M32="""", REGEXMATCH(M32, ""^\d+\s*(B|D|C|F|A|I|S|E|U|V|W|SA|CA)$""))), ""M"&amp;""" &amp; ROW(), """"),
      IF(NOT(OR(N32="""", REGEXMATCH(N32, ""^\d+\s*(B|D|C|F|A|I|S|E|U|V|W|SA|CA)$""))), ""N"" &amp; ROW(), """"),
      IF(NOT(OR(O32="""", REGEXMATCH(O32, ""^\d+\s*(B|D|C|F|A|I|S|E|U|V|W|SA|CA)$""))), ""O"" &amp; ROW(), """")
    )
  )
)
"),"")</f>
        <v/>
      </c>
    </row>
    <row r="33" ht="23.25" customHeight="1">
      <c r="A33" s="5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ht="23.25" customHeight="1">
      <c r="A34" s="14" t="s">
        <v>15</v>
      </c>
      <c r="B34" s="11">
        <f>IFERROR(__xludf.DUMMYFUNCTION("SUM(ARRAYFORMULA(
  IF(B3:O33="""", 0,
    IF(UPPER(TRIM(B3:O33))=""NO"", 0,
      VALUE(REGEXEXTRACT(B3:O33, ""^\d+""))
    )
  )
))
"),0.0)</f>
        <v>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ht="43.5" customHeight="1">
      <c r="A35" s="15" t="s">
        <v>16</v>
      </c>
      <c r="B35" s="16" t="s">
        <v>17</v>
      </c>
      <c r="C35" s="16" t="s">
        <v>18</v>
      </c>
      <c r="D35" s="16" t="s">
        <v>19</v>
      </c>
      <c r="E35" s="16" t="s">
        <v>20</v>
      </c>
      <c r="F35" s="16" t="s">
        <v>21</v>
      </c>
      <c r="G35" s="16" t="s">
        <v>22</v>
      </c>
      <c r="H35" s="16" t="s">
        <v>23</v>
      </c>
      <c r="I35" s="16" t="s">
        <v>24</v>
      </c>
      <c r="J35" s="16" t="s">
        <v>25</v>
      </c>
      <c r="K35" s="16" t="s">
        <v>26</v>
      </c>
      <c r="L35" s="16" t="s">
        <v>27</v>
      </c>
      <c r="M35" s="16" t="s">
        <v>28</v>
      </c>
      <c r="N35" s="16" t="s">
        <v>29</v>
      </c>
      <c r="O35" s="16"/>
      <c r="P35" s="16"/>
    </row>
    <row r="36" ht="33.75" customHeight="1">
      <c r="A36" s="15"/>
      <c r="B36" s="16">
        <f>IFERROR(__xludf.DUMMYFUNCTION("SUM(ARRAYFORMULA(IF(REGEXMATCH(B2:O32, ""^\d+\s*B$""), VALUE(REGEXEXTRACT(B2:O32, ""^\d+"")), 0)))
"),0.0)</f>
        <v>0</v>
      </c>
      <c r="C36" s="16">
        <f>IFERROR(__xludf.DUMMYFUNCTION("SUM(ARRAYFORMULA(IF(REGEXMATCH(C2:P32, ""^\d+\s*D$""), VALUE(REGEXEXTRACT(C2:P32, ""^\d+"")), 0)))
"),0.0)</f>
        <v>0</v>
      </c>
      <c r="D36" s="16">
        <f>IFERROR(__xludf.DUMMYFUNCTION("SUM(ARRAYFORMULA(IF(REGEXMATCH(B2:O32, ""^\d+\s*C$""), VALUE(REGEXEXTRACT(B2:O32, ""^\d+"")), 0)))
"),0.0)</f>
        <v>0</v>
      </c>
      <c r="E36" s="16">
        <f>IFERROR(__xludf.DUMMYFUNCTION("SUM(ARRAYFORMULA(IF(REGEXMATCH(B2:O32, ""^\d+\s*F$""), VALUE(REGEXEXTRACT(B2:O32, ""^\d+"")), 0)))
"),0.0)</f>
        <v>0</v>
      </c>
      <c r="F36" s="16">
        <f>IFERROR(__xludf.DUMMYFUNCTION("SUM(ARRAYFORMULA(IF(REGEXMATCH(B2:O32, ""^\d+\s*A$""), VALUE(REGEXEXTRACT(B2:O32, ""^\d+"")), 0)))
"),0.0)</f>
        <v>0</v>
      </c>
      <c r="G36" s="16">
        <f>IFERROR(__xludf.DUMMYFUNCTION("SUM(ARRAYFORMULA(IF(REGEXMATCH(B2:O32, ""^\d+\s*I$""), VALUE(REGEXEXTRACT(B2:O32, ""^\d+"")), 0)))
"),0.0)</f>
        <v>0</v>
      </c>
      <c r="H36" s="16">
        <f>IFERROR(__xludf.DUMMYFUNCTION("SUM(ARRAYFORMULA(IF(REGEXMATCH(B2:O32, ""^\d+\s*S$""), VALUE(REGEXEXTRACT(B2:O32, ""^\d+"")), 0)))
"),0.0)</f>
        <v>0</v>
      </c>
      <c r="I36" s="16">
        <f>IFERROR(__xludf.DUMMYFUNCTION("SUM(ARRAYFORMULA(IF(REGEXMATCH(B2:O32, ""^\d+\s*E$""), VALUE(REGEXEXTRACT(B2:O32, ""^\d+"")), 0)))
"),0.0)</f>
        <v>0</v>
      </c>
      <c r="J36" s="16">
        <f>IFERROR(__xludf.DUMMYFUNCTION("SUM(ARRAYFORMULA(IF(REGEXMATCH(B2:O32, ""^\d+\s*U$""), VALUE(REGEXEXTRACT(B2:O32, ""^\d+"")), 0)))
"),0.0)</f>
        <v>0</v>
      </c>
      <c r="K36" s="16">
        <f>IFERROR(__xludf.DUMMYFUNCTION("SUM(ARRAYFORMULA(IF(REGEXMATCH(B2:O32, ""^\d+\s*V$""), VALUE(REGEXEXTRACT(B2:O32, ""^\d+"")), 0)))
"),0.0)</f>
        <v>0</v>
      </c>
      <c r="L36" s="16">
        <f>IFERROR(__xludf.DUMMYFUNCTION("SUM(ARRAYFORMULA(IF(REGEXMATCH(B2:O32, ""^\d+\s*W$""), VALUE(REGEXEXTRACT(B2:O32, ""^\d+"")), 0)))
"),0.0)</f>
        <v>0</v>
      </c>
      <c r="M36" s="16">
        <f>IFERROR(__xludf.DUMMYFUNCTION("SUM(ARRAYFORMULA(IF(REGEXMATCH(B2:O32, ""^\d+\s*SA$""), VALUE(REGEXEXTRACT(B2:O32, ""^\d+"")), 0)))
"),0.0)</f>
        <v>0</v>
      </c>
      <c r="N36" s="16">
        <f>IFERROR(__xludf.DUMMYFUNCTION("SUM(ARRAYFORMULA(IF(REGEXMATCH(B2:O32, ""^\d+\s*CA$""), VALUE(REGEXEXTRACT(B2:O32, ""^\d+"")), 0)))
"),0.0)</f>
        <v>0</v>
      </c>
      <c r="O36" s="16"/>
      <c r="P36" s="16"/>
    </row>
  </sheetData>
  <mergeCells count="2">
    <mergeCell ref="B33:P33"/>
    <mergeCell ref="B34:P34"/>
  </mergeCells>
  <conditionalFormatting sqref="P2:P32">
    <cfRule type="containsText" dxfId="0" priority="1" operator="containsText" text="ERRORE">
      <formula>NOT(ISERROR(SEARCH(("ERRORE"),(P2))))</formula>
    </cfRule>
  </conditionalFormatting>
  <conditionalFormatting sqref="B2:O32">
    <cfRule type="notContainsBlanks" dxfId="1" priority="2">
      <formula>LEN(TRIM(B2))&gt;0</formula>
    </cfRule>
  </conditionalFormatting>
  <conditionalFormatting sqref="A1:A36">
    <cfRule type="containsText" dxfId="2" priority="3" operator="containsText" text="domenica">
      <formula>NOT(ISERROR(SEARCH(("domenica"),(A1))))</formula>
    </cfRule>
  </conditionalFormatting>
  <conditionalFormatting sqref="B34:P34 B36:P36">
    <cfRule type="cellIs" dxfId="3" priority="4" operator="greaterThan">
      <formula>0</formula>
    </cfRule>
  </conditionalFormatting>
  <conditionalFormatting sqref="P2:P32">
    <cfRule type="containsText" dxfId="3" priority="5" operator="containsText" text="OK">
      <formula>NOT(ISERROR(SEARCH(("OK"),(P2))))</formula>
    </cfRule>
  </conditionalFormatting>
  <printOptions/>
  <pageMargins bottom="0.0" footer="0.0" header="0.0" left="0.5" right="0.25" top="0.0"/>
  <pageSetup scale="94" orientation="portrait"/>
  <headerFooter>
    <oddFooter>&amp;C000000&amp;P</oddFooter>
  </headerFooter>
  <drawing r:id="rId2"/>
  <legacyDrawing r:id="rId3"/>
</worksheet>
</file>